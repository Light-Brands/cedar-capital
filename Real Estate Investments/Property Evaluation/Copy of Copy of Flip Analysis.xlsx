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conomics" sheetId="1" r:id="rId4"/>
    <sheet state="visible" name="Accounting" sheetId="2" r:id="rId5"/>
    <sheet state="visible" name="Cash Accounting" sheetId="3" r:id="rId6"/>
  </sheets>
  <definedNames/>
  <calcPr/>
  <extLst>
    <ext uri="GoogleSheetsCustomDataVersion2">
      <go:sheetsCustomData xmlns:go="http://customooxmlschemas.google.com/" r:id="rId7" roundtripDataChecksum="/TJOEnFvESo3bd4GWqMmmT9hqSG4IlR5ANcTeOCQj8I="/>
    </ext>
  </extLst>
</workbook>
</file>

<file path=xl/sharedStrings.xml><?xml version="1.0" encoding="utf-8"?>
<sst xmlns="http://schemas.openxmlformats.org/spreadsheetml/2006/main" count="169" uniqueCount="128">
  <si>
    <t>Purchase Price</t>
  </si>
  <si>
    <t>Loan Info</t>
  </si>
  <si>
    <t>Expected After Repair Value</t>
  </si>
  <si>
    <t>Loan to cost</t>
  </si>
  <si>
    <t>95% of ARV</t>
  </si>
  <si>
    <t>*to account for concessions &amp; reductions</t>
  </si>
  <si>
    <t>Total cost</t>
  </si>
  <si>
    <t>Loan Amount</t>
  </si>
  <si>
    <t>SNAPSHOT</t>
  </si>
  <si>
    <t>ARLTV</t>
  </si>
  <si>
    <t>Renovation Budget</t>
  </si>
  <si>
    <t>Expected Sales Price</t>
  </si>
  <si>
    <t>Time to flip (months)</t>
  </si>
  <si>
    <t>Interest</t>
  </si>
  <si>
    <t>Points</t>
  </si>
  <si>
    <t>Renovation</t>
  </si>
  <si>
    <t>Mortgage Tax</t>
  </si>
  <si>
    <t>Interest &amp; Origination Points</t>
  </si>
  <si>
    <t>Misc Title Fee's</t>
  </si>
  <si>
    <t>Property Tax &amp; Maintenance</t>
  </si>
  <si>
    <t>Mansion Tax</t>
  </si>
  <si>
    <t>Taxes and Other Costs</t>
  </si>
  <si>
    <t>Title Insurance</t>
  </si>
  <si>
    <t>Realtor Fee</t>
  </si>
  <si>
    <t>Property Tax and Maintenance</t>
  </si>
  <si>
    <t>Flip Economics</t>
  </si>
  <si>
    <t>Total Profit on Flip</t>
  </si>
  <si>
    <t>Acquisition Costs</t>
  </si>
  <si>
    <t>Borrower Cash in Deal At Purchase</t>
  </si>
  <si>
    <t>Closing Fees</t>
  </si>
  <si>
    <t>Mortgage Recording Tax</t>
  </si>
  <si>
    <t>ROI if 50/50 partnership</t>
  </si>
  <si>
    <t>Filing Fees</t>
  </si>
  <si>
    <t>Appraisal</t>
  </si>
  <si>
    <t>Legal Fees</t>
  </si>
  <si>
    <t>Origination Points</t>
  </si>
  <si>
    <t>Interim Expenses</t>
  </si>
  <si>
    <t>Property Tax &amp; Utilities</t>
  </si>
  <si>
    <t>Sale Costs (Paid from Proceeds of Sale)</t>
  </si>
  <si>
    <t>Realtor Commission</t>
  </si>
  <si>
    <t>Transfer Tax</t>
  </si>
  <si>
    <t>Legal</t>
  </si>
  <si>
    <t>Sale Price</t>
  </si>
  <si>
    <t>Costs</t>
  </si>
  <si>
    <t>Borrower Profit/Loss</t>
  </si>
  <si>
    <t>Sphinx Financing Fee</t>
  </si>
  <si>
    <t>Preliminary Budget</t>
  </si>
  <si>
    <t>P&amp;L</t>
  </si>
  <si>
    <t>Permit</t>
  </si>
  <si>
    <t>Demo</t>
  </si>
  <si>
    <t>Purchase Hud</t>
  </si>
  <si>
    <t>Roof</t>
  </si>
  <si>
    <t>Budget Overage</t>
  </si>
  <si>
    <t>Exterior/siding</t>
  </si>
  <si>
    <t>Interet Payments</t>
  </si>
  <si>
    <t>Finish Carpentry</t>
  </si>
  <si>
    <t>Utilities</t>
  </si>
  <si>
    <t>Drywall</t>
  </si>
  <si>
    <t>Total Cost</t>
  </si>
  <si>
    <t>Purchase costs and includes the $44,600 SOW holdback</t>
  </si>
  <si>
    <t>Interior Paint</t>
  </si>
  <si>
    <t>Flooring</t>
  </si>
  <si>
    <t>Kitchen</t>
  </si>
  <si>
    <t>Sale Hud</t>
  </si>
  <si>
    <t>Bathrooms</t>
  </si>
  <si>
    <t xml:space="preserve">Realtors, Title Tax </t>
  </si>
  <si>
    <t>Plumbing</t>
  </si>
  <si>
    <t>Title Fee</t>
  </si>
  <si>
    <t>Electrical</t>
  </si>
  <si>
    <t xml:space="preserve">Seller Credit </t>
  </si>
  <si>
    <t>HVAC</t>
  </si>
  <si>
    <t>Property Taxes</t>
  </si>
  <si>
    <t>Misc</t>
  </si>
  <si>
    <t>Total</t>
  </si>
  <si>
    <t>Contingency</t>
  </si>
  <si>
    <t>Profit</t>
  </si>
  <si>
    <t>BSIG Financing Fee</t>
  </si>
  <si>
    <t>Net Profit</t>
  </si>
  <si>
    <t>Accounting</t>
  </si>
  <si>
    <t>Closing</t>
  </si>
  <si>
    <t>EMD to title</t>
  </si>
  <si>
    <t>Wire to title</t>
  </si>
  <si>
    <t>Closing wire to title</t>
  </si>
  <si>
    <t>Renovations</t>
  </si>
  <si>
    <t xml:space="preserve">Septic Inspection </t>
  </si>
  <si>
    <t>Zelle</t>
  </si>
  <si>
    <t>4 Point Inspection</t>
  </si>
  <si>
    <t>Water Heater</t>
  </si>
  <si>
    <t>Siding Materials</t>
  </si>
  <si>
    <t>Exterior + Paint 1</t>
  </si>
  <si>
    <t>Exterior + Paint 2</t>
  </si>
  <si>
    <t>Junk removal + demo + plumbing</t>
  </si>
  <si>
    <t>Interior + Exterior Painting</t>
  </si>
  <si>
    <t>Kitchen + Drywall</t>
  </si>
  <si>
    <t>Kitchen Counters + Vanities</t>
  </si>
  <si>
    <t>HVAC Garage Door Electrical</t>
  </si>
  <si>
    <t>Zelle to Emily</t>
  </si>
  <si>
    <t>Doors, bathrooms, HVAC remainder</t>
  </si>
  <si>
    <t>Wire to Brian</t>
  </si>
  <si>
    <t>Doors, hardware, baseboards</t>
  </si>
  <si>
    <t>Appliances</t>
  </si>
  <si>
    <t>Plumbing + screen repair</t>
  </si>
  <si>
    <t>Landscaping</t>
  </si>
  <si>
    <t>Cleaning and photos</t>
  </si>
  <si>
    <t>Cleaning 2</t>
  </si>
  <si>
    <t>Sliding glass door</t>
  </si>
  <si>
    <t>Lawn maintenance</t>
  </si>
  <si>
    <t>Buyer requested updates</t>
  </si>
  <si>
    <t>Grass maintenance</t>
  </si>
  <si>
    <t>FPL Jan</t>
  </si>
  <si>
    <t>BSIG credit card</t>
  </si>
  <si>
    <t>FPL Feb</t>
  </si>
  <si>
    <t>FPL March</t>
  </si>
  <si>
    <t>Deltona Water Jan</t>
  </si>
  <si>
    <t>Deltona Water Feb</t>
  </si>
  <si>
    <t>Deltona Water March</t>
  </si>
  <si>
    <t>Interest Payments</t>
  </si>
  <si>
    <t>Jan</t>
  </si>
  <si>
    <t>BSIG ACH</t>
  </si>
  <si>
    <t>Feb</t>
  </si>
  <si>
    <t>March</t>
  </si>
  <si>
    <t>April</t>
  </si>
  <si>
    <t>payoff</t>
  </si>
  <si>
    <t>Reimbursement Draws</t>
  </si>
  <si>
    <t>Draw 1</t>
  </si>
  <si>
    <t>Wire from Kiavi</t>
  </si>
  <si>
    <t>Draw 2</t>
  </si>
  <si>
    <t>Total draw proceeds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</si>
</sst>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/d/yy\ h:mm\ AM/PM"/>
    <numFmt numFmtId="165" formatCode="&quot;$&quot;#,##0.00"/>
    <numFmt numFmtId="166" formatCode="m/d/yyyy"/>
    <numFmt numFmtId="167" formatCode="m/d/yy"/>
  </numFmts>
  <fonts count="8">
    <font>
      <sz val="11.0"/>
      <color theme="1"/>
      <name val="Calibri"/>
      <scheme val="minor"/>
    </font>
    <font>
      <sz val="11.0"/>
      <color theme="1"/>
      <name val="Calibri"/>
    </font>
    <font>
      <color theme="1"/>
      <name val="Calibri"/>
    </font>
    <font>
      <b/>
      <sz val="11.0"/>
      <color theme="1"/>
      <name val="Calibri"/>
    </font>
    <font>
      <b/>
      <color theme="1"/>
      <name val="Calibri"/>
    </font>
    <font>
      <b/>
      <color theme="1"/>
      <name val="Arial"/>
    </font>
    <font>
      <sz val="10.0"/>
      <color theme="1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9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1" fillId="2" fontId="1" numFmtId="3" xfId="0" applyAlignment="1" applyBorder="1" applyFill="1" applyFont="1" applyNumberFormat="1">
      <alignment readingOrder="0"/>
    </xf>
    <xf borderId="0" fillId="0" fontId="2" numFmtId="0" xfId="0" applyFont="1"/>
    <xf borderId="0" fillId="0" fontId="1" numFmtId="0" xfId="0" applyFont="1"/>
    <xf borderId="0" fillId="2" fontId="2" numFmtId="10" xfId="0" applyFont="1" applyNumberFormat="1"/>
    <xf borderId="0" fillId="0" fontId="2" numFmtId="10" xfId="0" applyFont="1" applyNumberFormat="1"/>
    <xf borderId="1" fillId="2" fontId="1" numFmtId="3" xfId="0" applyBorder="1" applyFont="1" applyNumberFormat="1"/>
    <xf borderId="0" fillId="0" fontId="3" numFmtId="164" xfId="0" applyAlignment="1" applyFont="1" applyNumberFormat="1">
      <alignment horizontal="center"/>
    </xf>
    <xf borderId="0" fillId="0" fontId="2" numFmtId="3" xfId="0" applyFont="1" applyNumberFormat="1"/>
    <xf borderId="0" fillId="0" fontId="1" numFmtId="3" xfId="0" applyFont="1" applyNumberFormat="1"/>
    <xf borderId="0" fillId="0" fontId="1" numFmtId="10" xfId="0" applyFont="1" applyNumberFormat="1"/>
    <xf borderId="2" fillId="0" fontId="1" numFmtId="0" xfId="0" applyBorder="1" applyFont="1"/>
    <xf borderId="3" fillId="0" fontId="1" numFmtId="3" xfId="0" applyBorder="1" applyFont="1" applyNumberFormat="1"/>
    <xf borderId="1" fillId="2" fontId="1" numFmtId="1" xfId="0" applyBorder="1" applyFont="1" applyNumberFormat="1"/>
    <xf borderId="1" fillId="2" fontId="1" numFmtId="10" xfId="0" applyBorder="1" applyFont="1" applyNumberFormat="1"/>
    <xf borderId="4" fillId="0" fontId="1" numFmtId="164" xfId="0" applyBorder="1" applyFont="1" applyNumberFormat="1"/>
    <xf borderId="4" fillId="0" fontId="1" numFmtId="3" xfId="0" applyBorder="1" applyFont="1" applyNumberFormat="1"/>
    <xf borderId="4" fillId="0" fontId="3" numFmtId="164" xfId="0" applyBorder="1" applyFont="1" applyNumberFormat="1"/>
    <xf borderId="4" fillId="0" fontId="1" numFmtId="0" xfId="0" applyBorder="1" applyFont="1"/>
    <xf borderId="5" fillId="0" fontId="3" numFmtId="164" xfId="0" applyBorder="1" applyFont="1" applyNumberFormat="1"/>
    <xf borderId="5" fillId="0" fontId="1" numFmtId="164" xfId="0" applyBorder="1" applyFont="1" applyNumberFormat="1"/>
    <xf borderId="0" fillId="0" fontId="1" numFmtId="9" xfId="0" applyFont="1" applyNumberFormat="1"/>
    <xf borderId="0" fillId="0" fontId="2" numFmtId="165" xfId="0" applyFont="1" applyNumberFormat="1"/>
    <xf borderId="0" fillId="0" fontId="1" numFmtId="165" xfId="0" applyFont="1" applyNumberFormat="1"/>
    <xf borderId="5" fillId="0" fontId="1" numFmtId="3" xfId="0" applyBorder="1" applyFont="1" applyNumberFormat="1"/>
    <xf borderId="6" fillId="0" fontId="1" numFmtId="164" xfId="0" applyBorder="1" applyFont="1" applyNumberFormat="1"/>
    <xf borderId="7" fillId="0" fontId="1" numFmtId="38" xfId="0" applyBorder="1" applyFont="1" applyNumberFormat="1"/>
    <xf borderId="0" fillId="0" fontId="4" numFmtId="0" xfId="0" applyFont="1"/>
    <xf borderId="0" fillId="0" fontId="5" numFmtId="0" xfId="0" applyAlignment="1" applyFont="1">
      <alignment vertical="bottom"/>
    </xf>
    <xf borderId="0" fillId="0" fontId="6" numFmtId="0" xfId="0" applyFont="1"/>
    <xf borderId="0" fillId="0" fontId="7" numFmtId="0" xfId="0" applyAlignment="1" applyFont="1">
      <alignment vertical="bottom"/>
    </xf>
    <xf borderId="0" fillId="0" fontId="7" numFmtId="165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6" numFmtId="165" xfId="0" applyFont="1" applyNumberFormat="1"/>
    <xf borderId="8" fillId="0" fontId="6" numFmtId="165" xfId="0" applyBorder="1" applyFont="1" applyNumberFormat="1"/>
    <xf borderId="8" fillId="0" fontId="7" numFmtId="165" xfId="0" applyAlignment="1" applyBorder="1" applyFont="1" applyNumberFormat="1">
      <alignment horizontal="right" vertical="bottom"/>
    </xf>
    <xf borderId="8" fillId="0" fontId="4" numFmtId="165" xfId="0" applyBorder="1" applyFont="1" applyNumberFormat="1"/>
    <xf borderId="0" fillId="0" fontId="2" numFmtId="166" xfId="0" applyFont="1" applyNumberFormat="1"/>
    <xf borderId="8" fillId="0" fontId="2" numFmtId="165" xfId="0" applyBorder="1" applyFont="1" applyNumberFormat="1"/>
    <xf borderId="0" fillId="3" fontId="1" numFmtId="165" xfId="0" applyAlignment="1" applyFill="1" applyFont="1" applyNumberFormat="1">
      <alignment horizontal="right" vertical="bottom"/>
    </xf>
    <xf borderId="0" fillId="0" fontId="1" numFmtId="166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167" xfId="0" applyFont="1" applyNumberFormat="1"/>
    <xf borderId="0" fillId="0" fontId="3" numFmtId="0" xfId="0" applyAlignment="1" applyFont="1">
      <alignment vertical="bottom"/>
    </xf>
    <xf borderId="8" fillId="0" fontId="1" numFmtId="165" xfId="0" applyAlignment="1" applyBorder="1" applyFont="1" applyNumberFormat="1">
      <alignment horizontal="right" vertical="bottom"/>
    </xf>
    <xf borderId="0" fillId="0" fontId="1" numFmtId="166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1.14"/>
    <col customWidth="1" min="3" max="3" width="8.71"/>
    <col customWidth="1" min="4" max="4" width="41.86"/>
    <col customWidth="1" min="5" max="6" width="10.71"/>
    <col customWidth="1" min="7" max="7" width="12.0"/>
    <col customWidth="1" min="8" max="8" width="12.29"/>
    <col customWidth="1" min="9" max="26" width="8.71"/>
  </cols>
  <sheetData>
    <row r="1" ht="14.25" customHeight="1">
      <c r="A1" s="1" t="s">
        <v>0</v>
      </c>
      <c r="B1" s="2">
        <v>350000.0</v>
      </c>
      <c r="C1" s="1"/>
      <c r="D1" s="1"/>
      <c r="E1" s="1"/>
      <c r="G1" s="3" t="s">
        <v>1</v>
      </c>
    </row>
    <row r="2" ht="14.25" customHeight="1">
      <c r="A2" s="4" t="s">
        <v>2</v>
      </c>
      <c r="B2" s="2">
        <v>650000.0</v>
      </c>
      <c r="D2" s="1"/>
      <c r="E2" s="1"/>
      <c r="G2" s="3" t="s">
        <v>3</v>
      </c>
      <c r="H2" s="5">
        <v>0.9</v>
      </c>
      <c r="I2" s="6"/>
    </row>
    <row r="3" ht="14.25" customHeight="1">
      <c r="A3" s="4" t="s">
        <v>4</v>
      </c>
      <c r="B3" s="7">
        <f>0.95*B2</f>
        <v>617500</v>
      </c>
      <c r="C3" s="4" t="s">
        <v>5</v>
      </c>
      <c r="D3" s="8"/>
      <c r="E3" s="8"/>
      <c r="G3" s="3" t="s">
        <v>6</v>
      </c>
      <c r="H3" s="9">
        <f>B1+B6</f>
        <v>440000</v>
      </c>
      <c r="I3" s="6"/>
    </row>
    <row r="4" ht="14.25" customHeight="1">
      <c r="A4" s="1" t="s">
        <v>7</v>
      </c>
      <c r="B4" s="10">
        <f>H3*H2</f>
        <v>396000</v>
      </c>
      <c r="C4" s="1"/>
      <c r="D4" s="8" t="s">
        <v>8</v>
      </c>
    </row>
    <row r="5" ht="14.25" customHeight="1">
      <c r="A5" s="1" t="s">
        <v>9</v>
      </c>
      <c r="B5" s="11">
        <f>B4/B2</f>
        <v>0.6092307692</v>
      </c>
      <c r="C5" s="1"/>
      <c r="D5" s="1"/>
      <c r="E5" s="1"/>
    </row>
    <row r="6" ht="14.25" customHeight="1">
      <c r="A6" s="1" t="s">
        <v>10</v>
      </c>
      <c r="B6" s="2">
        <v>90000.0</v>
      </c>
      <c r="C6" s="1"/>
      <c r="D6" s="12" t="s">
        <v>11</v>
      </c>
      <c r="E6" s="13">
        <f>B3</f>
        <v>617500</v>
      </c>
    </row>
    <row r="7" ht="14.25" customHeight="1">
      <c r="A7" s="1" t="s">
        <v>12</v>
      </c>
      <c r="B7" s="14">
        <v>6.0</v>
      </c>
      <c r="C7" s="1"/>
      <c r="D7" s="1"/>
      <c r="E7" s="10"/>
    </row>
    <row r="8" ht="14.25" customHeight="1">
      <c r="A8" s="1" t="s">
        <v>13</v>
      </c>
      <c r="B8" s="15">
        <v>0.107</v>
      </c>
      <c r="C8" s="1"/>
      <c r="D8" s="1" t="s">
        <v>0</v>
      </c>
      <c r="E8" s="10">
        <f>B1</f>
        <v>350000</v>
      </c>
    </row>
    <row r="9" ht="14.25" customHeight="1">
      <c r="A9" s="1" t="s">
        <v>14</v>
      </c>
      <c r="B9" s="15">
        <v>0.01</v>
      </c>
      <c r="C9" s="1"/>
      <c r="D9" s="1" t="s">
        <v>15</v>
      </c>
      <c r="E9" s="10">
        <f>B6</f>
        <v>90000</v>
      </c>
    </row>
    <row r="10" ht="14.25" customHeight="1">
      <c r="A10" s="1" t="s">
        <v>16</v>
      </c>
      <c r="B10" s="15">
        <v>0.01</v>
      </c>
      <c r="C10" s="1"/>
      <c r="D10" s="1" t="s">
        <v>17</v>
      </c>
      <c r="E10" s="10">
        <f>B29+B25</f>
        <v>25146</v>
      </c>
    </row>
    <row r="11" ht="14.25" customHeight="1">
      <c r="A11" s="4" t="s">
        <v>18</v>
      </c>
      <c r="B11" s="15">
        <v>0.01</v>
      </c>
      <c r="C11" s="1"/>
      <c r="D11" s="1" t="s">
        <v>19</v>
      </c>
      <c r="E11" s="10">
        <f>B30</f>
        <v>3250</v>
      </c>
    </row>
    <row r="12" ht="14.25" customHeight="1">
      <c r="A12" s="1" t="s">
        <v>20</v>
      </c>
      <c r="B12" s="15">
        <v>0.0</v>
      </c>
      <c r="C12" s="1"/>
      <c r="D12" s="16" t="s">
        <v>21</v>
      </c>
      <c r="E12" s="17">
        <f>SUM(B19:B24,B33:B37)</f>
        <v>51860</v>
      </c>
    </row>
    <row r="13" ht="14.25" customHeight="1">
      <c r="A13" s="1" t="s">
        <v>22</v>
      </c>
      <c r="B13" s="15">
        <v>0.01</v>
      </c>
      <c r="C13" s="1"/>
      <c r="D13" s="1"/>
      <c r="E13" s="10">
        <f>SUM(E8:E12)</f>
        <v>520256</v>
      </c>
    </row>
    <row r="14" ht="14.25" customHeight="1">
      <c r="A14" s="4" t="s">
        <v>23</v>
      </c>
      <c r="B14" s="15">
        <v>0.05</v>
      </c>
      <c r="C14" s="1"/>
      <c r="D14" s="1"/>
      <c r="E14" s="10"/>
    </row>
    <row r="15" ht="14.25" customHeight="1">
      <c r="A15" s="1" t="s">
        <v>24</v>
      </c>
      <c r="B15" s="15">
        <v>0.01</v>
      </c>
      <c r="C15" s="1"/>
      <c r="D15" s="18" t="s">
        <v>25</v>
      </c>
      <c r="E15" s="19"/>
    </row>
    <row r="16" ht="14.25" customHeight="1">
      <c r="A16" s="1"/>
      <c r="B16" s="1"/>
      <c r="C16" s="1"/>
      <c r="D16" s="1" t="s">
        <v>26</v>
      </c>
      <c r="E16" s="10">
        <f>E6-SUM(E8:E12)-B44</f>
        <v>97244</v>
      </c>
    </row>
    <row r="17" ht="14.25" customHeight="1">
      <c r="A17" s="20" t="s">
        <v>27</v>
      </c>
      <c r="B17" s="21"/>
      <c r="C17" s="1"/>
      <c r="D17" s="1" t="s">
        <v>28</v>
      </c>
      <c r="E17" s="10">
        <f>B1+B6+SUM(B19:B25)-B4</f>
        <v>59070</v>
      </c>
    </row>
    <row r="18" ht="14.25" customHeight="1">
      <c r="A18" s="1" t="s">
        <v>0</v>
      </c>
      <c r="B18" s="10">
        <f>B1</f>
        <v>350000</v>
      </c>
      <c r="C18" s="1"/>
      <c r="D18" s="1" t="str">
        <f>"Borrower Cash in Deal ("&amp;B7&amp;" months)"</f>
        <v>Borrower Cash in Deal (6 months)</v>
      </c>
      <c r="E18" s="10">
        <f>E17+SUM(B29:B30)</f>
        <v>83506</v>
      </c>
    </row>
    <row r="19" ht="14.25" customHeight="1">
      <c r="A19" s="4" t="s">
        <v>29</v>
      </c>
      <c r="B19" s="10">
        <v>1500.0</v>
      </c>
      <c r="C19" s="1"/>
      <c r="D19" s="1" t="str">
        <f>"Borrower ROI on Cash in Deal (" &amp; B7 &amp; " months)"</f>
        <v>Borrower ROI on Cash in Deal (6 months)</v>
      </c>
      <c r="E19" s="22">
        <f>E16/E18</f>
        <v>1.164515125</v>
      </c>
    </row>
    <row r="20" ht="14.25" customHeight="1">
      <c r="A20" s="1" t="s">
        <v>30</v>
      </c>
      <c r="B20" s="10">
        <f>B10*B4</f>
        <v>3960</v>
      </c>
      <c r="C20" s="1"/>
      <c r="D20" s="3" t="s">
        <v>31</v>
      </c>
      <c r="E20" s="6">
        <f>E19/2</f>
        <v>0.5822575623</v>
      </c>
      <c r="F20" s="23">
        <f>E18*E20</f>
        <v>48622</v>
      </c>
    </row>
    <row r="21" ht="14.25" customHeight="1">
      <c r="A21" s="1" t="s">
        <v>32</v>
      </c>
      <c r="B21" s="10">
        <v>250.0</v>
      </c>
      <c r="C21" s="1"/>
      <c r="D21" s="1"/>
      <c r="E21" s="22"/>
      <c r="F21" s="23"/>
    </row>
    <row r="22" ht="14.25" customHeight="1">
      <c r="A22" s="1" t="s">
        <v>33</v>
      </c>
      <c r="B22" s="10">
        <v>400.0</v>
      </c>
      <c r="C22" s="1"/>
      <c r="D22" s="4"/>
      <c r="E22" s="4"/>
    </row>
    <row r="23" ht="14.25" customHeight="1">
      <c r="A23" s="4" t="s">
        <v>34</v>
      </c>
      <c r="B23" s="10">
        <v>1500.0</v>
      </c>
      <c r="C23" s="1"/>
      <c r="D23" s="1"/>
      <c r="E23" s="1"/>
    </row>
    <row r="24" ht="14.25" customHeight="1">
      <c r="A24" s="1" t="s">
        <v>22</v>
      </c>
      <c r="B24" s="10">
        <f>B13*B18</f>
        <v>3500</v>
      </c>
      <c r="C24" s="1"/>
      <c r="D24" s="1"/>
      <c r="E24" s="1"/>
      <c r="H24" s="9"/>
    </row>
    <row r="25" ht="14.25" customHeight="1">
      <c r="A25" s="16" t="s">
        <v>35</v>
      </c>
      <c r="B25" s="17">
        <f>B4*B9</f>
        <v>3960</v>
      </c>
      <c r="C25" s="1"/>
      <c r="D25" s="24"/>
      <c r="E25" s="1"/>
      <c r="H25" s="9"/>
    </row>
    <row r="26" ht="14.25" customHeight="1">
      <c r="A26" s="1"/>
      <c r="B26" s="10">
        <f>SUM(B18:B25)</f>
        <v>365070</v>
      </c>
      <c r="C26" s="1"/>
      <c r="D26" s="24"/>
      <c r="E26" s="1"/>
    </row>
    <row r="27" ht="14.25" customHeight="1">
      <c r="A27" s="20" t="s">
        <v>36</v>
      </c>
      <c r="B27" s="25"/>
      <c r="C27" s="1"/>
      <c r="D27" s="6"/>
      <c r="E27" s="4"/>
    </row>
    <row r="28" ht="14.25" customHeight="1">
      <c r="A28" s="1" t="s">
        <v>15</v>
      </c>
      <c r="B28" s="10">
        <f>B6</f>
        <v>90000</v>
      </c>
      <c r="C28" s="1"/>
      <c r="D28" s="11"/>
      <c r="E28" s="4"/>
    </row>
    <row r="29" ht="14.25" customHeight="1">
      <c r="A29" s="1" t="s">
        <v>13</v>
      </c>
      <c r="B29" s="10">
        <f>B7*((B4*B8)/12)</f>
        <v>21186</v>
      </c>
      <c r="C29" s="1"/>
      <c r="D29" s="1"/>
      <c r="E29" s="1"/>
    </row>
    <row r="30" ht="14.25" customHeight="1">
      <c r="A30" s="19" t="s">
        <v>37</v>
      </c>
      <c r="B30" s="17">
        <f>B7*((B15*B2)/12)</f>
        <v>3250</v>
      </c>
      <c r="C30" s="1"/>
      <c r="D30" s="1"/>
      <c r="E30" s="1"/>
    </row>
    <row r="31" ht="14.25" customHeight="1">
      <c r="A31" s="1"/>
      <c r="B31" s="10">
        <f>SUM(B28:B30)</f>
        <v>114436</v>
      </c>
      <c r="C31" s="1"/>
      <c r="D31" s="1"/>
      <c r="E31" s="1"/>
    </row>
    <row r="32" ht="14.25" customHeight="1">
      <c r="A32" s="20" t="s">
        <v>38</v>
      </c>
      <c r="B32" s="25"/>
      <c r="C32" s="1"/>
      <c r="D32" s="1"/>
      <c r="E32" s="1"/>
    </row>
    <row r="33" ht="14.25" customHeight="1">
      <c r="A33" s="4" t="s">
        <v>39</v>
      </c>
      <c r="B33" s="10">
        <f>B2*B14</f>
        <v>32500</v>
      </c>
      <c r="C33" s="1"/>
    </row>
    <row r="34" ht="14.25" customHeight="1">
      <c r="A34" s="1" t="s">
        <v>40</v>
      </c>
      <c r="B34" s="10">
        <f>B2*B11</f>
        <v>6500</v>
      </c>
      <c r="C34" s="1"/>
    </row>
    <row r="35" ht="14.25" customHeight="1">
      <c r="A35" s="1" t="s">
        <v>20</v>
      </c>
      <c r="B35" s="10">
        <f>B2*B12</f>
        <v>0</v>
      </c>
      <c r="C35" s="1"/>
    </row>
    <row r="36" ht="14.25" customHeight="1">
      <c r="A36" s="1" t="s">
        <v>41</v>
      </c>
      <c r="B36" s="10">
        <v>1500.0</v>
      </c>
      <c r="C36" s="1"/>
    </row>
    <row r="37" ht="14.25" customHeight="1">
      <c r="A37" s="16" t="s">
        <v>32</v>
      </c>
      <c r="B37" s="17">
        <v>250.0</v>
      </c>
      <c r="C37" s="1"/>
    </row>
    <row r="38" ht="14.25" customHeight="1">
      <c r="A38" s="1"/>
      <c r="B38" s="10">
        <f>SUM(B33:B37)</f>
        <v>40750</v>
      </c>
      <c r="C38" s="1"/>
    </row>
    <row r="39" ht="14.25" customHeight="1">
      <c r="A39" s="1"/>
      <c r="B39" s="10"/>
      <c r="C39" s="1"/>
    </row>
    <row r="40" ht="14.25" customHeight="1">
      <c r="A40" s="1" t="s">
        <v>42</v>
      </c>
      <c r="B40" s="10">
        <f>B2</f>
        <v>650000</v>
      </c>
      <c r="C40" s="1"/>
    </row>
    <row r="41" ht="14.25" customHeight="1">
      <c r="A41" s="1" t="s">
        <v>43</v>
      </c>
      <c r="B41" s="10">
        <f>B26+B31+B38</f>
        <v>520256</v>
      </c>
      <c r="C41" s="1"/>
    </row>
    <row r="42" ht="14.25" customHeight="1">
      <c r="A42" s="26" t="s">
        <v>44</v>
      </c>
      <c r="B42" s="27">
        <f>B40-B41</f>
        <v>129744</v>
      </c>
      <c r="C42" s="1"/>
    </row>
    <row r="43" ht="14.25" customHeight="1"/>
    <row r="44" ht="14.25" customHeight="1">
      <c r="A44" s="3" t="s">
        <v>45</v>
      </c>
      <c r="B44" s="9">
        <v>0.0</v>
      </c>
    </row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1">
    <mergeCell ref="D4:E4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43"/>
    <col customWidth="1" min="2" max="2" width="20.29"/>
    <col customWidth="1" min="3" max="3" width="17.71"/>
    <col customWidth="1" min="4" max="4" width="11.0"/>
    <col customWidth="1" min="5" max="5" width="17.14"/>
    <col customWidth="1" min="6" max="6" width="16.57"/>
    <col customWidth="1" min="7" max="25" width="8.71"/>
  </cols>
  <sheetData>
    <row r="1" ht="14.25" customHeight="1">
      <c r="A1" s="28" t="s">
        <v>46</v>
      </c>
      <c r="C1" s="29"/>
      <c r="D1" s="30"/>
      <c r="E1" s="28" t="s">
        <v>47</v>
      </c>
    </row>
    <row r="2" ht="14.25" customHeight="1">
      <c r="A2" s="31" t="s">
        <v>48</v>
      </c>
      <c r="B2" s="32">
        <v>100.0</v>
      </c>
      <c r="C2" s="33"/>
      <c r="D2" s="34"/>
    </row>
    <row r="3" ht="14.25" customHeight="1">
      <c r="A3" s="31" t="s">
        <v>49</v>
      </c>
      <c r="B3" s="32">
        <v>1800.0</v>
      </c>
      <c r="C3" s="33"/>
      <c r="D3" s="34"/>
      <c r="E3" s="30" t="s">
        <v>50</v>
      </c>
      <c r="F3" s="35">
        <v>248426.03</v>
      </c>
    </row>
    <row r="4" ht="14.25" customHeight="1">
      <c r="A4" s="31" t="s">
        <v>51</v>
      </c>
      <c r="B4" s="32">
        <v>8250.0</v>
      </c>
      <c r="C4" s="33"/>
      <c r="D4" s="34"/>
      <c r="E4" s="34" t="s">
        <v>52</v>
      </c>
      <c r="F4" s="35">
        <v>10193.0</v>
      </c>
    </row>
    <row r="5" ht="14.25" customHeight="1">
      <c r="A5" s="31" t="s">
        <v>53</v>
      </c>
      <c r="B5" s="32">
        <v>5500.0</v>
      </c>
      <c r="C5" s="33"/>
      <c r="D5" s="30"/>
      <c r="E5" s="34" t="s">
        <v>54</v>
      </c>
      <c r="F5" s="35">
        <v>7683.13</v>
      </c>
    </row>
    <row r="6" ht="14.25" customHeight="1">
      <c r="A6" s="31" t="s">
        <v>55</v>
      </c>
      <c r="B6" s="32">
        <v>3500.0</v>
      </c>
      <c r="C6" s="33"/>
      <c r="D6" s="30"/>
      <c r="E6" s="34" t="s">
        <v>56</v>
      </c>
      <c r="F6" s="35">
        <v>202.67</v>
      </c>
    </row>
    <row r="7" ht="14.25" customHeight="1">
      <c r="A7" s="31" t="s">
        <v>57</v>
      </c>
      <c r="B7" s="32">
        <v>1000.0</v>
      </c>
      <c r="C7" s="33"/>
      <c r="D7" s="34"/>
      <c r="E7" s="30" t="s">
        <v>58</v>
      </c>
      <c r="F7" s="36">
        <f>SUM(F3:F6)</f>
        <v>266504.83</v>
      </c>
      <c r="G7" s="3" t="s">
        <v>59</v>
      </c>
    </row>
    <row r="8" ht="14.25" customHeight="1">
      <c r="A8" s="31" t="s">
        <v>60</v>
      </c>
      <c r="B8" s="32">
        <v>1400.0</v>
      </c>
      <c r="C8" s="33"/>
      <c r="D8" s="30"/>
      <c r="E8" s="30"/>
      <c r="F8" s="35"/>
    </row>
    <row r="9" ht="14.25" customHeight="1">
      <c r="A9" s="31" t="s">
        <v>61</v>
      </c>
      <c r="B9" s="32">
        <v>900.0</v>
      </c>
      <c r="C9" s="33"/>
      <c r="D9" s="34"/>
      <c r="E9" s="34"/>
      <c r="F9" s="35"/>
    </row>
    <row r="10" ht="14.25" customHeight="1">
      <c r="A10" s="31" t="s">
        <v>62</v>
      </c>
      <c r="B10" s="32">
        <v>3000.0</v>
      </c>
      <c r="C10" s="33"/>
      <c r="D10" s="30"/>
      <c r="E10" s="30" t="s">
        <v>63</v>
      </c>
      <c r="F10" s="35">
        <v>297500.0</v>
      </c>
    </row>
    <row r="11" ht="14.25" customHeight="1">
      <c r="A11" s="31" t="s">
        <v>64</v>
      </c>
      <c r="B11" s="32">
        <v>6050.0</v>
      </c>
      <c r="C11" s="33"/>
      <c r="D11" s="30"/>
      <c r="E11" s="34" t="s">
        <v>29</v>
      </c>
      <c r="F11" s="35">
        <v>-13765.18</v>
      </c>
      <c r="G11" s="3" t="s">
        <v>65</v>
      </c>
    </row>
    <row r="12" ht="14.25" customHeight="1">
      <c r="A12" s="31" t="s">
        <v>66</v>
      </c>
      <c r="B12" s="32">
        <v>2000.0</v>
      </c>
      <c r="C12" s="33"/>
      <c r="D12" s="30"/>
      <c r="E12" s="30" t="s">
        <v>67</v>
      </c>
      <c r="F12" s="35">
        <v>-1141.0</v>
      </c>
    </row>
    <row r="13" ht="14.25" customHeight="1">
      <c r="A13" s="31" t="s">
        <v>68</v>
      </c>
      <c r="B13" s="32">
        <v>1750.0</v>
      </c>
      <c r="C13" s="33"/>
      <c r="D13" s="30"/>
      <c r="E13" s="30" t="s">
        <v>69</v>
      </c>
      <c r="F13" s="35">
        <v>-5950.0</v>
      </c>
    </row>
    <row r="14" ht="14.25" customHeight="1">
      <c r="A14" s="31" t="s">
        <v>70</v>
      </c>
      <c r="B14" s="32">
        <v>5800.0</v>
      </c>
      <c r="C14" s="4"/>
      <c r="D14" s="30"/>
      <c r="E14" s="30" t="s">
        <v>71</v>
      </c>
      <c r="F14" s="35">
        <v>-1127.82</v>
      </c>
    </row>
    <row r="15" ht="14.25" customHeight="1">
      <c r="A15" s="31" t="s">
        <v>72</v>
      </c>
      <c r="B15" s="32">
        <v>1500.0</v>
      </c>
      <c r="C15" s="4"/>
      <c r="D15" s="30"/>
      <c r="E15" s="30" t="s">
        <v>73</v>
      </c>
      <c r="F15" s="36">
        <f>SUM(F10:F14)</f>
        <v>275516</v>
      </c>
    </row>
    <row r="16" ht="14.25" customHeight="1">
      <c r="A16" s="31" t="s">
        <v>74</v>
      </c>
      <c r="B16" s="32">
        <v>2127.5</v>
      </c>
      <c r="C16" s="4"/>
      <c r="D16" s="3"/>
      <c r="E16" s="30"/>
      <c r="F16" s="35"/>
    </row>
    <row r="17" ht="14.25" customHeight="1">
      <c r="A17" s="31"/>
      <c r="B17" s="37">
        <f>SUM(B2:B16)</f>
        <v>44677.5</v>
      </c>
      <c r="C17" s="3"/>
      <c r="D17" s="3"/>
      <c r="E17" s="30" t="s">
        <v>75</v>
      </c>
      <c r="F17" s="35">
        <f>F15-F7</f>
        <v>9011.17</v>
      </c>
    </row>
    <row r="18" ht="14.25" customHeight="1">
      <c r="A18" s="31"/>
      <c r="C18" s="3"/>
      <c r="E18" s="3" t="s">
        <v>76</v>
      </c>
      <c r="F18" s="23">
        <v>2000.0</v>
      </c>
    </row>
    <row r="19" ht="14.25" customHeight="1">
      <c r="A19" s="3"/>
      <c r="B19" s="3"/>
      <c r="C19" s="3"/>
      <c r="E19" s="3" t="s">
        <v>77</v>
      </c>
      <c r="F19" s="38">
        <f>F17-F18</f>
        <v>7011.17</v>
      </c>
    </row>
    <row r="20" ht="14.25" customHeight="1">
      <c r="A20" s="3"/>
      <c r="B20" s="3"/>
      <c r="C20" s="3"/>
    </row>
    <row r="21" ht="14.25" customHeight="1">
      <c r="A21" s="3"/>
      <c r="B21" s="3"/>
      <c r="C21" s="3"/>
    </row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43"/>
  </cols>
  <sheetData>
    <row r="1">
      <c r="A1" s="28" t="s">
        <v>78</v>
      </c>
    </row>
    <row r="2">
      <c r="B2" s="23"/>
      <c r="C2" s="39"/>
      <c r="D2" s="33"/>
    </row>
    <row r="3">
      <c r="A3" s="28" t="s">
        <v>79</v>
      </c>
      <c r="D3" s="33"/>
    </row>
    <row r="4">
      <c r="A4" s="3" t="s">
        <v>80</v>
      </c>
      <c r="B4" s="23">
        <v>-1900.0</v>
      </c>
      <c r="C4" s="39">
        <v>45236.0</v>
      </c>
      <c r="D4" s="33" t="s">
        <v>81</v>
      </c>
    </row>
    <row r="5">
      <c r="A5" s="3" t="s">
        <v>82</v>
      </c>
      <c r="B5" s="23">
        <v>-27226.03</v>
      </c>
      <c r="C5" s="39">
        <v>45265.0</v>
      </c>
      <c r="D5" s="33" t="s">
        <v>81</v>
      </c>
    </row>
    <row r="6">
      <c r="B6" s="40">
        <f>SUM(B4:B5)</f>
        <v>-29126.03</v>
      </c>
    </row>
    <row r="8">
      <c r="A8" s="28" t="s">
        <v>83</v>
      </c>
    </row>
    <row r="9">
      <c r="A9" s="33" t="s">
        <v>84</v>
      </c>
      <c r="B9" s="41">
        <v>-386.25</v>
      </c>
      <c r="C9" s="42">
        <v>45237.0</v>
      </c>
      <c r="D9" s="3" t="s">
        <v>85</v>
      </c>
    </row>
    <row r="10">
      <c r="A10" s="33" t="s">
        <v>86</v>
      </c>
      <c r="B10" s="43">
        <v>-85.0</v>
      </c>
      <c r="C10" s="42">
        <v>45239.0</v>
      </c>
      <c r="D10" s="3" t="s">
        <v>85</v>
      </c>
    </row>
    <row r="11">
      <c r="A11" s="33" t="s">
        <v>87</v>
      </c>
      <c r="B11" s="43">
        <v>-388.56</v>
      </c>
      <c r="C11" s="42">
        <v>45267.0</v>
      </c>
      <c r="D11" s="3" t="s">
        <v>85</v>
      </c>
    </row>
    <row r="12">
      <c r="A12" s="33" t="s">
        <v>88</v>
      </c>
      <c r="B12" s="43">
        <v>-2627.91</v>
      </c>
      <c r="C12" s="42">
        <v>45271.0</v>
      </c>
      <c r="D12" s="3" t="s">
        <v>85</v>
      </c>
    </row>
    <row r="13">
      <c r="A13" s="3" t="s">
        <v>89</v>
      </c>
      <c r="B13" s="23">
        <v>-3500.0</v>
      </c>
      <c r="C13" s="39">
        <v>45271.0</v>
      </c>
      <c r="D13" s="3" t="s">
        <v>85</v>
      </c>
    </row>
    <row r="14">
      <c r="A14" s="3" t="s">
        <v>90</v>
      </c>
      <c r="B14" s="23">
        <v>-3060.33</v>
      </c>
      <c r="C14" s="39">
        <v>45272.0</v>
      </c>
      <c r="D14" s="3" t="s">
        <v>85</v>
      </c>
    </row>
    <row r="15">
      <c r="A15" s="3" t="s">
        <v>91</v>
      </c>
      <c r="B15" s="23">
        <v>-2250.0</v>
      </c>
      <c r="C15" s="39">
        <v>45274.0</v>
      </c>
      <c r="D15" s="3" t="s">
        <v>85</v>
      </c>
    </row>
    <row r="16">
      <c r="A16" s="3" t="s">
        <v>92</v>
      </c>
      <c r="B16" s="23">
        <v>-3400.0</v>
      </c>
      <c r="C16" s="39">
        <v>45278.0</v>
      </c>
      <c r="D16" s="3" t="s">
        <v>85</v>
      </c>
    </row>
    <row r="17">
      <c r="A17" s="3" t="s">
        <v>93</v>
      </c>
      <c r="B17" s="23">
        <v>-2875.0</v>
      </c>
      <c r="C17" s="39">
        <v>45279.0</v>
      </c>
      <c r="D17" s="3" t="s">
        <v>85</v>
      </c>
    </row>
    <row r="18">
      <c r="A18" s="3" t="s">
        <v>94</v>
      </c>
      <c r="B18" s="23">
        <v>-1875.0</v>
      </c>
      <c r="C18" s="39">
        <v>45281.0</v>
      </c>
      <c r="D18" s="3" t="s">
        <v>85</v>
      </c>
    </row>
    <row r="19">
      <c r="A19" s="3" t="s">
        <v>95</v>
      </c>
      <c r="B19" s="23">
        <v>-3500.0</v>
      </c>
      <c r="C19" s="39">
        <v>45286.0</v>
      </c>
      <c r="D19" s="33" t="s">
        <v>96</v>
      </c>
    </row>
    <row r="20">
      <c r="A20" s="3" t="s">
        <v>97</v>
      </c>
      <c r="B20" s="23">
        <v>-12250.0</v>
      </c>
      <c r="C20" s="39">
        <v>45286.0</v>
      </c>
      <c r="D20" s="3" t="s">
        <v>98</v>
      </c>
    </row>
    <row r="21">
      <c r="A21" s="3" t="s">
        <v>99</v>
      </c>
      <c r="B21" s="23">
        <v>-3500.0</v>
      </c>
      <c r="C21" s="39">
        <v>45303.0</v>
      </c>
      <c r="D21" s="3" t="s">
        <v>85</v>
      </c>
    </row>
    <row r="22">
      <c r="A22" s="3" t="s">
        <v>100</v>
      </c>
      <c r="B22" s="23">
        <v>-2800.0</v>
      </c>
      <c r="C22" s="39">
        <v>45307.0</v>
      </c>
      <c r="D22" s="3" t="s">
        <v>85</v>
      </c>
    </row>
    <row r="23">
      <c r="A23" s="3" t="s">
        <v>101</v>
      </c>
      <c r="B23" s="23">
        <v>-1525.0</v>
      </c>
      <c r="C23" s="39">
        <v>45307.0</v>
      </c>
      <c r="D23" s="3" t="s">
        <v>85</v>
      </c>
    </row>
    <row r="24">
      <c r="A24" s="3" t="s">
        <v>51</v>
      </c>
      <c r="B24" s="23">
        <v>-8250.0</v>
      </c>
      <c r="C24" s="39">
        <v>45307.0</v>
      </c>
      <c r="D24" s="3" t="s">
        <v>98</v>
      </c>
    </row>
    <row r="25">
      <c r="A25" s="3" t="s">
        <v>102</v>
      </c>
      <c r="B25" s="23">
        <v>-1050.0</v>
      </c>
      <c r="C25" s="39">
        <v>45313.0</v>
      </c>
      <c r="D25" s="3" t="s">
        <v>85</v>
      </c>
    </row>
    <row r="26">
      <c r="A26" s="3" t="s">
        <v>103</v>
      </c>
      <c r="B26" s="23">
        <v>-300.0</v>
      </c>
      <c r="C26" s="39">
        <v>45322.0</v>
      </c>
      <c r="D26" s="3" t="s">
        <v>85</v>
      </c>
    </row>
    <row r="27">
      <c r="A27" s="3" t="s">
        <v>104</v>
      </c>
      <c r="B27" s="23">
        <v>-235.0</v>
      </c>
      <c r="C27" s="39">
        <v>45324.0</v>
      </c>
      <c r="D27" s="3" t="s">
        <v>85</v>
      </c>
    </row>
    <row r="28">
      <c r="A28" s="3" t="s">
        <v>105</v>
      </c>
      <c r="B28" s="23">
        <v>-200.0</v>
      </c>
      <c r="C28" s="44">
        <v>45343.0</v>
      </c>
      <c r="D28" s="3" t="s">
        <v>85</v>
      </c>
    </row>
    <row r="29">
      <c r="A29" s="3" t="s">
        <v>106</v>
      </c>
      <c r="B29" s="23">
        <v>-250.0</v>
      </c>
      <c r="C29" s="39">
        <v>45387.0</v>
      </c>
      <c r="D29" s="3" t="s">
        <v>85</v>
      </c>
    </row>
    <row r="30">
      <c r="A30" s="3" t="s">
        <v>107</v>
      </c>
      <c r="B30" s="23">
        <v>-415.0</v>
      </c>
      <c r="C30" s="39">
        <v>45398.0</v>
      </c>
      <c r="D30" s="33" t="s">
        <v>85</v>
      </c>
    </row>
    <row r="31">
      <c r="A31" s="3" t="s">
        <v>108</v>
      </c>
      <c r="B31" s="23">
        <v>-70.0</v>
      </c>
      <c r="C31" s="39">
        <v>45436.0</v>
      </c>
      <c r="D31" s="33" t="s">
        <v>85</v>
      </c>
    </row>
    <row r="32">
      <c r="B32" s="40">
        <f>SUM(B9:B31)</f>
        <v>-54793.05</v>
      </c>
    </row>
    <row r="34">
      <c r="A34" s="28" t="s">
        <v>56</v>
      </c>
    </row>
    <row r="35">
      <c r="A35" s="3" t="s">
        <v>109</v>
      </c>
      <c r="B35" s="23">
        <v>-30.62</v>
      </c>
      <c r="C35" s="44">
        <v>45333.0</v>
      </c>
      <c r="D35" s="3" t="s">
        <v>110</v>
      </c>
    </row>
    <row r="36">
      <c r="A36" s="3" t="s">
        <v>111</v>
      </c>
      <c r="B36" s="23">
        <v>-37.91</v>
      </c>
      <c r="C36" s="44">
        <v>45384.0</v>
      </c>
      <c r="D36" s="3" t="s">
        <v>110</v>
      </c>
    </row>
    <row r="37">
      <c r="A37" s="3" t="s">
        <v>112</v>
      </c>
      <c r="B37" s="23">
        <v>-35.3</v>
      </c>
      <c r="C37" s="39">
        <v>45403.0</v>
      </c>
      <c r="D37" s="3" t="s">
        <v>110</v>
      </c>
    </row>
    <row r="38">
      <c r="A38" s="3" t="s">
        <v>113</v>
      </c>
      <c r="B38" s="23">
        <v>-18.03</v>
      </c>
      <c r="C38" s="44">
        <v>45375.0</v>
      </c>
      <c r="D38" s="3" t="s">
        <v>110</v>
      </c>
    </row>
    <row r="39">
      <c r="A39" s="3" t="s">
        <v>114</v>
      </c>
      <c r="B39" s="23">
        <v>-58.64</v>
      </c>
      <c r="C39" s="44">
        <v>45378.0</v>
      </c>
      <c r="D39" s="3" t="s">
        <v>110</v>
      </c>
    </row>
    <row r="40">
      <c r="A40" s="3" t="s">
        <v>115</v>
      </c>
      <c r="B40" s="23">
        <v>-22.17</v>
      </c>
      <c r="C40" s="44">
        <v>45407.0</v>
      </c>
      <c r="D40" s="3" t="s">
        <v>110</v>
      </c>
    </row>
    <row r="41">
      <c r="B41" s="40">
        <f>SUM(B35:B40)</f>
        <v>-202.67</v>
      </c>
    </row>
    <row r="43">
      <c r="A43" s="45" t="s">
        <v>116</v>
      </c>
      <c r="B43" s="43"/>
      <c r="C43" s="42"/>
      <c r="D43" s="33"/>
    </row>
    <row r="44">
      <c r="A44" s="33" t="s">
        <v>117</v>
      </c>
      <c r="B44" s="43">
        <v>-1865.01</v>
      </c>
      <c r="C44" s="42">
        <v>45323.0</v>
      </c>
      <c r="D44" s="33" t="s">
        <v>118</v>
      </c>
    </row>
    <row r="45">
      <c r="A45" s="3" t="s">
        <v>119</v>
      </c>
      <c r="B45" s="23">
        <v>-1925.1</v>
      </c>
      <c r="C45" s="39">
        <v>45352.0</v>
      </c>
      <c r="D45" s="3" t="s">
        <v>118</v>
      </c>
    </row>
    <row r="46">
      <c r="A46" s="3" t="s">
        <v>120</v>
      </c>
      <c r="B46" s="23">
        <v>-1946.51</v>
      </c>
      <c r="C46" s="39">
        <v>45383.0</v>
      </c>
      <c r="D46" s="3" t="s">
        <v>118</v>
      </c>
    </row>
    <row r="47">
      <c r="A47" s="3" t="s">
        <v>121</v>
      </c>
      <c r="B47" s="23">
        <v>-1946.51</v>
      </c>
      <c r="C47" s="3" t="s">
        <v>122</v>
      </c>
      <c r="D47" s="3" t="s">
        <v>118</v>
      </c>
    </row>
    <row r="48">
      <c r="A48" s="33"/>
      <c r="B48" s="46">
        <f>SUM(B44:B47)</f>
        <v>-7683.13</v>
      </c>
      <c r="C48" s="42"/>
      <c r="D48" s="33"/>
    </row>
    <row r="49">
      <c r="A49" s="4"/>
      <c r="B49" s="24"/>
      <c r="C49" s="47"/>
      <c r="D49" s="33"/>
    </row>
    <row r="50">
      <c r="A50" s="48" t="s">
        <v>43</v>
      </c>
      <c r="B50" s="24">
        <f>B48+B41+B32+B6</f>
        <v>-91804.88</v>
      </c>
      <c r="C50" s="47"/>
      <c r="D50" s="33"/>
    </row>
    <row r="51">
      <c r="A51" s="4"/>
      <c r="B51" s="24"/>
      <c r="C51" s="47"/>
      <c r="D51" s="33"/>
    </row>
    <row r="52">
      <c r="B52" s="23"/>
      <c r="C52" s="39"/>
      <c r="D52" s="33"/>
    </row>
    <row r="53">
      <c r="A53" s="28" t="s">
        <v>123</v>
      </c>
      <c r="B53" s="23"/>
      <c r="C53" s="39"/>
      <c r="D53" s="3"/>
    </row>
    <row r="54">
      <c r="A54" s="3" t="s">
        <v>124</v>
      </c>
      <c r="B54" s="23">
        <v>26416.0</v>
      </c>
      <c r="C54" s="39">
        <v>45282.0</v>
      </c>
      <c r="D54" s="3" t="s">
        <v>125</v>
      </c>
    </row>
    <row r="55">
      <c r="A55" s="3" t="s">
        <v>126</v>
      </c>
      <c r="B55" s="23">
        <v>17826.0</v>
      </c>
      <c r="C55" s="39">
        <v>45327.0</v>
      </c>
      <c r="D55" s="33" t="s">
        <v>125</v>
      </c>
    </row>
    <row r="56">
      <c r="A56" s="3" t="s">
        <v>127</v>
      </c>
      <c r="B56" s="40">
        <f>SUM(B54:B55)</f>
        <v>44242</v>
      </c>
      <c r="C56" s="39"/>
      <c r="D56" s="3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2015-02-06T22:01:13Z</dcterms:created>
  <dc:creator>Eric Abramovich</dc:creator>
</cp:coreProperties>
</file>