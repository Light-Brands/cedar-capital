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<sst xmlns="http://schemas.openxmlformats.org/spreadsheetml/2006/main" count="146" uniqueCount="130">
  <si>
    <t>Item</t>
  </si>
  <si>
    <t>Actual</t>
  </si>
  <si>
    <t>Estimate of Qty.</t>
  </si>
  <si>
    <t>Cost</t>
  </si>
  <si>
    <t>Total Cost</t>
  </si>
  <si>
    <t>Est. Hrs.</t>
  </si>
  <si>
    <t>Labor Cost</t>
  </si>
  <si>
    <t>Total Labor</t>
  </si>
  <si>
    <t>Comments</t>
  </si>
  <si>
    <t>Links, Where to buy</t>
  </si>
  <si>
    <t>Style</t>
  </si>
  <si>
    <t>Demo</t>
  </si>
  <si>
    <t>2 container 40 yards</t>
  </si>
  <si>
    <t>Elliot Brown</t>
  </si>
  <si>
    <t>hello@enduracleaning.com</t>
  </si>
  <si>
    <t>Demo Kitchen Wall</t>
  </si>
  <si>
    <t>Interior painting ($1-2/sq ft)</t>
  </si>
  <si>
    <t>Tom Collins - Painter</t>
  </si>
  <si>
    <t>tomlcollins40@gmail.com</t>
  </si>
  <si>
    <t>Level Subfloor</t>
  </si>
  <si>
    <t>Cement</t>
  </si>
  <si>
    <t>Oleg</t>
  </si>
  <si>
    <t>Texture Walls</t>
  </si>
  <si>
    <t>Imperfect smooth finish</t>
  </si>
  <si>
    <t>Exterior and interior doors and trim</t>
  </si>
  <si>
    <t>include 4 exterior doors, 1 front door, 3 interior doors, 2 bathroom doors, 5 sets of closet doors</t>
  </si>
  <si>
    <t>HD Supply, look elsewhere to compare price</t>
  </si>
  <si>
    <t>http://www.homedepot.com/p/Kimberly-Bay-32-in-x-80-in-White-5-Panel-Shaker-Solid-Core-Pine-Interior-Door-Slab-DPSHA5W32/300718490?cm_mmc=Shopping%7cTHD%7cG%7c0%7cG-BASE-PLA-D30-Doors%7c&amp;gclid=Cj0KCQjwtpDMBRC4ARIsADhz5O6lV9ynaEsx6WIWSjtg6eRGga21VnPwEe7Rpzll0v2T1rXU_L22pMkaAkGZEALw_wcB&amp;gclsrc=aw.ds&amp;dclid=CJvDo9exv9UCFYS_ZAodEIgIOQ</t>
  </si>
  <si>
    <t>Exterior paint</t>
  </si>
  <si>
    <t>Kitchen cabinets</t>
  </si>
  <si>
    <t>Kitchen Countertops</t>
  </si>
  <si>
    <t>2 8x2 slabs, 1 10x2 slab, 1 8x3 slab, includes labor</t>
  </si>
  <si>
    <t>Appliances</t>
  </si>
  <si>
    <t>oven, micro, cooktop, sink, dishwasher - second cycle appliance</t>
  </si>
  <si>
    <t>Kitchen Faucet</t>
  </si>
  <si>
    <t>?</t>
  </si>
  <si>
    <t>https://www.amazon.com/dp/B00Y41ZNTO/ref=sxr_rr_xsim_1?pf_rd_m=ATVPDKIKX0DER&amp;pf_rd_p=3008523062&amp;pd_rd_wg=stOlv&amp;pf_rd_r=F8C5KFHPKPVBAPM425YW&amp;pf_rd_s=desktop-rhs-carousels&amp;pf_rd_t=301&amp;pd_rd_i=B00Y41ZNTO&amp;pd_rd_w=c2Csn&amp;pf_rd_i=faucet+sink&amp;pd_rd_r=YYH1DJCB6779VDC7HFK1&amp;ie=UTF8&amp;qid=1501900889&amp;sr=1</t>
  </si>
  <si>
    <t>Kitchen Sink</t>
  </si>
  <si>
    <t>Cabinet guy should install</t>
  </si>
  <si>
    <t>HD Supply large square single basin sink</t>
  </si>
  <si>
    <t>Cabinet pulls 7-9/16 inch</t>
  </si>
  <si>
    <t>http://www.knobdeals.com/search/hardware/bar-pulls</t>
  </si>
  <si>
    <t>Cabinet pulls 5 inch</t>
  </si>
  <si>
    <t>Door hinges</t>
  </si>
  <si>
    <t>Door knobs</t>
  </si>
  <si>
    <t>Build.com</t>
  </si>
  <si>
    <t>Brushed or Satin Nickel</t>
  </si>
  <si>
    <t>Front Door Handleset</t>
  </si>
  <si>
    <t>Deadbolts</t>
  </si>
  <si>
    <t>Keyed door handles</t>
  </si>
  <si>
    <t xml:space="preserve">Flooring </t>
  </si>
  <si>
    <t>1930 sf</t>
  </si>
  <si>
    <t>Flooring should not be over this price installed</t>
  </si>
  <si>
    <t>builddirect.com</t>
  </si>
  <si>
    <t>Laminate, 12mm, Dark</t>
  </si>
  <si>
    <t>Baseboards</t>
  </si>
  <si>
    <t>Master Bath vanity</t>
  </si>
  <si>
    <t>Cabinet guy - need quote</t>
  </si>
  <si>
    <t>Master Bathroom remodel</t>
  </si>
  <si>
    <t>master - wall tile, river rock bottom</t>
  </si>
  <si>
    <t>Master Tub</t>
  </si>
  <si>
    <t>Stand Alone tub</t>
  </si>
  <si>
    <t>Master Shower</t>
  </si>
  <si>
    <t>3 ft wide x 5 ft long?</t>
  </si>
  <si>
    <t>http://www.homedepot.com/p/MARAZZI-Developed-by-Nature-Calacatta-12-in-x-24-in-Glazed-Porcelain-Floor-and-Wall-Tile-15-6-sq-ft-case-DN111224HD1P6/206017768</t>
  </si>
  <si>
    <t>http://www.homedepot.com/p/MS-International-Carrara-12-in-x-24-in-Glazed-Polished-Porcelain-Floor-and-Wall-Tile-16-sq-ft-case-NHDCARR1224P/205138045</t>
  </si>
  <si>
    <t>Shower Door</t>
  </si>
  <si>
    <t>Shower Fixtures</t>
  </si>
  <si>
    <t>Amazon</t>
  </si>
  <si>
    <t>Toilet</t>
  </si>
  <si>
    <t>Home depot $99</t>
  </si>
  <si>
    <t>Hall Bathroom Remodel</t>
  </si>
  <si>
    <t>New faucet and light fixtures.</t>
  </si>
  <si>
    <t>Hall Bath Cabinet</t>
  </si>
  <si>
    <t>Paint and put on handles</t>
  </si>
  <si>
    <t>Light fixtures,ceiling fans</t>
  </si>
  <si>
    <t>How many lights and ceiling fans?</t>
  </si>
  <si>
    <t>Dome Lights</t>
  </si>
  <si>
    <t>How many dome lights</t>
  </si>
  <si>
    <t>Home Depot - brush nickel $10 dome lights</t>
  </si>
  <si>
    <t>Recessed lighting in Kitchen</t>
  </si>
  <si>
    <t>Buy off amazon, eric peterson can do labor</t>
  </si>
  <si>
    <t>Fireplace</t>
  </si>
  <si>
    <t>tile places over brick, wood mantle  - Zack</t>
  </si>
  <si>
    <t>Tile Flooring</t>
  </si>
  <si>
    <t>master bath, 2nd unit bath, get quotes for other areas - 2nd unit kitchen, kitchen and laundry in main house</t>
  </si>
  <si>
    <t>Outlets and covers</t>
  </si>
  <si>
    <t>Second unit</t>
  </si>
  <si>
    <t>Kitchen Cabinets</t>
  </si>
  <si>
    <t>cheapest &amp; nicest looking</t>
  </si>
  <si>
    <t>Grand kitchen, builders 101</t>
  </si>
  <si>
    <t>150 per slab</t>
  </si>
  <si>
    <t>Verify with granite outlet</t>
  </si>
  <si>
    <t>Bathroom Vanity</t>
  </si>
  <si>
    <t xml:space="preserve">Shower </t>
  </si>
  <si>
    <t>Tile surround</t>
  </si>
  <si>
    <t>Need quote from tile guy - zack</t>
  </si>
  <si>
    <t>Water heater</t>
  </si>
  <si>
    <t>Flooring</t>
  </si>
  <si>
    <t>414 sq ft</t>
  </si>
  <si>
    <t>approx 200 sq ft Carpet upstairs, Laminate/ Tile in kitchen and bathroom</t>
  </si>
  <si>
    <t>Other:</t>
  </si>
  <si>
    <t>Landscape irrigation</t>
  </si>
  <si>
    <t>Bark</t>
  </si>
  <si>
    <t>Square yards</t>
  </si>
  <si>
    <t>How many do we sq yards do we need?</t>
  </si>
  <si>
    <t>Plants</t>
  </si>
  <si>
    <t>Gravel</t>
  </si>
  <si>
    <t>For side yard pathway and back yard parking area</t>
  </si>
  <si>
    <t>Backyard landscape</t>
  </si>
  <si>
    <t>Grass? Planter boxes? Let's get a quote from landscaper</t>
  </si>
  <si>
    <t>Concrete patio</t>
  </si>
  <si>
    <t>Ramon, Includes back patio, concrete step in front</t>
  </si>
  <si>
    <t>Electrical</t>
  </si>
  <si>
    <t>Pest work / Siding</t>
  </si>
  <si>
    <t>Quinn</t>
  </si>
  <si>
    <t>Stain Deck</t>
  </si>
  <si>
    <t>Brad's guy</t>
  </si>
  <si>
    <t>Permits</t>
  </si>
  <si>
    <t>Architecht</t>
  </si>
  <si>
    <t>Wall Framing - Laundry, master</t>
  </si>
  <si>
    <t>Put wall up for laundry room, put a pantry closet in, master bedroom will have walls constructed for closet and master bath, frame openings to the master and construct new opening from the hallway</t>
  </si>
  <si>
    <t>Windows</t>
  </si>
  <si>
    <t>Need quote from window guy</t>
  </si>
  <si>
    <t>wall removal</t>
  </si>
  <si>
    <t>Remove walls around kitchen</t>
  </si>
  <si>
    <t>Staging</t>
  </si>
  <si>
    <t xml:space="preserve">Teri </t>
  </si>
  <si>
    <t>Totals</t>
  </si>
  <si>
    <t>Contingency 10%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</si>
</sst>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</font>
    <font>
      <b/>
      <sz val="12.0"/>
      <color rgb="FF000000"/>
      <name val="Calibri"/>
    </font>
    <font>
      <name val="Arial"/>
    </font>
    <font>
      <sz val="12.0"/>
      <color rgb="FF000000"/>
      <name val="Calibri"/>
    </font>
    <font>
      <sz val="9.0"/>
      <name val="Helvetica"/>
    </font>
    <font>
      <u/>
      <sz val="9.0"/>
      <color rgb="FF0000FF"/>
      <name val="Helvetica"/>
    </font>
    <font>
      <u/>
      <color rgb="FF0000FF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164" xfId="0" applyAlignment="1" applyFont="1" applyNumberFormat="1">
      <alignment horizontal="left" shrinkToFit="0" wrapText="0"/>
    </xf>
    <xf borderId="0" fillId="0" fontId="3" numFmtId="164" xfId="0" applyAlignment="1" applyFont="1" applyNumberFormat="1">
      <alignment horizontal="left" shrinkToFit="0" wrapText="0"/>
    </xf>
    <xf borderId="0" fillId="0" fontId="2" numFmtId="164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wrapText="0"/>
    </xf>
    <xf borderId="0" fillId="0" fontId="3" numFmtId="164" xfId="0" applyAlignment="1" applyFont="1" applyNumberFormat="1">
      <alignment horizontal="left"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horizontal="left" readingOrder="0" shrinkToFit="0" wrapText="0"/>
    </xf>
    <xf borderId="0" fillId="2" fontId="2" numFmtId="164" xfId="0" applyAlignment="1" applyFill="1" applyFont="1" applyNumberForma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6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left" shrinkToFit="0" wrapText="0"/>
    </xf>
    <xf borderId="0" fillId="0" fontId="1" numFmtId="164" xfId="0" applyAlignment="1" applyFont="1" applyNumberFormat="1">
      <alignment horizontal="left" shrinkToFit="0" wrapText="0"/>
    </xf>
    <xf borderId="0" fillId="0" fontId="2" numFmtId="164" xfId="0" applyAlignment="1" applyFont="1" applyNumberFormat="1">
      <alignment horizontal="left" shrinkToFit="0" wrapText="0"/>
    </xf>
    <xf borderId="0" fillId="3" fontId="3" numFmtId="164" xfId="0" applyAlignment="1" applyFill="1" applyFont="1" applyNumberFormat="1">
      <alignment horizontal="left" shrinkToFit="0" wrapText="0"/>
    </xf>
    <xf borderId="0" fillId="2" fontId="2" numFmtId="164" xfId="0" applyAlignment="1" applyFont="1" applyNumberFormat="1">
      <alignment horizontal="left" shrinkToFit="0" wrapText="0"/>
    </xf>
    <xf borderId="0" fillId="0" fontId="3" numFmtId="0" xfId="0" applyAlignment="1" applyFont="1">
      <alignment horizontal="left" readingOrder="0" shrinkToFit="0" wrapText="0"/>
    </xf>
    <xf borderId="0" fillId="4" fontId="3" numFmtId="0" xfId="0" applyAlignment="1" applyFill="1" applyFont="1">
      <alignment horizontal="left" readingOrder="0" shrinkToFit="0" wrapText="0"/>
    </xf>
    <xf borderId="0" fillId="4" fontId="3" numFmtId="0" xfId="0" applyAlignment="1" applyFont="1">
      <alignment horizontal="left" shrinkToFit="0" wrapText="0"/>
    </xf>
    <xf borderId="0" fillId="0" fontId="1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readingOrder="0" shrinkToFit="0" wrapText="0"/>
    </xf>
    <xf borderId="0" fillId="2" fontId="3" numFmtId="164" xfId="0" applyAlignment="1" applyFont="1" applyNumberFormat="1">
      <alignment horizontal="left" readingOrder="0" shrinkToFit="0" wrapText="0"/>
    </xf>
    <xf borderId="0" fillId="0" fontId="3" numFmtId="0" xfId="0" applyAlignment="1" applyFont="1">
      <alignment horizontal="left" readingOrder="0" shrinkToFit="0" vertical="bottom" wrapText="0"/>
    </xf>
    <xf borderId="0" fillId="2" fontId="3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7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builddirect.com" TargetMode="External"/><Relationship Id="rId10" Type="http://schemas.openxmlformats.org/officeDocument/2006/relationships/hyperlink" Target="http://build.com" TargetMode="External"/><Relationship Id="rId13" Type="http://schemas.openxmlformats.org/officeDocument/2006/relationships/hyperlink" Target="http://www.homedepot.com/p/MS-International-Carrara-12-in-x-24-in-Glazed-Polished-Porcelain-Floor-and-Wall-Tile-16-sq-ft-case-NHDCARR1224P/205138045" TargetMode="External"/><Relationship Id="rId12" Type="http://schemas.openxmlformats.org/officeDocument/2006/relationships/hyperlink" Target="http://www.homedepot.com/p/MARAZZI-Developed-by-Nature-Calacatta-12-in-x-24-in-Glazed-Porcelain-Floor-and-Wall-Tile-15-6-sq-ft-case-DN111224HD1P6/206017768" TargetMode="External"/><Relationship Id="rId1" Type="http://schemas.openxmlformats.org/officeDocument/2006/relationships/hyperlink" Target="mailto:tomlcollins40@gmail.com" TargetMode="External"/><Relationship Id="rId2" Type="http://schemas.openxmlformats.org/officeDocument/2006/relationships/hyperlink" Target="http://www.homedepot.com/p/Kimberly-Bay-32-in-x-80-in-White-5-Panel-Shaker-Solid-Core-Pine-Interior-Door-Slab-DPSHA5W32/300718490?cm_mmc=Shopping%7cTHD%7cG%7c0%7cG-BASE-PLA-D30-Doors%7c&amp;gclid=Cj0KCQjwtpDMBRC4ARIsADhz5O6lV9ynaEsx6WIWSjtg6eRGga21VnPwEe7Rpzll0v2T1rXU_L22pMkaAkGZEALw_wcB&amp;gclsrc=aw.ds&amp;dclid=CJvDo9exv9UCFYS_ZAodEIgIOQ" TargetMode="External"/><Relationship Id="rId3" Type="http://schemas.openxmlformats.org/officeDocument/2006/relationships/hyperlink" Target="mailto:tomlcollins40@gmail.com" TargetMode="External"/><Relationship Id="rId4" Type="http://schemas.openxmlformats.org/officeDocument/2006/relationships/hyperlink" Target="https://www.amazon.com/dp/B00Y41ZNTO/ref=sxr_rr_xsim_1?pf_rd_m=ATVPDKIKX0DER&amp;pf_rd_p=3008523062&amp;pd_rd_wg=stOlv&amp;pf_rd_r=F8C5KFHPKPVBAPM425YW&amp;pf_rd_s=desktop-rhs-carousels&amp;pf_rd_t=301&amp;pd_rd_i=B00Y41ZNTO&amp;pd_rd_w=c2Csn&amp;pf_rd_i=faucet+sink&amp;pd_rd_r=YYH1DJCB6779VDC7HFK1&amp;ie=UTF8&amp;qid=1501900889&amp;sr=1" TargetMode="External"/><Relationship Id="rId9" Type="http://schemas.openxmlformats.org/officeDocument/2006/relationships/hyperlink" Target="http://build.com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www.knobdeals.com/search/hardware/bar-pulls" TargetMode="External"/><Relationship Id="rId6" Type="http://schemas.openxmlformats.org/officeDocument/2006/relationships/hyperlink" Target="http://www.knobdeals.com/search/hardware/bar-pulls" TargetMode="External"/><Relationship Id="rId7" Type="http://schemas.openxmlformats.org/officeDocument/2006/relationships/hyperlink" Target="http://build.com" TargetMode="External"/><Relationship Id="rId8" Type="http://schemas.openxmlformats.org/officeDocument/2006/relationships/hyperlink" Target="http://buil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3" max="3" width="14.5"/>
    <col customWidth="1" min="11" max="11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1" t="s">
        <v>8</v>
      </c>
      <c r="K1" s="2" t="s">
        <v>9</v>
      </c>
      <c r="L1" s="2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5" t="s">
        <v>12</v>
      </c>
      <c r="C2" s="4">
        <v>2.0</v>
      </c>
      <c r="D2" s="6">
        <v>300.0</v>
      </c>
      <c r="E2" s="7">
        <f>C2*D2</f>
        <v>600</v>
      </c>
      <c r="F2" s="4">
        <v>32.0</v>
      </c>
      <c r="G2" s="6">
        <v>15.0</v>
      </c>
      <c r="H2" s="7">
        <f>F2*G2</f>
        <v>480</v>
      </c>
      <c r="I2" s="8">
        <v>2570.0</v>
      </c>
      <c r="J2" s="5" t="s">
        <v>13</v>
      </c>
      <c r="K2" s="9" t="s">
        <v>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 t="s">
        <v>15</v>
      </c>
      <c r="B3" s="5"/>
      <c r="C3" s="4"/>
      <c r="D3" s="11"/>
      <c r="E3" s="7"/>
      <c r="F3" s="4"/>
      <c r="G3" s="11">
        <v>400.0</v>
      </c>
      <c r="H3" s="7"/>
      <c r="I3" s="8">
        <v>400.0</v>
      </c>
      <c r="J3" s="5" t="s">
        <v>13</v>
      </c>
      <c r="K3" s="1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16</v>
      </c>
      <c r="B4" s="5">
        <v>3100.0</v>
      </c>
      <c r="C4" s="4">
        <v>1.0</v>
      </c>
      <c r="D4" s="11">
        <v>1000.0</v>
      </c>
      <c r="E4" s="7">
        <f>C4*D4</f>
        <v>1000</v>
      </c>
      <c r="F4" s="4">
        <v>24.0</v>
      </c>
      <c r="G4" s="6">
        <v>25.0</v>
      </c>
      <c r="H4" s="7"/>
      <c r="I4" s="8">
        <v>2933.0</v>
      </c>
      <c r="J4" s="5" t="s">
        <v>17</v>
      </c>
      <c r="K4" s="13" t="s">
        <v>18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 t="s">
        <v>19</v>
      </c>
      <c r="B5" s="5" t="s">
        <v>20</v>
      </c>
      <c r="C5" s="10">
        <v>35.0</v>
      </c>
      <c r="D5" s="11">
        <v>30.0</v>
      </c>
      <c r="E5" s="14">
        <v>1200.0</v>
      </c>
      <c r="F5" s="10">
        <v>48.0</v>
      </c>
      <c r="G5" s="6"/>
      <c r="H5" s="14">
        <v>1600.0</v>
      </c>
      <c r="I5" s="15">
        <v>3000.0</v>
      </c>
      <c r="J5" s="10" t="s">
        <v>21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22</v>
      </c>
      <c r="B6" s="16"/>
      <c r="C6" s="4"/>
      <c r="D6" s="6"/>
      <c r="E6" s="7"/>
      <c r="F6" s="4"/>
      <c r="G6" s="6"/>
      <c r="H6" s="7"/>
      <c r="I6" s="15"/>
      <c r="J6" s="10" t="s">
        <v>23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24</v>
      </c>
      <c r="B7" s="16"/>
      <c r="C7" s="4">
        <v>14.0</v>
      </c>
      <c r="D7" s="6">
        <v>50.0</v>
      </c>
      <c r="E7" s="7">
        <f t="shared" ref="E7:E10" si="1">C7*D7</f>
        <v>700</v>
      </c>
      <c r="F7" s="4">
        <v>30.0</v>
      </c>
      <c r="G7" s="6">
        <v>20.0</v>
      </c>
      <c r="H7" s="7">
        <f t="shared" ref="H7:H11" si="2">F7*G7</f>
        <v>600</v>
      </c>
      <c r="J7" s="10" t="s">
        <v>25</v>
      </c>
      <c r="K7" s="9" t="s">
        <v>26</v>
      </c>
      <c r="L7" s="17" t="s">
        <v>27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28</v>
      </c>
      <c r="B8" s="16"/>
      <c r="C8" s="4">
        <v>1.0</v>
      </c>
      <c r="D8" s="6">
        <v>30.0</v>
      </c>
      <c r="E8" s="7">
        <f t="shared" si="1"/>
        <v>30</v>
      </c>
      <c r="F8" s="4">
        <v>2.0</v>
      </c>
      <c r="G8" s="6">
        <v>20.0</v>
      </c>
      <c r="H8" s="7">
        <f t="shared" si="2"/>
        <v>40</v>
      </c>
      <c r="I8" s="8">
        <v>3166.0</v>
      </c>
      <c r="J8" s="10" t="s">
        <v>17</v>
      </c>
      <c r="K8" s="13" t="s">
        <v>18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29</v>
      </c>
      <c r="B9" s="4"/>
      <c r="C9" s="4">
        <v>1.0</v>
      </c>
      <c r="D9" s="6">
        <v>3000.0</v>
      </c>
      <c r="E9" s="7">
        <f t="shared" si="1"/>
        <v>3000</v>
      </c>
      <c r="F9" s="4">
        <v>10.0</v>
      </c>
      <c r="G9" s="6">
        <v>20.0</v>
      </c>
      <c r="H9" s="7">
        <f t="shared" si="2"/>
        <v>200</v>
      </c>
      <c r="I9" s="18">
        <f>H9+E9</f>
        <v>3200</v>
      </c>
      <c r="J9" s="1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30</v>
      </c>
      <c r="B10" s="16"/>
      <c r="C10" s="4">
        <v>1.0</v>
      </c>
      <c r="D10" s="6">
        <v>2700.0</v>
      </c>
      <c r="E10" s="7">
        <f t="shared" si="1"/>
        <v>2700</v>
      </c>
      <c r="F10" s="4">
        <v>0.0</v>
      </c>
      <c r="G10" s="6">
        <v>0.0</v>
      </c>
      <c r="H10" s="7">
        <f t="shared" si="2"/>
        <v>0</v>
      </c>
      <c r="I10" s="19">
        <v>2710.0</v>
      </c>
      <c r="J10" s="4" t="s">
        <v>31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32</v>
      </c>
      <c r="B11" s="16"/>
      <c r="C11" s="16"/>
      <c r="D11" s="20"/>
      <c r="E11" s="14">
        <v>1200.0</v>
      </c>
      <c r="F11" s="10">
        <v>3.0</v>
      </c>
      <c r="G11" s="11">
        <v>120.0</v>
      </c>
      <c r="H11" s="7">
        <f t="shared" si="2"/>
        <v>360</v>
      </c>
      <c r="I11" s="18">
        <f>H11+E11</f>
        <v>1560</v>
      </c>
      <c r="J11" s="4" t="s">
        <v>33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34</v>
      </c>
      <c r="B12" s="16"/>
      <c r="C12" s="4"/>
      <c r="D12" s="11">
        <v>79.0</v>
      </c>
      <c r="E12" s="7"/>
      <c r="F12" s="4"/>
      <c r="G12" s="11" t="s">
        <v>35</v>
      </c>
      <c r="H12" s="21"/>
      <c r="I12" s="8"/>
      <c r="J12" s="4"/>
      <c r="K12" s="17" t="s">
        <v>36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37</v>
      </c>
      <c r="B13" s="16"/>
      <c r="C13" s="4"/>
      <c r="D13" s="11">
        <v>180.0</v>
      </c>
      <c r="E13" s="7"/>
      <c r="F13" s="4"/>
      <c r="G13" s="6"/>
      <c r="H13" s="21"/>
      <c r="I13" s="18"/>
      <c r="J13" s="10" t="s">
        <v>38</v>
      </c>
      <c r="K13" s="9" t="s">
        <v>39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 t="s">
        <v>40</v>
      </c>
      <c r="B14" s="16"/>
      <c r="C14" s="10">
        <v>50.0</v>
      </c>
      <c r="D14" s="11">
        <v>3.3</v>
      </c>
      <c r="E14" s="7">
        <f>C14*D14</f>
        <v>165</v>
      </c>
      <c r="F14" s="4">
        <v>3.0</v>
      </c>
      <c r="G14" s="6">
        <v>20.0</v>
      </c>
      <c r="H14" s="7">
        <f>F14*G14</f>
        <v>60</v>
      </c>
      <c r="I14" s="18">
        <f>H14+E14</f>
        <v>225</v>
      </c>
      <c r="J14" s="10" t="s">
        <v>38</v>
      </c>
      <c r="K14" s="17" t="s">
        <v>41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 t="s">
        <v>42</v>
      </c>
      <c r="B15" s="16"/>
      <c r="C15" s="4"/>
      <c r="D15" s="11">
        <v>2.59</v>
      </c>
      <c r="E15" s="7"/>
      <c r="F15" s="4"/>
      <c r="G15" s="6"/>
      <c r="H15" s="7"/>
      <c r="I15" s="18"/>
      <c r="J15" s="10" t="s">
        <v>38</v>
      </c>
      <c r="K15" s="17" t="s">
        <v>41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 t="s">
        <v>43</v>
      </c>
      <c r="B16" s="16"/>
      <c r="C16" s="4"/>
      <c r="D16" s="6"/>
      <c r="E16" s="7"/>
      <c r="F16" s="4"/>
      <c r="G16" s="6"/>
      <c r="H16" s="7"/>
      <c r="I16" s="18"/>
      <c r="J16" s="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 t="s">
        <v>44</v>
      </c>
      <c r="B17" s="16"/>
      <c r="C17" s="4">
        <v>14.0</v>
      </c>
      <c r="D17" s="11">
        <v>10.0</v>
      </c>
      <c r="E17" s="7">
        <f t="shared" ref="E17:E19" si="3">C17*D17</f>
        <v>140</v>
      </c>
      <c r="F17" s="4">
        <v>3.0</v>
      </c>
      <c r="G17" s="6">
        <v>20.0</v>
      </c>
      <c r="H17" s="7">
        <f t="shared" ref="H17:H19" si="4">F17*G17</f>
        <v>60</v>
      </c>
      <c r="I17" s="18">
        <f t="shared" ref="I17:I19" si="5">H17+E17</f>
        <v>200</v>
      </c>
      <c r="J17" s="4"/>
      <c r="K17" s="17" t="s">
        <v>45</v>
      </c>
      <c r="L17" s="9" t="s">
        <v>46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 t="s">
        <v>47</v>
      </c>
      <c r="B18" s="16"/>
      <c r="C18" s="10"/>
      <c r="D18" s="11">
        <v>180.0</v>
      </c>
      <c r="E18" s="7">
        <f t="shared" si="3"/>
        <v>0</v>
      </c>
      <c r="F18" s="4"/>
      <c r="G18" s="6">
        <v>20.0</v>
      </c>
      <c r="H18" s="7">
        <f t="shared" si="4"/>
        <v>0</v>
      </c>
      <c r="I18" s="18">
        <f t="shared" si="5"/>
        <v>0</v>
      </c>
      <c r="J18" s="4"/>
      <c r="K18" s="17" t="s">
        <v>45</v>
      </c>
      <c r="L18" s="9" t="s">
        <v>46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 t="s">
        <v>48</v>
      </c>
      <c r="B19" s="16"/>
      <c r="C19" s="10"/>
      <c r="D19" s="11">
        <v>30.0</v>
      </c>
      <c r="E19" s="7">
        <f t="shared" si="3"/>
        <v>0</v>
      </c>
      <c r="F19" s="4"/>
      <c r="G19" s="6">
        <v>20.0</v>
      </c>
      <c r="H19" s="7">
        <f t="shared" si="4"/>
        <v>0</v>
      </c>
      <c r="I19" s="18">
        <f t="shared" si="5"/>
        <v>0</v>
      </c>
      <c r="J19" s="4"/>
      <c r="K19" s="17" t="s">
        <v>45</v>
      </c>
      <c r="L19" s="9" t="s">
        <v>46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 t="s">
        <v>49</v>
      </c>
      <c r="B20" s="16"/>
      <c r="C20" s="10"/>
      <c r="D20" s="11">
        <v>50.0</v>
      </c>
      <c r="E20" s="7"/>
      <c r="F20" s="10"/>
      <c r="G20" s="11"/>
      <c r="H20" s="7"/>
      <c r="I20" s="18"/>
      <c r="J20" s="4"/>
      <c r="K20" s="17" t="s">
        <v>45</v>
      </c>
      <c r="L20" s="9" t="s">
        <v>46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50</v>
      </c>
      <c r="B21" s="5" t="s">
        <v>51</v>
      </c>
      <c r="C21" s="10">
        <v>1930.0</v>
      </c>
      <c r="D21" s="11">
        <v>1.0</v>
      </c>
      <c r="E21" s="7">
        <f t="shared" ref="E21:E24" si="6">C21*D21</f>
        <v>1930</v>
      </c>
      <c r="F21" s="10">
        <v>1930.0</v>
      </c>
      <c r="G21" s="11">
        <v>1.0</v>
      </c>
      <c r="H21" s="7">
        <f t="shared" ref="H21:H24" si="7">F21*G21</f>
        <v>1930</v>
      </c>
      <c r="I21" s="18">
        <f t="shared" ref="I21:I23" si="8">H21+E21</f>
        <v>3860</v>
      </c>
      <c r="J21" s="10" t="s">
        <v>52</v>
      </c>
      <c r="K21" s="17" t="s">
        <v>53</v>
      </c>
      <c r="L21" s="9" t="s">
        <v>54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55</v>
      </c>
      <c r="B22" s="16"/>
      <c r="C22" s="10">
        <v>3000.0</v>
      </c>
      <c r="D22" s="11">
        <v>0.3</v>
      </c>
      <c r="E22" s="7">
        <f t="shared" si="6"/>
        <v>900</v>
      </c>
      <c r="F22" s="10">
        <v>24.0</v>
      </c>
      <c r="G22" s="6">
        <v>15.0</v>
      </c>
      <c r="H22" s="7">
        <f t="shared" si="7"/>
        <v>360</v>
      </c>
      <c r="I22" s="22">
        <f t="shared" si="8"/>
        <v>1260</v>
      </c>
      <c r="J22" s="2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56</v>
      </c>
      <c r="B23" s="16"/>
      <c r="C23" s="4">
        <v>1.0</v>
      </c>
      <c r="D23" s="11">
        <v>1000.0</v>
      </c>
      <c r="E23" s="7">
        <f t="shared" si="6"/>
        <v>1000</v>
      </c>
      <c r="F23" s="4">
        <v>2.0</v>
      </c>
      <c r="G23" s="6">
        <v>20.0</v>
      </c>
      <c r="H23" s="7">
        <f t="shared" si="7"/>
        <v>40</v>
      </c>
      <c r="I23" s="22">
        <f t="shared" si="8"/>
        <v>1040</v>
      </c>
      <c r="J23" s="5" t="s">
        <v>57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58</v>
      </c>
      <c r="B24" s="16"/>
      <c r="C24" s="10">
        <v>150.0</v>
      </c>
      <c r="D24" s="6">
        <v>2.0</v>
      </c>
      <c r="E24" s="7">
        <f t="shared" si="6"/>
        <v>300</v>
      </c>
      <c r="F24" s="4">
        <v>30.0</v>
      </c>
      <c r="G24" s="6">
        <v>30.0</v>
      </c>
      <c r="H24" s="7">
        <f t="shared" si="7"/>
        <v>900</v>
      </c>
      <c r="I24" s="8">
        <v>5000.0</v>
      </c>
      <c r="J24" s="4" t="s">
        <v>59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4" t="s">
        <v>60</v>
      </c>
      <c r="B25" s="16"/>
      <c r="C25" s="4"/>
      <c r="D25" s="6"/>
      <c r="E25" s="14">
        <v>700.0</v>
      </c>
      <c r="F25" s="4"/>
      <c r="G25" s="6"/>
      <c r="H25" s="7"/>
      <c r="I25" s="15"/>
      <c r="J25" s="10"/>
      <c r="K25" s="9"/>
      <c r="L25" s="9" t="s">
        <v>61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4" t="s">
        <v>62</v>
      </c>
      <c r="B26" s="5" t="s">
        <v>63</v>
      </c>
      <c r="C26" s="4"/>
      <c r="D26" s="11">
        <v>2.0</v>
      </c>
      <c r="E26" s="7"/>
      <c r="F26" s="4"/>
      <c r="G26" s="6"/>
      <c r="H26" s="7"/>
      <c r="I26" s="15"/>
      <c r="J26" s="10"/>
      <c r="K26" s="3"/>
      <c r="L26" s="17" t="s">
        <v>64</v>
      </c>
      <c r="M26" s="17" t="s">
        <v>65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 t="s">
        <v>66</v>
      </c>
      <c r="B27" s="16"/>
      <c r="C27" s="4"/>
      <c r="D27" s="6"/>
      <c r="E27" s="14">
        <v>800.0</v>
      </c>
      <c r="F27" s="4"/>
      <c r="G27" s="6"/>
      <c r="H27" s="7"/>
      <c r="I27" s="15"/>
      <c r="J27" s="1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4" t="s">
        <v>67</v>
      </c>
      <c r="B28" s="16"/>
      <c r="C28" s="4"/>
      <c r="D28" s="6"/>
      <c r="E28" s="7"/>
      <c r="F28" s="4"/>
      <c r="G28" s="6"/>
      <c r="H28" s="7"/>
      <c r="I28" s="15"/>
      <c r="J28" s="10"/>
      <c r="K28" s="9" t="s">
        <v>68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4" t="s">
        <v>69</v>
      </c>
      <c r="B29" s="16"/>
      <c r="C29" s="4"/>
      <c r="D29" s="6"/>
      <c r="E29" s="14">
        <v>100.0</v>
      </c>
      <c r="F29" s="4"/>
      <c r="G29" s="6"/>
      <c r="H29" s="7"/>
      <c r="I29" s="8"/>
      <c r="J29" s="10"/>
      <c r="K29" s="3"/>
      <c r="L29" s="9" t="s">
        <v>70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 t="s">
        <v>71</v>
      </c>
      <c r="B30" s="16"/>
      <c r="C30" s="4"/>
      <c r="D30" s="6"/>
      <c r="E30" s="14">
        <v>150.0</v>
      </c>
      <c r="F30" s="4"/>
      <c r="G30" s="6"/>
      <c r="H30" s="7"/>
      <c r="I30" s="8"/>
      <c r="J30" s="10" t="s">
        <v>72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73</v>
      </c>
      <c r="B31" s="16"/>
      <c r="C31" s="4">
        <v>1.0</v>
      </c>
      <c r="D31" s="6">
        <v>10.0</v>
      </c>
      <c r="E31" s="7">
        <f t="shared" ref="E31:E37" si="9">C31*D31</f>
        <v>10</v>
      </c>
      <c r="F31" s="10">
        <v>3.0</v>
      </c>
      <c r="G31" s="6">
        <v>20.0</v>
      </c>
      <c r="H31" s="7">
        <f t="shared" ref="H31:H34" si="10">F31*G31</f>
        <v>60</v>
      </c>
      <c r="I31" s="18">
        <f t="shared" ref="I31:I33" si="11">H31+E31</f>
        <v>70</v>
      </c>
      <c r="J31" s="10" t="s">
        <v>74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5" t="s">
        <v>75</v>
      </c>
      <c r="B32" s="16"/>
      <c r="C32" s="10">
        <v>4.0</v>
      </c>
      <c r="D32" s="11">
        <v>100.0</v>
      </c>
      <c r="E32" s="7">
        <f t="shared" si="9"/>
        <v>400</v>
      </c>
      <c r="F32" s="10">
        <v>8.0</v>
      </c>
      <c r="G32" s="6">
        <v>18.0</v>
      </c>
      <c r="H32" s="7">
        <f t="shared" si="10"/>
        <v>144</v>
      </c>
      <c r="I32" s="18">
        <f t="shared" si="11"/>
        <v>544</v>
      </c>
      <c r="J32" s="5" t="s">
        <v>76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4" t="s">
        <v>77</v>
      </c>
      <c r="B33" s="16"/>
      <c r="C33" s="10">
        <v>5.0</v>
      </c>
      <c r="D33" s="11">
        <v>10.0</v>
      </c>
      <c r="E33" s="7">
        <f t="shared" si="9"/>
        <v>50</v>
      </c>
      <c r="F33" s="10">
        <v>4.0</v>
      </c>
      <c r="G33" s="11">
        <v>18.0</v>
      </c>
      <c r="H33" s="7">
        <f t="shared" si="10"/>
        <v>72</v>
      </c>
      <c r="I33" s="18">
        <f t="shared" si="11"/>
        <v>122</v>
      </c>
      <c r="J33" s="5" t="s">
        <v>78</v>
      </c>
      <c r="K33" s="9" t="s">
        <v>79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4" t="s">
        <v>80</v>
      </c>
      <c r="B34" s="16"/>
      <c r="C34" s="10">
        <v>6.0</v>
      </c>
      <c r="D34" s="11">
        <v>30.0</v>
      </c>
      <c r="E34" s="7">
        <f t="shared" si="9"/>
        <v>180</v>
      </c>
      <c r="F34" s="10">
        <v>8.0</v>
      </c>
      <c r="G34" s="11">
        <v>25.0</v>
      </c>
      <c r="H34" s="7">
        <f t="shared" si="10"/>
        <v>200</v>
      </c>
      <c r="I34" s="18">
        <f t="shared" ref="I34:I36" si="12">E34+H34</f>
        <v>380</v>
      </c>
      <c r="J34" s="5" t="s">
        <v>81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5" t="s">
        <v>82</v>
      </c>
      <c r="B35" s="16"/>
      <c r="C35" s="10">
        <v>100.0</v>
      </c>
      <c r="D35" s="11">
        <v>2.0</v>
      </c>
      <c r="E35" s="7">
        <f t="shared" si="9"/>
        <v>200</v>
      </c>
      <c r="F35" s="4"/>
      <c r="G35" s="6">
        <v>0.0</v>
      </c>
      <c r="H35" s="14">
        <v>500.0</v>
      </c>
      <c r="I35" s="18">
        <f t="shared" si="12"/>
        <v>700</v>
      </c>
      <c r="J35" s="10" t="s">
        <v>83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5" t="s">
        <v>84</v>
      </c>
      <c r="B36" s="4"/>
      <c r="C36" s="10">
        <v>100.0</v>
      </c>
      <c r="D36" s="6">
        <v>2.0</v>
      </c>
      <c r="E36" s="7">
        <f t="shared" si="9"/>
        <v>200</v>
      </c>
      <c r="F36" s="10">
        <v>100.0</v>
      </c>
      <c r="G36" s="11">
        <v>2.0</v>
      </c>
      <c r="H36" s="7">
        <f t="shared" ref="H36:H37" si="13">F36*G36</f>
        <v>200</v>
      </c>
      <c r="I36" s="18">
        <f t="shared" si="12"/>
        <v>400</v>
      </c>
      <c r="J36" s="10" t="s">
        <v>85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86</v>
      </c>
      <c r="B37" s="16"/>
      <c r="C37" s="10">
        <v>50.0</v>
      </c>
      <c r="D37" s="6">
        <v>2.0</v>
      </c>
      <c r="E37" s="7">
        <f t="shared" si="9"/>
        <v>100</v>
      </c>
      <c r="F37" s="10">
        <v>16.0</v>
      </c>
      <c r="G37" s="11">
        <v>20.0</v>
      </c>
      <c r="H37" s="7">
        <f t="shared" si="13"/>
        <v>320</v>
      </c>
      <c r="I37" s="18">
        <f>H37+E37</f>
        <v>420</v>
      </c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6"/>
      <c r="B38" s="16"/>
      <c r="C38" s="4"/>
      <c r="D38" s="27"/>
      <c r="E38" s="7"/>
      <c r="F38" s="4"/>
      <c r="G38" s="6"/>
      <c r="H38" s="7"/>
      <c r="I38" s="8"/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6"/>
      <c r="B39" s="16"/>
      <c r="C39" s="4"/>
      <c r="D39" s="27"/>
      <c r="E39" s="7"/>
      <c r="F39" s="4"/>
      <c r="G39" s="6"/>
      <c r="H39" s="7"/>
      <c r="I39" s="8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6"/>
      <c r="B40" s="16"/>
      <c r="C40" s="4"/>
      <c r="D40" s="27"/>
      <c r="E40" s="7"/>
      <c r="F40" s="4"/>
      <c r="G40" s="6"/>
      <c r="H40" s="7"/>
      <c r="I40" s="8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6"/>
      <c r="B41" s="16"/>
      <c r="C41" s="4"/>
      <c r="D41" s="27"/>
      <c r="E41" s="7"/>
      <c r="F41" s="4"/>
      <c r="G41" s="6"/>
      <c r="H41" s="7"/>
      <c r="I41" s="8"/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6" t="s">
        <v>87</v>
      </c>
      <c r="B42" s="16"/>
      <c r="C42" s="4"/>
      <c r="D42" s="27"/>
      <c r="E42" s="7"/>
      <c r="F42" s="4"/>
      <c r="G42" s="6"/>
      <c r="H42" s="7"/>
      <c r="I42" s="8"/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0" t="s">
        <v>88</v>
      </c>
      <c r="B43" s="4"/>
      <c r="C43" s="4"/>
      <c r="D43" s="6"/>
      <c r="E43" s="7"/>
      <c r="F43" s="4"/>
      <c r="G43" s="6"/>
      <c r="H43" s="7"/>
      <c r="I43" s="28"/>
      <c r="J43" s="10" t="s">
        <v>89</v>
      </c>
      <c r="K43" s="9" t="s">
        <v>90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0" t="s">
        <v>30</v>
      </c>
      <c r="B44" s="10" t="s">
        <v>91</v>
      </c>
      <c r="C44" s="10">
        <v>3.0</v>
      </c>
      <c r="D44" s="11">
        <v>150.0</v>
      </c>
      <c r="E44" s="7">
        <f>C44*D44</f>
        <v>450</v>
      </c>
      <c r="F44" s="10">
        <v>3.0</v>
      </c>
      <c r="G44" s="11">
        <v>150.0</v>
      </c>
      <c r="H44" s="7">
        <f>F44*G44</f>
        <v>450</v>
      </c>
      <c r="I44" s="22">
        <f>H44+E44</f>
        <v>900</v>
      </c>
      <c r="J44" s="10" t="s">
        <v>89</v>
      </c>
      <c r="K44" s="9" t="s">
        <v>92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0" t="s">
        <v>93</v>
      </c>
      <c r="B45" s="4"/>
      <c r="C45" s="4"/>
      <c r="D45" s="6"/>
      <c r="E45" s="14">
        <v>200.0</v>
      </c>
      <c r="F45" s="4"/>
      <c r="G45" s="6"/>
      <c r="H45" s="7"/>
      <c r="I45" s="28">
        <v>300.0</v>
      </c>
      <c r="J45" s="10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0" t="s">
        <v>94</v>
      </c>
      <c r="B46" s="10" t="s">
        <v>95</v>
      </c>
      <c r="C46" s="4"/>
      <c r="D46" s="6"/>
      <c r="E46" s="7"/>
      <c r="F46" s="4"/>
      <c r="G46" s="6"/>
      <c r="H46" s="7"/>
      <c r="I46" s="28"/>
      <c r="J46" s="10" t="s">
        <v>96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 t="s">
        <v>69</v>
      </c>
      <c r="B47" s="4"/>
      <c r="C47" s="4"/>
      <c r="D47" s="6"/>
      <c r="E47" s="14">
        <v>100.0</v>
      </c>
      <c r="F47" s="4"/>
      <c r="G47" s="6"/>
      <c r="H47" s="7"/>
      <c r="I47" s="28"/>
      <c r="J47" s="10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9" t="s">
        <v>97</v>
      </c>
      <c r="B48" s="3"/>
      <c r="C48" s="3"/>
      <c r="D48" s="3"/>
      <c r="E48" s="3"/>
      <c r="F48" s="3"/>
      <c r="G48" s="3"/>
      <c r="H48" s="3"/>
      <c r="I48" s="30">
        <v>1500.0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0" t="s">
        <v>98</v>
      </c>
      <c r="B49" s="5" t="s">
        <v>99</v>
      </c>
      <c r="C49" s="4"/>
      <c r="D49" s="27"/>
      <c r="E49" s="7"/>
      <c r="F49" s="4"/>
      <c r="G49" s="6"/>
      <c r="H49" s="7"/>
      <c r="I49" s="15"/>
      <c r="J49" s="10" t="s">
        <v>100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0"/>
      <c r="B50" s="16"/>
      <c r="C50" s="4"/>
      <c r="D50" s="27"/>
      <c r="E50" s="7"/>
      <c r="F50" s="4"/>
      <c r="G50" s="6"/>
      <c r="H50" s="7"/>
      <c r="I50" s="8"/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0"/>
      <c r="B51" s="16"/>
      <c r="C51" s="4"/>
      <c r="D51" s="27"/>
      <c r="E51" s="7"/>
      <c r="F51" s="4"/>
      <c r="G51" s="6"/>
      <c r="H51" s="7"/>
      <c r="I51" s="8"/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0"/>
      <c r="B52" s="16"/>
      <c r="C52" s="4"/>
      <c r="D52" s="27"/>
      <c r="E52" s="7"/>
      <c r="F52" s="4"/>
      <c r="G52" s="6"/>
      <c r="H52" s="7"/>
      <c r="I52" s="8"/>
      <c r="J52" s="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0" t="s">
        <v>101</v>
      </c>
      <c r="B53" s="16"/>
      <c r="C53" s="4"/>
      <c r="D53" s="27"/>
      <c r="E53" s="7"/>
      <c r="F53" s="4"/>
      <c r="G53" s="6"/>
      <c r="H53" s="7"/>
      <c r="I53" s="8"/>
      <c r="J53" s="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0" t="s">
        <v>102</v>
      </c>
      <c r="B54" s="16"/>
      <c r="C54" s="4">
        <v>1.0</v>
      </c>
      <c r="D54" s="27">
        <v>800.0</v>
      </c>
      <c r="E54" s="7">
        <f>C54*D54</f>
        <v>800</v>
      </c>
      <c r="F54" s="4">
        <v>16.0</v>
      </c>
      <c r="G54" s="6">
        <v>15.0</v>
      </c>
      <c r="H54" s="7">
        <f>F54*G54</f>
        <v>240</v>
      </c>
      <c r="I54" s="15">
        <f>E54+H54</f>
        <v>1040</v>
      </c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0" t="s">
        <v>103</v>
      </c>
      <c r="B55" s="5" t="s">
        <v>104</v>
      </c>
      <c r="C55" s="16"/>
      <c r="D55" s="27">
        <v>40.0</v>
      </c>
      <c r="E55" s="14"/>
      <c r="F55" s="10"/>
      <c r="G55" s="11"/>
      <c r="H55" s="7"/>
      <c r="I55" s="22"/>
      <c r="J55" s="10" t="s">
        <v>105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 t="s">
        <v>106</v>
      </c>
      <c r="B56" s="16"/>
      <c r="C56" s="5">
        <v>30.0</v>
      </c>
      <c r="D56" s="27">
        <v>15.0</v>
      </c>
      <c r="E56" s="7">
        <f>C56*D56</f>
        <v>450</v>
      </c>
      <c r="F56" s="16"/>
      <c r="G56" s="20"/>
      <c r="H56" s="7"/>
      <c r="I56" s="15"/>
      <c r="J56" s="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 t="s">
        <v>107</v>
      </c>
      <c r="B57" s="16"/>
      <c r="C57" s="16"/>
      <c r="D57" s="27">
        <v>40.0</v>
      </c>
      <c r="E57" s="7"/>
      <c r="F57" s="16"/>
      <c r="G57" s="20"/>
      <c r="H57" s="7"/>
      <c r="I57" s="15"/>
      <c r="J57" s="5" t="s">
        <v>108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 t="s">
        <v>109</v>
      </c>
      <c r="B58" s="16"/>
      <c r="C58" s="16"/>
      <c r="D58" s="20"/>
      <c r="E58" s="7"/>
      <c r="F58" s="16"/>
      <c r="G58" s="20"/>
      <c r="H58" s="7"/>
      <c r="I58" s="15"/>
      <c r="J58" s="5" t="s">
        <v>110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16"/>
      <c r="C59" s="16"/>
      <c r="D59" s="20"/>
      <c r="E59" s="7"/>
      <c r="F59" s="16"/>
      <c r="G59" s="20"/>
      <c r="H59" s="7"/>
      <c r="I59" s="15"/>
      <c r="J59" s="5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 t="s">
        <v>111</v>
      </c>
      <c r="B60" s="16"/>
      <c r="C60" s="16"/>
      <c r="D60" s="20"/>
      <c r="E60" s="7"/>
      <c r="F60" s="16"/>
      <c r="G60" s="20"/>
      <c r="H60" s="7"/>
      <c r="I60" s="15">
        <v>1700.0</v>
      </c>
      <c r="J60" s="5" t="s">
        <v>112</v>
      </c>
      <c r="K60" s="3"/>
      <c r="L60" s="9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 t="s">
        <v>113</v>
      </c>
      <c r="B61" s="16"/>
      <c r="C61" s="16"/>
      <c r="D61" s="20"/>
      <c r="E61" s="7"/>
      <c r="F61" s="16"/>
      <c r="G61" s="20"/>
      <c r="H61" s="7"/>
      <c r="I61" s="15">
        <v>5000.0</v>
      </c>
      <c r="J61" s="16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 t="s">
        <v>114</v>
      </c>
      <c r="B62" s="16"/>
      <c r="C62" s="16"/>
      <c r="D62" s="20"/>
      <c r="E62" s="7"/>
      <c r="F62" s="16"/>
      <c r="G62" s="20"/>
      <c r="H62" s="7"/>
      <c r="I62" s="8">
        <v>10000.0</v>
      </c>
      <c r="J62" s="5" t="s">
        <v>115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 t="s">
        <v>116</v>
      </c>
      <c r="B63" s="16"/>
      <c r="C63" s="16"/>
      <c r="D63" s="20"/>
      <c r="E63" s="7"/>
      <c r="F63" s="16"/>
      <c r="G63" s="20"/>
      <c r="H63" s="7"/>
      <c r="I63" s="15"/>
      <c r="J63" s="5" t="s">
        <v>117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0" t="s">
        <v>118</v>
      </c>
      <c r="B64" s="16"/>
      <c r="C64" s="4"/>
      <c r="D64" s="20"/>
      <c r="E64" s="7"/>
      <c r="F64" s="16"/>
      <c r="G64" s="20"/>
      <c r="H64" s="7"/>
      <c r="I64" s="8">
        <v>2500.0</v>
      </c>
      <c r="J64" s="16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0" t="s">
        <v>119</v>
      </c>
      <c r="B65" s="16"/>
      <c r="C65" s="4"/>
      <c r="D65" s="20"/>
      <c r="E65" s="7"/>
      <c r="F65" s="16"/>
      <c r="G65" s="20"/>
      <c r="H65" s="7"/>
      <c r="I65" s="15">
        <v>2000.0</v>
      </c>
      <c r="J65" s="16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0" t="s">
        <v>120</v>
      </c>
      <c r="B66" s="16"/>
      <c r="C66" s="4"/>
      <c r="D66" s="20"/>
      <c r="E66" s="7"/>
      <c r="F66" s="16"/>
      <c r="G66" s="20"/>
      <c r="H66" s="7"/>
      <c r="I66" s="15"/>
      <c r="J66" s="5" t="s">
        <v>121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9" t="s">
        <v>122</v>
      </c>
      <c r="B67" s="3"/>
      <c r="C67" s="3"/>
      <c r="D67" s="3"/>
      <c r="E67" s="3"/>
      <c r="F67" s="3"/>
      <c r="G67" s="3"/>
      <c r="H67" s="3"/>
      <c r="I67" s="30">
        <v>7500.0</v>
      </c>
      <c r="J67" s="9" t="s">
        <v>123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9" t="s">
        <v>124</v>
      </c>
      <c r="B68" s="3"/>
      <c r="C68" s="3"/>
      <c r="D68" s="3"/>
      <c r="E68" s="3"/>
      <c r="F68" s="3"/>
      <c r="G68" s="3"/>
      <c r="H68" s="3"/>
      <c r="I68" s="30"/>
      <c r="J68" s="9" t="s">
        <v>125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9"/>
      <c r="B69" s="3"/>
      <c r="C69" s="3"/>
      <c r="D69" s="3"/>
      <c r="E69" s="3"/>
      <c r="F69" s="3"/>
      <c r="G69" s="3"/>
      <c r="H69" s="3"/>
      <c r="I69" s="29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9" t="s">
        <v>126</v>
      </c>
      <c r="B70" s="3"/>
      <c r="C70" s="3"/>
      <c r="D70" s="3"/>
      <c r="E70" s="3"/>
      <c r="F70" s="3"/>
      <c r="G70" s="3"/>
      <c r="H70" s="3"/>
      <c r="I70" s="29">
        <v>2500.0</v>
      </c>
      <c r="J70" s="9" t="s">
        <v>127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9"/>
      <c r="B71" s="3"/>
      <c r="C71" s="3"/>
      <c r="D71" s="3"/>
      <c r="E71" s="3"/>
      <c r="F71" s="3"/>
      <c r="G71" s="3"/>
      <c r="H71" s="3"/>
      <c r="I71" s="29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1" t="s">
        <v>128</v>
      </c>
      <c r="B73" s="3"/>
      <c r="C73" s="3"/>
      <c r="D73" s="3"/>
      <c r="E73" s="32">
        <f t="shared" ref="E73:F73" si="14">SUM(E2:E66)</f>
        <v>19755</v>
      </c>
      <c r="F73" s="31">
        <f t="shared" si="14"/>
        <v>2299</v>
      </c>
      <c r="G73" s="32">
        <v>0.0</v>
      </c>
      <c r="H73" s="32">
        <f>SUM(H2:H66)</f>
        <v>8816</v>
      </c>
      <c r="I73" s="32">
        <f>SUM(I2:I71)</f>
        <v>68700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0" t="s">
        <v>129</v>
      </c>
      <c r="B74" s="3"/>
      <c r="C74" s="3"/>
      <c r="D74" s="3"/>
      <c r="E74" s="3"/>
      <c r="F74" s="3"/>
      <c r="G74" s="3"/>
      <c r="H74" s="3"/>
      <c r="I74" s="33">
        <f>I73*1.1</f>
        <v>75570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</row>
    <row r="1045">
      <c r="A1045" s="3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</row>
    <row r="1046">
      <c r="A1046" s="3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</row>
  </sheetData>
  <hyperlinks>
    <hyperlink r:id="rId1" ref="K4"/>
    <hyperlink r:id="rId2" ref="L7"/>
    <hyperlink r:id="rId3" ref="K8"/>
    <hyperlink r:id="rId4" ref="K12"/>
    <hyperlink r:id="rId5" ref="K14"/>
    <hyperlink r:id="rId6" ref="K15"/>
    <hyperlink r:id="rId7" ref="K17"/>
    <hyperlink r:id="rId8" ref="K18"/>
    <hyperlink r:id="rId9" ref="K19"/>
    <hyperlink r:id="rId10" ref="K20"/>
    <hyperlink r:id="rId11" ref="K21"/>
    <hyperlink r:id="rId12" ref="L26"/>
    <hyperlink r:id="rId13" ref="M26"/>
  </hyperlinks>
  <drawing r:id="rId14"/>
</worksheet>
</file>