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ts to Build" sheetId="1" r:id="rId4"/>
    <sheet state="visible" name="Rental Income" sheetId="2" r:id="rId5"/>
    <sheet state="visible" name="Sheet3" sheetId="3" r:id="rId6"/>
  </sheets>
  <definedNames/>
  <calcPr/>
</workbook>
</file>

<file path=xl/sharedStrings.xml><?xml version="1.0" encoding="utf-8"?>
<sst xmlns="http://schemas.openxmlformats.org/spreadsheetml/2006/main" count="173" uniqueCount="161">
  <si>
    <t>Item</t>
  </si>
  <si>
    <t>Links, Where to buy</t>
  </si>
  <si>
    <t>Comments</t>
  </si>
  <si>
    <t>Actual</t>
  </si>
  <si>
    <t>Estimate of Qty.</t>
  </si>
  <si>
    <t>Cost / Unit</t>
  </si>
  <si>
    <t>Total Cost</t>
  </si>
  <si>
    <t>Est. Hrs.</t>
  </si>
  <si>
    <t>Labor Cost</t>
  </si>
  <si>
    <t>Total Labor</t>
  </si>
  <si>
    <t>Weight</t>
  </si>
  <si>
    <t>Style</t>
  </si>
  <si>
    <t>ChatGPT Info</t>
  </si>
  <si>
    <t>Framing</t>
  </si>
  <si>
    <t>Trailer + Wheels</t>
  </si>
  <si>
    <t>The cost of a 30-foot tiny home trailer foundation varies based on factors such as design specifications, materials, and regional pricing. Generally, a 30-foot trailer suitable for a tiny home ranges from approximately $4,500 to $9,500.
Factors Influencing Cost:
Trailer Type:
Bumper Pull Trailers: These attach via a ball hitch on the back of a tow vehicle. They are common and typically more affordable.
Gooseneck Trailers: These extend over the bed of a truck, attaching via a ball hitch mounted in the truck bed. They offer increased stability and additional living space above the hitch but are generally more expensive. 
TINY HOUSE BASICS
Width and Customization:
Standard trailer widths are up to 102 inches. Opting for wider models, such as 10-foot or 12-foot widths, can increase costs. For instance, a 10-foot wide deck option may add approximately $2,200 to the base price, while 11- to 12-foot widths can add around $4,400. 
TINY HOUSE BASICS
Axle Capacity and Design Features:
The trailer's weight capacity affects pricing. Heavier-duty axles designed to support more weight will increase costs.
Features like drop axles, which lower the deck height for increased interior headroom, can add approximately $350 for a two-axle trailer. 
TINY HOUSE BASICS
Material Costs and Regional Variations:
Material costs, especially steel, can vary by region, affecting the overall price of the trailer. Manufacturers adjust prices based on local material costs and labor rates. 
TINY HOUSE BASICS
Additional Considerations:
Customization: Tailoring the trailer to specific design requirements, such as unique dimensions or specialized features, will impact the final cost.
Delivery Fees: Transporting the trailer to your location can add to the overall expense, with costs varying based on distance and manufacturer policies.
Permitting and Regulations: Ensure compliance with local regulations and permitting requirements, which may involve additional fees.
In summary, while a standard 30-foot tiny home trailer foundation typically costs between $4,500 and $9,500, various factors—including trailer type, width, axle capacity, customization, and regional material costs—can influence the final price. It's advisable to consult with manufacturers to obtain quotes tailored to your specific needs and to account for any additional expenses such as delivery and permitting fees.</t>
  </si>
  <si>
    <t>MGO Panels</t>
  </si>
  <si>
    <t>Panels - MGO board 8 x 4’ 13 57 ft.² equals 3777 - magpanel (42.7 panels) 67lb per panel = 2800lbs, $89 / panel</t>
  </si>
  <si>
    <t>67lbs / Panel</t>
  </si>
  <si>
    <t>Finished MGO Panels</t>
  </si>
  <si>
    <t>Shower Tile</t>
  </si>
  <si>
    <t>how to not crack?</t>
  </si>
  <si>
    <t>Flooring</t>
  </si>
  <si>
    <t>Bamboo</t>
  </si>
  <si>
    <t>Interior painting ($1-2/sq ft)</t>
  </si>
  <si>
    <t>Tom Collins - Painter</t>
  </si>
  <si>
    <t>Level Subfloor</t>
  </si>
  <si>
    <t>Oleg</t>
  </si>
  <si>
    <t>Cement</t>
  </si>
  <si>
    <t>Texture Walls</t>
  </si>
  <si>
    <t>Imperfect smooth finish</t>
  </si>
  <si>
    <t>Exterior and interior doors and trim</t>
  </si>
  <si>
    <t>include 4 exterior doors, 1 front door, 3 interior doors, 2 bathroom doors, 5 sets of closet doors</t>
  </si>
  <si>
    <t>http://www.homedepot.com/p/Kimberly-Bay-32-in-x-80-in-White-5-Panel-Shaker-Solid-Core-Pine-Interior-Door-Slab-DPSHA5W32/300718490?cm_mmc=Shopping%7cTHD%7cG%7c0%7cG-BASE-PLA-D30-Doors%7c&amp;gclid=Cj0KCQjwtpDMBRC4ARIsADhz5O6lV9ynaEsx6WIWSjtg6eRGga21VnPwEe7Rpzll0v2T1rXU_L22pMkaAkGZEALw_wcB&amp;gclsrc=aw.ds&amp;dclid=CJvDo9exv9UCFYS_ZAodEIgIOQ</t>
  </si>
  <si>
    <t>Exterior paint</t>
  </si>
  <si>
    <t>Kitchen cabinets</t>
  </si>
  <si>
    <t>Kitchen Countertops</t>
  </si>
  <si>
    <t>2 8x2 slabs, 1 10x2 slab, 1 8x3 slab, includes labor</t>
  </si>
  <si>
    <t>Appliances</t>
  </si>
  <si>
    <t>oven, micro, cooktop, sink, dishwasher - second cycle appliance</t>
  </si>
  <si>
    <t>Kitchen Faucet</t>
  </si>
  <si>
    <t>?</t>
  </si>
  <si>
    <t>Kitchen Sink</t>
  </si>
  <si>
    <t>Cabinet guy should install</t>
  </si>
  <si>
    <t>Cabinet pulls 7-9/16 inch</t>
  </si>
  <si>
    <t>Cabinet pulls 5 inch</t>
  </si>
  <si>
    <t>Door hinges</t>
  </si>
  <si>
    <t>Door knobs</t>
  </si>
  <si>
    <t>Gold</t>
  </si>
  <si>
    <t>Front Door Handleset</t>
  </si>
  <si>
    <t>Deadbolts</t>
  </si>
  <si>
    <t>Keyed door handles</t>
  </si>
  <si>
    <t xml:space="preserve">Flooring </t>
  </si>
  <si>
    <t>Flooring should not be over this price installed</t>
  </si>
  <si>
    <t>1930 sf</t>
  </si>
  <si>
    <t>Laminate, 12mm, Dark</t>
  </si>
  <si>
    <t>Baseboards</t>
  </si>
  <si>
    <t>Master Bath vanity</t>
  </si>
  <si>
    <t>Cabinet guy - need quote</t>
  </si>
  <si>
    <t>Master Bathroom remodel</t>
  </si>
  <si>
    <t>master - wall tile, river rock bottom</t>
  </si>
  <si>
    <t>Master Tub</t>
  </si>
  <si>
    <t>Stand Alone tub</t>
  </si>
  <si>
    <t>Master Shower</t>
  </si>
  <si>
    <t>3 ft wide x 5 ft long?</t>
  </si>
  <si>
    <t>http://www.homedepot.com/p/MARAZZI-Developed-by-Nature-Calacatta-12-in-x-24-in-Glazed-Porcelain-Floor-and-Wall-Tile-15-6-sq-ft-case-DN111224HD1P6/206017768</t>
  </si>
  <si>
    <t>http://www.homedepot.com/p/MS-International-Carrara-12-in-x-24-in-Glazed-Polished-Porcelain-Floor-and-Wall-Tile-16-sq-ft-case-NHDCARR1224P/205138045</t>
  </si>
  <si>
    <t>Shower Door</t>
  </si>
  <si>
    <t>Shower Fixtures</t>
  </si>
  <si>
    <t>Toilet</t>
  </si>
  <si>
    <t>Home depot $99</t>
  </si>
  <si>
    <t>Hall Bathroom Remodel</t>
  </si>
  <si>
    <t>New faucet and light fixtures.</t>
  </si>
  <si>
    <t>Hall Bath Cabinet</t>
  </si>
  <si>
    <t>Paint and put on handles</t>
  </si>
  <si>
    <t>Light fixtures,ceiling fans</t>
  </si>
  <si>
    <t>How many lights and ceiling fans?</t>
  </si>
  <si>
    <t>Dome Lights</t>
  </si>
  <si>
    <t>How many dome lights</t>
  </si>
  <si>
    <t>Recessed lighting in Kitchen</t>
  </si>
  <si>
    <t>Buy off amazon, eric peterson can do labor</t>
  </si>
  <si>
    <t>Fireplace</t>
  </si>
  <si>
    <t>tile places over brick, wood mantle  - Zack</t>
  </si>
  <si>
    <t>Tile Flooring</t>
  </si>
  <si>
    <t>master bath, 2nd unit bath, get quotes for other areas - 2nd unit kitchen, kitchen and laundry in main house</t>
  </si>
  <si>
    <t>Outlets and covers</t>
  </si>
  <si>
    <t>Second unit</t>
  </si>
  <si>
    <t>Kitchen Cabinets</t>
  </si>
  <si>
    <t>cheapest &amp; nicest looking</t>
  </si>
  <si>
    <t>150 per slab</t>
  </si>
  <si>
    <t>Bathroom Vanity</t>
  </si>
  <si>
    <t xml:space="preserve">Shower </t>
  </si>
  <si>
    <t>Need quote from tile guy - zack</t>
  </si>
  <si>
    <t>Tile surround</t>
  </si>
  <si>
    <t>Water heater</t>
  </si>
  <si>
    <t>approx 200 sq ft Carpet upstairs, Laminate/ Tile in kitchen and bathroom</t>
  </si>
  <si>
    <t>414 sq ft</t>
  </si>
  <si>
    <t>Other:</t>
  </si>
  <si>
    <t>Landscape irrigation</t>
  </si>
  <si>
    <t>Bark</t>
  </si>
  <si>
    <t>How many do we sq yards do we need?</t>
  </si>
  <si>
    <t>Square yards</t>
  </si>
  <si>
    <t>Plants</t>
  </si>
  <si>
    <t>Gravel</t>
  </si>
  <si>
    <t>For side yard pathway and back yard parking area</t>
  </si>
  <si>
    <t>Backyard landscape</t>
  </si>
  <si>
    <t>Grass? Planter boxes? Let's get a quote from landscaper</t>
  </si>
  <si>
    <t>Concrete patio</t>
  </si>
  <si>
    <t>Ramon, Includes back patio, concrete step in front</t>
  </si>
  <si>
    <t>Electrical</t>
  </si>
  <si>
    <t>Pest work / Siding</t>
  </si>
  <si>
    <t>Quinn</t>
  </si>
  <si>
    <t>Stain Deck</t>
  </si>
  <si>
    <t>Brad's guy</t>
  </si>
  <si>
    <t>Permits</t>
  </si>
  <si>
    <t>Architecht</t>
  </si>
  <si>
    <t>Wall Framing - Laundry, master</t>
  </si>
  <si>
    <t>Put wall up for laundry room, put a pantry closet in, master bedroom will have walls constructed for closet and master bath, frame openings to the master and construct new opening from the hallway</t>
  </si>
  <si>
    <t>Windows</t>
  </si>
  <si>
    <t>Need quote from window guy</t>
  </si>
  <si>
    <t>wall removal</t>
  </si>
  <si>
    <t>Remove walls around kitchen</t>
  </si>
  <si>
    <t>Staging</t>
  </si>
  <si>
    <t xml:space="preserve">Teri </t>
  </si>
  <si>
    <t>Totals</t>
  </si>
  <si>
    <t>Contingency 10%</t>
  </si>
  <si>
    <t>Rental Income</t>
  </si>
  <si>
    <t>Rentals Owned by Residents</t>
  </si>
  <si>
    <t>Days to Rent / Yr</t>
  </si>
  <si>
    <t>Avg. $/Night</t>
  </si>
  <si>
    <t>Occ%</t>
  </si>
  <si>
    <t>SF</t>
  </si>
  <si>
    <t>Home Cost</t>
  </si>
  <si>
    <t>Down Pmt 20%</t>
  </si>
  <si>
    <t>Monthly Pmt</t>
  </si>
  <si>
    <t>Rev / Home</t>
  </si>
  <si>
    <t>Mgmt Fee</t>
  </si>
  <si>
    <t>Mgmt Fee / Home</t>
  </si>
  <si>
    <t>Land Lease Monthly</t>
  </si>
  <si>
    <t>Land Lease Annual</t>
  </si>
  <si>
    <t>Rev - Lease</t>
  </si>
  <si>
    <t>Rev - Mgmt Fee</t>
  </si>
  <si>
    <t>% Annual ROI (pay in full)</t>
  </si>
  <si>
    <t>% Annual ROI COC (w/ down pmt &amp; monthly pmt)</t>
  </si>
  <si>
    <t># Properties Rented / Year</t>
  </si>
  <si>
    <t>Total Revenue</t>
  </si>
  <si>
    <t>Rent Paid to Residents</t>
  </si>
  <si>
    <t>Total Mgmt Fee Per Year</t>
  </si>
  <si>
    <t>Notes on Availablity to Rent</t>
  </si>
  <si>
    <t>Tiny House  - Studio</t>
  </si>
  <si>
    <t>30-40% available (low season) (mix and high)</t>
  </si>
  <si>
    <t>Tiny House  - 1 bedroom</t>
  </si>
  <si>
    <t>Tiny House  - 2 bedroom</t>
  </si>
  <si>
    <t>70% available (mix medium &amp; low) (most expensive homes)</t>
  </si>
  <si>
    <t>10-15% available (high season) (cheapest)</t>
  </si>
  <si>
    <t>Loan Assumptions</t>
  </si>
  <si>
    <t>Availbility Assumptions: 25% full year residents (10-20% occupancy for when they are out of town), 33% have 30-40% occupancy) Low Season) 33% (70% occupancy) (high season)</t>
  </si>
  <si>
    <t>Interest</t>
  </si>
  <si>
    <t>Occupancy Assumptions: (high season 90%, mid 70%, low 50%)</t>
  </si>
  <si>
    <t>Term (Yrs)</t>
  </si>
  <si>
    <t>Down Payment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</si>
</sst>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quot;$&quot;#,##0"/>
    <numFmt numFmtId="166" formatCode="_(* #,##0_);_(* \(#,##0\);_(* &quot;-&quot;??_);_(@_)"/>
  </numFmts>
  <fonts count="13">
    <font>
      <sz val="10.0"/>
      <color rgb="FF000000"/>
      <name val="Arial"/>
      <scheme val="minor"/>
    </font>
    <font>
      <b/>
      <sz val="12.0"/>
      <color rgb="FF000000"/>
      <name val="Calibri"/>
    </font>
    <font>
      <b/>
      <color theme="1"/>
      <name val="Arial"/>
    </font>
    <font>
      <color theme="1"/>
      <name val="Arial"/>
    </font>
    <font>
      <sz val="12.0"/>
      <color rgb="FF000000"/>
      <name val="Calibri"/>
    </font>
    <font>
      <u/>
      <sz val="9.0"/>
      <color rgb="FF1155CC"/>
      <name val="Helvetica"/>
    </font>
    <font>
      <u/>
      <color rgb="FF1155CC"/>
      <name val="Arial"/>
    </font>
    <font>
      <sz val="12.0"/>
      <color theme="1"/>
      <name val="Tenor Sans"/>
    </font>
    <font>
      <b/>
      <sz val="9.0"/>
      <color theme="1"/>
      <name val="IBM Plex Sans"/>
    </font>
    <font>
      <sz val="9.0"/>
      <color rgb="FF0B5394"/>
      <name val="IBM Plex Sans"/>
    </font>
    <font>
      <sz val="9.0"/>
      <color theme="1"/>
      <name val="IBM Plex Sans"/>
    </font>
    <font>
      <sz val="9.0"/>
      <color theme="1"/>
      <name val="Docs-IBM Plex Sans"/>
    </font>
    <font>
      <sz val="9.0"/>
      <color rgb="FF1155CC"/>
      <name val="IBM Plex Sans"/>
    </font>
  </fonts>
  <fills count="7">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EFEFEF"/>
        <bgColor rgb="FFEFEFEF"/>
      </patternFill>
    </fill>
    <fill>
      <patternFill patternType="solid">
        <fgColor rgb="FFFFFFFF"/>
        <bgColor rgb="FFFFFFFF"/>
      </patternFill>
    </fill>
  </fills>
  <borders count="9">
    <border/>
    <border>
      <left style="thin">
        <color rgb="FFFFFFFF"/>
      </left>
      <top style="thin">
        <color rgb="FFFFFFFF"/>
      </top>
      <bottom style="thin">
        <color rgb="FFFFFFFF"/>
      </bottom>
    </border>
    <border>
      <right style="thin">
        <color rgb="FFFFFFFF"/>
      </right>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right style="thin">
        <color rgb="FFFFFFFF"/>
      </right>
      <bottom style="thin">
        <color rgb="FFEFEFEF"/>
      </bottom>
    </border>
    <border>
      <left style="thin">
        <color rgb="FFFFFFFF"/>
      </left>
      <right style="thin">
        <color rgb="FFEFEFEF"/>
      </right>
      <bottom style="thin">
        <color rgb="FFFFFFFF"/>
      </bottom>
    </border>
    <border>
      <right style="thin">
        <color rgb="FFEFEFEF"/>
      </right>
      <bottom style="thin">
        <color rgb="FFEFEFEF"/>
      </bottom>
    </border>
    <border>
      <bottom style="thin">
        <color rgb="FFFFFFFF"/>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2" numFmtId="0" xfId="0" applyAlignment="1" applyFont="1">
      <alignment readingOrder="0" shrinkToFit="0" vertical="bottom" wrapText="1"/>
    </xf>
    <xf borderId="0" fillId="0" fontId="3" numFmtId="0" xfId="0" applyAlignment="1" applyFont="1">
      <alignment shrinkToFit="0" vertical="bottom" wrapText="1"/>
    </xf>
    <xf borderId="0" fillId="0" fontId="4" numFmtId="0" xfId="0" applyAlignment="1" applyFont="1">
      <alignment readingOrder="0" vertical="bottom"/>
    </xf>
    <xf borderId="0" fillId="0" fontId="5"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4" numFmtId="164" xfId="0" applyAlignment="1" applyFont="1" applyNumberFormat="1">
      <alignment vertical="bottom"/>
    </xf>
    <xf borderId="0" fillId="0" fontId="4" numFmtId="164" xfId="0" applyAlignment="1" applyFont="1" applyNumberFormat="1">
      <alignment vertical="bottom"/>
    </xf>
    <xf borderId="0" fillId="0" fontId="3" numFmtId="164" xfId="0" applyAlignment="1" applyFont="1" applyNumberFormat="1">
      <alignment vertical="bottom"/>
    </xf>
    <xf borderId="0" fillId="0" fontId="4" numFmtId="164" xfId="0" applyAlignment="1" applyFont="1" applyNumberFormat="1">
      <alignment readingOrder="0" vertical="bottom"/>
    </xf>
    <xf borderId="0" fillId="0" fontId="3" numFmtId="0" xfId="0" applyAlignment="1" applyFont="1">
      <alignment readingOrder="0" vertical="bottom"/>
    </xf>
    <xf borderId="0" fillId="0" fontId="3" numFmtId="164" xfId="0" applyAlignment="1" applyFont="1" applyNumberFormat="1">
      <alignment vertical="bottom"/>
    </xf>
    <xf borderId="0" fillId="2" fontId="3" numFmtId="164" xfId="0" applyAlignment="1" applyFill="1" applyFont="1" applyNumberFormat="1">
      <alignment vertical="bottom"/>
    </xf>
    <xf borderId="0" fillId="0" fontId="6" numFmtId="0" xfId="0" applyAlignment="1" applyFont="1">
      <alignment vertical="bottom"/>
    </xf>
    <xf borderId="0" fillId="0" fontId="1" numFmtId="164" xfId="0" applyAlignment="1" applyFont="1" applyNumberFormat="1">
      <alignment vertical="bottom"/>
    </xf>
    <xf borderId="0" fillId="3" fontId="3" numFmtId="164" xfId="0" applyAlignment="1" applyFill="1" applyFont="1" applyNumberFormat="1">
      <alignment vertical="bottom"/>
    </xf>
    <xf borderId="0" fillId="4" fontId="4" numFmtId="0" xfId="0" applyAlignment="1" applyFill="1" applyFont="1">
      <alignment vertical="bottom"/>
    </xf>
    <xf borderId="0" fillId="0" fontId="1" numFmtId="0" xfId="0" applyAlignment="1" applyFont="1">
      <alignment vertical="bottom"/>
    </xf>
    <xf borderId="0" fillId="2" fontId="4" numFmtId="164" xfId="0" applyAlignment="1" applyFont="1" applyNumberFormat="1">
      <alignment vertical="bottom"/>
    </xf>
    <xf borderId="0" fillId="2" fontId="4" numFmtId="0" xfId="0" applyAlignment="1" applyFont="1">
      <alignment vertical="bottom"/>
    </xf>
    <xf borderId="0" fillId="2" fontId="3" numFmtId="0" xfId="0" applyAlignment="1" applyFont="1">
      <alignment vertical="bottom"/>
    </xf>
    <xf borderId="1" fillId="0" fontId="7" numFmtId="0" xfId="0" applyAlignment="1" applyBorder="1" applyFont="1">
      <alignment readingOrder="0" vertical="bottom"/>
    </xf>
    <xf borderId="2" fillId="0" fontId="3" numFmtId="0" xfId="0" applyAlignment="1" applyBorder="1" applyFont="1">
      <alignment vertical="bottom"/>
    </xf>
    <xf borderId="3" fillId="0" fontId="3" numFmtId="0" xfId="0" applyAlignment="1" applyBorder="1" applyFont="1">
      <alignment vertical="bottom"/>
    </xf>
    <xf borderId="4" fillId="0" fontId="3" numFmtId="0" xfId="0" applyAlignment="1" applyBorder="1" applyFont="1">
      <alignment vertical="bottom"/>
    </xf>
    <xf borderId="5" fillId="0" fontId="3" numFmtId="0" xfId="0" applyAlignment="1" applyBorder="1" applyFont="1">
      <alignment vertical="bottom"/>
    </xf>
    <xf borderId="6" fillId="0" fontId="3" numFmtId="0" xfId="0" applyAlignment="1" applyBorder="1" applyFont="1">
      <alignment vertical="bottom"/>
    </xf>
    <xf borderId="7" fillId="5" fontId="8" numFmtId="0" xfId="0" applyAlignment="1" applyBorder="1" applyFill="1" applyFont="1">
      <alignment shrinkToFit="0" vertical="bottom" wrapText="1"/>
    </xf>
    <xf borderId="7" fillId="5" fontId="8" numFmtId="165" xfId="0" applyAlignment="1" applyBorder="1" applyFont="1" applyNumberFormat="1">
      <alignment horizontal="center" shrinkToFit="0" vertical="bottom" wrapText="1"/>
    </xf>
    <xf borderId="7" fillId="5" fontId="8" numFmtId="49" xfId="0" applyAlignment="1" applyBorder="1" applyFont="1" applyNumberFormat="1">
      <alignment horizontal="center" shrinkToFit="0" vertical="bottom" wrapText="1"/>
    </xf>
    <xf borderId="7" fillId="5" fontId="8" numFmtId="49" xfId="0" applyAlignment="1" applyBorder="1" applyFont="1" applyNumberFormat="1">
      <alignment horizontal="center" readingOrder="0" shrinkToFit="0" vertical="bottom" wrapText="1"/>
    </xf>
    <xf borderId="0" fillId="0" fontId="3" numFmtId="0" xfId="0" applyAlignment="1" applyFont="1">
      <alignment vertical="bottom"/>
    </xf>
    <xf borderId="7" fillId="5" fontId="8" numFmtId="0" xfId="0" applyAlignment="1" applyBorder="1" applyFont="1">
      <alignment horizontal="center" shrinkToFit="0" vertical="bottom" wrapText="1"/>
    </xf>
    <xf borderId="2" fillId="6" fontId="9" numFmtId="0" xfId="0" applyAlignment="1" applyBorder="1" applyFill="1" applyFont="1">
      <alignment vertical="bottom"/>
    </xf>
    <xf borderId="2" fillId="0" fontId="10" numFmtId="0" xfId="0" applyAlignment="1" applyBorder="1" applyFont="1">
      <alignment horizontal="center" vertical="bottom"/>
    </xf>
    <xf borderId="2" fillId="0" fontId="9" numFmtId="165" xfId="0" applyAlignment="1" applyBorder="1" applyFont="1" applyNumberFormat="1">
      <alignment horizontal="center" readingOrder="0" vertical="bottom"/>
    </xf>
    <xf borderId="2" fillId="0" fontId="9" numFmtId="9" xfId="0" applyAlignment="1" applyBorder="1" applyFont="1" applyNumberFormat="1">
      <alignment horizontal="center" readingOrder="0" vertical="bottom"/>
    </xf>
    <xf borderId="2" fillId="0" fontId="10" numFmtId="165" xfId="0" applyAlignment="1" applyBorder="1" applyFont="1" applyNumberFormat="1">
      <alignment horizontal="center" readingOrder="0" vertical="bottom"/>
    </xf>
    <xf borderId="2" fillId="0" fontId="10" numFmtId="165" xfId="0" applyAlignment="1" applyBorder="1" applyFont="1" applyNumberFormat="1">
      <alignment horizontal="center" vertical="bottom"/>
    </xf>
    <xf borderId="2" fillId="0" fontId="9" numFmtId="9" xfId="0" applyAlignment="1" applyBorder="1" applyFont="1" applyNumberFormat="1">
      <alignment horizontal="center" vertical="bottom"/>
    </xf>
    <xf borderId="2" fillId="0" fontId="3" numFmtId="165" xfId="0" applyAlignment="1" applyBorder="1" applyFont="1" applyNumberFormat="1">
      <alignment vertical="bottom"/>
    </xf>
    <xf borderId="2" fillId="0" fontId="10" numFmtId="10" xfId="0" applyAlignment="1" applyBorder="1" applyFont="1" applyNumberFormat="1">
      <alignment horizontal="center" vertical="bottom"/>
    </xf>
    <xf borderId="2" fillId="6" fontId="8" numFmtId="166" xfId="0" applyAlignment="1" applyBorder="1" applyFont="1" applyNumberFormat="1">
      <alignment horizontal="center" vertical="bottom"/>
    </xf>
    <xf borderId="2" fillId="0" fontId="8" numFmtId="165" xfId="0" applyAlignment="1" applyBorder="1" applyFont="1" applyNumberFormat="1">
      <alignment horizontal="center" vertical="bottom"/>
    </xf>
    <xf borderId="8" fillId="0" fontId="10" numFmtId="0" xfId="0" applyAlignment="1" applyBorder="1" applyFont="1">
      <alignment vertical="bottom"/>
    </xf>
    <xf borderId="8" fillId="6" fontId="11" numFmtId="0" xfId="0" applyAlignment="1" applyBorder="1" applyFont="1">
      <alignment vertical="bottom"/>
    </xf>
    <xf borderId="8" fillId="0" fontId="10" numFmtId="165" xfId="0" applyAlignment="1" applyBorder="1" applyFont="1" applyNumberFormat="1">
      <alignment vertical="bottom"/>
    </xf>
    <xf borderId="2" fillId="6" fontId="3" numFmtId="0" xfId="0" applyAlignment="1" applyBorder="1" applyFont="1">
      <alignment vertical="bottom"/>
    </xf>
    <xf borderId="2" fillId="0" fontId="3" numFmtId="9" xfId="0" applyAlignment="1" applyBorder="1" applyFont="1" applyNumberFormat="1">
      <alignment vertical="bottom"/>
    </xf>
    <xf borderId="2" fillId="0" fontId="3" numFmtId="10" xfId="0" applyAlignment="1" applyBorder="1" applyFont="1" applyNumberFormat="1">
      <alignment vertical="bottom"/>
    </xf>
    <xf borderId="7" fillId="5" fontId="3" numFmtId="0" xfId="0" applyAlignment="1" applyBorder="1" applyFont="1">
      <alignment vertical="bottom"/>
    </xf>
    <xf borderId="2" fillId="0" fontId="3" numFmtId="165" xfId="0" applyAlignment="1" applyBorder="1" applyFont="1" applyNumberFormat="1">
      <alignment horizontal="right" vertical="bottom"/>
    </xf>
    <xf borderId="2" fillId="0" fontId="3" numFmtId="0" xfId="0" applyAlignment="1" applyBorder="1" applyFont="1">
      <alignment horizontal="right" vertical="bottom"/>
    </xf>
    <xf borderId="8" fillId="6" fontId="10" numFmtId="0" xfId="0" applyAlignment="1" applyBorder="1" applyFont="1">
      <alignment vertical="bottom"/>
    </xf>
    <xf borderId="8" fillId="0" fontId="3" numFmtId="0" xfId="0" applyAlignment="1" applyBorder="1" applyFont="1">
      <alignment vertical="bottom"/>
    </xf>
    <xf borderId="2" fillId="6" fontId="10" numFmtId="0" xfId="0" applyAlignment="1" applyBorder="1" applyFont="1">
      <alignment vertical="bottom"/>
    </xf>
    <xf borderId="2" fillId="0" fontId="12" numFmtId="9" xfId="0" applyAlignment="1" applyBorder="1" applyFont="1" applyNumberFormat="1">
      <alignment horizontal="center" vertical="bottom"/>
    </xf>
    <xf borderId="2" fillId="0" fontId="12" numFmtId="0" xfId="0" applyAlignment="1" applyBorder="1" applyFont="1">
      <alignment horizontal="center" vertical="bottom"/>
    </xf>
    <xf borderId="8" fillId="6"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homedepot.com/p/Kimberly-Bay-32-in-x-80-in-White-5-Panel-Shaker-Solid-Core-Pine-Interior-Door-Slab-DPSHA5W32/300718490?cm_mmc=Shopping%7cTHD%7cG%7c0%7cG-BASE-PLA-D30-Doors%7c&amp;gclid=Cj0KCQjwtpDMBRC4ARIsADhz5O6lV9ynaEsx6WIWSjtg6eRGga21VnPwEe7Rpzll0v2T1rXU_L22pMkaAkGZEALw_wcB&amp;gclsrc=aw.ds&amp;dclid=CJvDo9exv9UCFYS_ZAodEIgIOQ" TargetMode="External"/><Relationship Id="rId2" Type="http://schemas.openxmlformats.org/officeDocument/2006/relationships/hyperlink" Target="http://www.homedepot.com/p/MARAZZI-Developed-by-Nature-Calacatta-12-in-x-24-in-Glazed-Porcelain-Floor-and-Wall-Tile-15-6-sq-ft-case-DN111224HD1P6/206017768" TargetMode="External"/><Relationship Id="rId3" Type="http://schemas.openxmlformats.org/officeDocument/2006/relationships/hyperlink" Target="http://www.homedepot.com/p/MS-International-Carrara-12-in-x-24-in-Glazed-Polished-Porcelain-Floor-and-Wall-Tile-16-sq-ft-case-NHDCARR1224P/20513804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75"/>
    <col customWidth="1" min="2" max="2" width="20.75"/>
    <col customWidth="1" min="3" max="3" width="15.13"/>
    <col customWidth="1" min="6" max="6" width="11.5"/>
    <col customWidth="1" min="7" max="7" width="10.5"/>
    <col customWidth="1" min="8" max="8" width="8.13"/>
    <col customWidth="1" min="14" max="14" width="47.5"/>
  </cols>
  <sheetData>
    <row r="1">
      <c r="A1" s="1" t="s">
        <v>0</v>
      </c>
      <c r="B1" s="1" t="s">
        <v>1</v>
      </c>
      <c r="C1" s="1" t="s">
        <v>2</v>
      </c>
      <c r="D1" s="1" t="s">
        <v>3</v>
      </c>
      <c r="E1" s="1" t="s">
        <v>4</v>
      </c>
      <c r="F1" s="2" t="s">
        <v>5</v>
      </c>
      <c r="G1" s="1" t="s">
        <v>6</v>
      </c>
      <c r="H1" s="1" t="s">
        <v>7</v>
      </c>
      <c r="I1" s="1" t="s">
        <v>8</v>
      </c>
      <c r="J1" s="1" t="s">
        <v>9</v>
      </c>
      <c r="K1" s="1" t="s">
        <v>6</v>
      </c>
      <c r="L1" s="2" t="s">
        <v>10</v>
      </c>
      <c r="M1" s="1" t="s">
        <v>11</v>
      </c>
      <c r="N1" s="3" t="s">
        <v>12</v>
      </c>
      <c r="O1" s="4"/>
      <c r="P1" s="4"/>
      <c r="Q1" s="4"/>
      <c r="R1" s="4"/>
      <c r="S1" s="4"/>
      <c r="T1" s="4"/>
      <c r="U1" s="4"/>
      <c r="V1" s="4"/>
      <c r="W1" s="4"/>
      <c r="X1" s="4"/>
      <c r="Y1" s="4"/>
      <c r="Z1" s="4"/>
      <c r="AA1" s="4"/>
    </row>
    <row r="2">
      <c r="A2" s="5" t="s">
        <v>13</v>
      </c>
      <c r="B2" s="6"/>
      <c r="C2" s="7"/>
      <c r="D2" s="7"/>
      <c r="E2" s="8"/>
      <c r="F2" s="9"/>
      <c r="G2" s="10"/>
      <c r="H2" s="8"/>
      <c r="I2" s="9"/>
      <c r="J2" s="11"/>
      <c r="K2" s="11"/>
      <c r="L2" s="9"/>
      <c r="M2" s="7"/>
      <c r="N2" s="7"/>
      <c r="O2" s="7"/>
      <c r="P2" s="7"/>
      <c r="Q2" s="7"/>
      <c r="R2" s="7"/>
      <c r="S2" s="7"/>
      <c r="T2" s="7"/>
      <c r="U2" s="7"/>
      <c r="V2" s="7"/>
      <c r="W2" s="7"/>
      <c r="X2" s="7"/>
      <c r="Y2" s="7"/>
      <c r="Z2" s="7"/>
      <c r="AA2" s="7"/>
    </row>
    <row r="3" ht="18.75" customHeight="1">
      <c r="A3" s="5" t="s">
        <v>14</v>
      </c>
      <c r="B3" s="6"/>
      <c r="C3" s="7"/>
      <c r="D3" s="7"/>
      <c r="E3" s="5">
        <v>1.0</v>
      </c>
      <c r="F3" s="12">
        <v>10000.0</v>
      </c>
      <c r="G3" s="10"/>
      <c r="H3" s="8"/>
      <c r="I3" s="9"/>
      <c r="J3" s="11"/>
      <c r="K3" s="11"/>
      <c r="L3" s="9"/>
      <c r="M3" s="7"/>
      <c r="N3" s="13" t="s">
        <v>15</v>
      </c>
      <c r="O3" s="7"/>
      <c r="P3" s="7"/>
      <c r="Q3" s="7"/>
      <c r="R3" s="7"/>
      <c r="S3" s="7"/>
      <c r="T3" s="7"/>
      <c r="U3" s="7"/>
      <c r="V3" s="7"/>
      <c r="W3" s="7"/>
      <c r="X3" s="7"/>
      <c r="Y3" s="7"/>
      <c r="Z3" s="7"/>
      <c r="AA3" s="7"/>
    </row>
    <row r="4">
      <c r="A4" s="5" t="s">
        <v>16</v>
      </c>
      <c r="B4" s="6"/>
      <c r="C4" s="13" t="s">
        <v>17</v>
      </c>
      <c r="D4" s="7"/>
      <c r="E4" s="5">
        <v>43.0</v>
      </c>
      <c r="F4" s="12">
        <v>100.0</v>
      </c>
      <c r="G4" s="10">
        <f>E4*F4</f>
        <v>4300</v>
      </c>
      <c r="H4" s="8"/>
      <c r="I4" s="9"/>
      <c r="J4" s="11"/>
      <c r="K4" s="11"/>
      <c r="L4" s="12" t="s">
        <v>18</v>
      </c>
      <c r="M4" s="7"/>
      <c r="N4" s="7"/>
      <c r="O4" s="7"/>
      <c r="P4" s="7"/>
      <c r="Q4" s="7"/>
      <c r="R4" s="7"/>
      <c r="S4" s="7"/>
      <c r="T4" s="7"/>
      <c r="U4" s="7"/>
      <c r="V4" s="7"/>
      <c r="W4" s="7"/>
      <c r="X4" s="7"/>
      <c r="Y4" s="7"/>
      <c r="Z4" s="7"/>
      <c r="AA4" s="7"/>
    </row>
    <row r="5">
      <c r="A5" s="5" t="s">
        <v>19</v>
      </c>
      <c r="B5" s="6"/>
      <c r="C5" s="7"/>
      <c r="D5" s="7"/>
      <c r="E5" s="8"/>
      <c r="F5" s="9"/>
      <c r="G5" s="10"/>
      <c r="H5" s="8"/>
      <c r="I5" s="9"/>
      <c r="J5" s="11"/>
      <c r="K5" s="11"/>
      <c r="L5" s="9"/>
      <c r="M5" s="7"/>
      <c r="N5" s="7"/>
      <c r="O5" s="7"/>
      <c r="P5" s="7"/>
      <c r="Q5" s="7"/>
      <c r="R5" s="7"/>
      <c r="S5" s="7"/>
      <c r="T5" s="7"/>
      <c r="U5" s="7"/>
      <c r="V5" s="7"/>
      <c r="W5" s="7"/>
      <c r="X5" s="7"/>
      <c r="Y5" s="7"/>
      <c r="Z5" s="7"/>
      <c r="AA5" s="7"/>
    </row>
    <row r="6">
      <c r="A6" s="5" t="s">
        <v>20</v>
      </c>
      <c r="B6" s="6"/>
      <c r="C6" s="13" t="s">
        <v>21</v>
      </c>
      <c r="D6" s="7"/>
      <c r="E6" s="8"/>
      <c r="F6" s="9"/>
      <c r="G6" s="10"/>
      <c r="H6" s="8"/>
      <c r="I6" s="9"/>
      <c r="J6" s="11"/>
      <c r="K6" s="11"/>
      <c r="L6" s="9"/>
      <c r="M6" s="7"/>
      <c r="N6" s="7"/>
      <c r="O6" s="7"/>
      <c r="P6" s="7"/>
      <c r="Q6" s="7"/>
      <c r="R6" s="7"/>
      <c r="S6" s="7"/>
      <c r="T6" s="7"/>
      <c r="U6" s="7"/>
      <c r="V6" s="7"/>
      <c r="W6" s="7"/>
      <c r="X6" s="7"/>
      <c r="Y6" s="7"/>
      <c r="Z6" s="7"/>
      <c r="AA6" s="7"/>
    </row>
    <row r="7">
      <c r="A7" s="5" t="s">
        <v>22</v>
      </c>
      <c r="B7" s="6"/>
      <c r="C7" s="13" t="s">
        <v>23</v>
      </c>
      <c r="D7" s="7"/>
      <c r="E7" s="8"/>
      <c r="F7" s="9"/>
      <c r="G7" s="10"/>
      <c r="H7" s="8"/>
      <c r="I7" s="9"/>
      <c r="J7" s="11"/>
      <c r="K7" s="11"/>
      <c r="L7" s="9"/>
      <c r="M7" s="7"/>
      <c r="N7" s="7"/>
      <c r="O7" s="7"/>
      <c r="P7" s="7"/>
      <c r="Q7" s="7"/>
      <c r="R7" s="7"/>
      <c r="S7" s="7"/>
      <c r="T7" s="7"/>
      <c r="U7" s="7"/>
      <c r="V7" s="7"/>
      <c r="W7" s="7"/>
      <c r="X7" s="7"/>
      <c r="Y7" s="7"/>
      <c r="Z7" s="7"/>
      <c r="AA7" s="7"/>
    </row>
    <row r="8">
      <c r="A8" s="8"/>
      <c r="B8" s="6"/>
      <c r="C8" s="7"/>
      <c r="D8" s="7"/>
      <c r="E8" s="8"/>
      <c r="F8" s="9"/>
      <c r="G8" s="10"/>
      <c r="H8" s="8"/>
      <c r="I8" s="9"/>
      <c r="J8" s="11"/>
      <c r="K8" s="11"/>
      <c r="L8" s="9"/>
      <c r="M8" s="7"/>
      <c r="N8" s="7"/>
      <c r="O8" s="7"/>
      <c r="P8" s="7"/>
      <c r="Q8" s="7"/>
      <c r="R8" s="7"/>
      <c r="S8" s="7"/>
      <c r="T8" s="7"/>
      <c r="U8" s="7"/>
      <c r="V8" s="7"/>
      <c r="W8" s="7"/>
      <c r="X8" s="7"/>
      <c r="Y8" s="7"/>
      <c r="Z8" s="7"/>
      <c r="AA8" s="7"/>
    </row>
    <row r="9">
      <c r="A9" s="8"/>
      <c r="B9" s="6"/>
      <c r="C9" s="7"/>
      <c r="D9" s="7"/>
      <c r="E9" s="8"/>
      <c r="F9" s="9"/>
      <c r="G9" s="10"/>
      <c r="H9" s="8"/>
      <c r="I9" s="9"/>
      <c r="J9" s="11"/>
      <c r="K9" s="11"/>
      <c r="L9" s="9"/>
      <c r="M9" s="7"/>
      <c r="N9" s="7"/>
      <c r="O9" s="7"/>
      <c r="P9" s="7"/>
      <c r="Q9" s="7"/>
      <c r="R9" s="7"/>
      <c r="S9" s="7"/>
      <c r="T9" s="7"/>
      <c r="U9" s="7"/>
      <c r="V9" s="7"/>
      <c r="W9" s="7"/>
      <c r="X9" s="7"/>
      <c r="Y9" s="7"/>
      <c r="Z9" s="7"/>
      <c r="AA9" s="7"/>
    </row>
    <row r="10">
      <c r="A10" s="8"/>
      <c r="B10" s="6"/>
      <c r="C10" s="7"/>
      <c r="D10" s="7"/>
      <c r="E10" s="8"/>
      <c r="F10" s="9"/>
      <c r="G10" s="10"/>
      <c r="H10" s="8"/>
      <c r="I10" s="9"/>
      <c r="J10" s="11"/>
      <c r="K10" s="11"/>
      <c r="L10" s="9"/>
      <c r="M10" s="7"/>
      <c r="N10" s="7"/>
      <c r="O10" s="7"/>
      <c r="P10" s="7"/>
      <c r="Q10" s="7"/>
      <c r="R10" s="7"/>
      <c r="S10" s="7"/>
      <c r="T10" s="7"/>
      <c r="U10" s="7"/>
      <c r="V10" s="7"/>
      <c r="W10" s="7"/>
      <c r="X10" s="7"/>
      <c r="Y10" s="7"/>
      <c r="Z10" s="7"/>
      <c r="AA10" s="7"/>
    </row>
    <row r="11">
      <c r="A11" s="8"/>
      <c r="B11" s="6"/>
      <c r="C11" s="7"/>
      <c r="D11" s="7"/>
      <c r="E11" s="8"/>
      <c r="F11" s="9"/>
      <c r="G11" s="10"/>
      <c r="H11" s="8"/>
      <c r="I11" s="9"/>
      <c r="J11" s="11"/>
      <c r="K11" s="11"/>
      <c r="L11" s="9"/>
      <c r="M11" s="7"/>
      <c r="N11" s="7"/>
      <c r="O11" s="7"/>
      <c r="P11" s="7"/>
      <c r="Q11" s="7"/>
      <c r="R11" s="7"/>
      <c r="S11" s="7"/>
      <c r="T11" s="7"/>
      <c r="U11" s="7"/>
      <c r="V11" s="7"/>
      <c r="W11" s="7"/>
      <c r="X11" s="7"/>
      <c r="Y11" s="7"/>
      <c r="Z11" s="7"/>
      <c r="AA11" s="7"/>
    </row>
    <row r="12">
      <c r="A12" s="8"/>
      <c r="B12" s="6"/>
      <c r="C12" s="7"/>
      <c r="D12" s="7"/>
      <c r="E12" s="8"/>
      <c r="F12" s="9"/>
      <c r="G12" s="10"/>
      <c r="H12" s="8"/>
      <c r="I12" s="9"/>
      <c r="J12" s="11"/>
      <c r="K12" s="11"/>
      <c r="L12" s="9"/>
      <c r="M12" s="7"/>
      <c r="N12" s="7"/>
      <c r="O12" s="7"/>
      <c r="P12" s="7"/>
      <c r="Q12" s="7"/>
      <c r="R12" s="7"/>
      <c r="S12" s="7"/>
      <c r="T12" s="7"/>
      <c r="U12" s="7"/>
      <c r="V12" s="7"/>
      <c r="W12" s="7"/>
      <c r="X12" s="7"/>
      <c r="Y12" s="7"/>
      <c r="Z12" s="7"/>
      <c r="AA12" s="7"/>
    </row>
    <row r="13">
      <c r="A13" s="8"/>
      <c r="B13" s="6"/>
      <c r="C13" s="7"/>
      <c r="D13" s="7"/>
      <c r="E13" s="8"/>
      <c r="F13" s="9"/>
      <c r="G13" s="10"/>
      <c r="H13" s="8"/>
      <c r="I13" s="9"/>
      <c r="J13" s="11"/>
      <c r="K13" s="11"/>
      <c r="L13" s="9"/>
      <c r="M13" s="7"/>
      <c r="N13" s="7"/>
      <c r="O13" s="7"/>
      <c r="P13" s="7"/>
      <c r="Q13" s="7"/>
      <c r="R13" s="7"/>
      <c r="S13" s="7"/>
      <c r="T13" s="7"/>
      <c r="U13" s="7"/>
      <c r="V13" s="7"/>
      <c r="W13" s="7"/>
      <c r="X13" s="7"/>
      <c r="Y13" s="7"/>
      <c r="Z13" s="7"/>
      <c r="AA13" s="7"/>
    </row>
    <row r="14">
      <c r="A14" s="8"/>
      <c r="B14" s="6"/>
      <c r="C14" s="7"/>
      <c r="D14" s="7"/>
      <c r="E14" s="8"/>
      <c r="F14" s="9"/>
      <c r="G14" s="10"/>
      <c r="H14" s="8"/>
      <c r="I14" s="9"/>
      <c r="J14" s="11"/>
      <c r="K14" s="11"/>
      <c r="L14" s="9"/>
      <c r="M14" s="7"/>
      <c r="N14" s="7"/>
      <c r="O14" s="7"/>
      <c r="P14" s="7"/>
      <c r="Q14" s="7"/>
      <c r="R14" s="7"/>
      <c r="S14" s="7"/>
      <c r="T14" s="7"/>
      <c r="U14" s="7"/>
      <c r="V14" s="7"/>
      <c r="W14" s="7"/>
      <c r="X14" s="7"/>
      <c r="Y14" s="7"/>
      <c r="Z14" s="7"/>
      <c r="AA14" s="7"/>
    </row>
    <row r="15">
      <c r="A15" s="8" t="s">
        <v>24</v>
      </c>
      <c r="B15" s="6"/>
      <c r="C15" s="7" t="s">
        <v>25</v>
      </c>
      <c r="D15" s="7">
        <v>3100.0</v>
      </c>
      <c r="E15" s="8">
        <v>1.0</v>
      </c>
      <c r="F15" s="9">
        <v>1000.0</v>
      </c>
      <c r="G15" s="10">
        <f>E15*F15</f>
        <v>1000</v>
      </c>
      <c r="H15" s="8">
        <v>24.0</v>
      </c>
      <c r="I15" s="9">
        <v>25.0</v>
      </c>
      <c r="J15" s="11"/>
      <c r="K15" s="11">
        <v>2933.0</v>
      </c>
      <c r="L15" s="9"/>
      <c r="M15" s="7"/>
      <c r="N15" s="7"/>
      <c r="O15" s="7"/>
      <c r="P15" s="7"/>
      <c r="Q15" s="7"/>
      <c r="R15" s="7"/>
      <c r="S15" s="7"/>
      <c r="T15" s="7"/>
      <c r="U15" s="7"/>
      <c r="V15" s="7"/>
      <c r="W15" s="7"/>
      <c r="X15" s="7"/>
      <c r="Y15" s="7"/>
      <c r="Z15" s="7"/>
      <c r="AA15" s="7"/>
    </row>
    <row r="16">
      <c r="A16" s="8" t="s">
        <v>26</v>
      </c>
      <c r="B16" s="7"/>
      <c r="C16" s="8" t="s">
        <v>27</v>
      </c>
      <c r="D16" s="7" t="s">
        <v>28</v>
      </c>
      <c r="E16" s="8">
        <v>35.0</v>
      </c>
      <c r="F16" s="9">
        <v>30.0</v>
      </c>
      <c r="G16" s="10">
        <v>1200.0</v>
      </c>
      <c r="H16" s="8">
        <v>48.0</v>
      </c>
      <c r="I16" s="14"/>
      <c r="J16" s="10">
        <v>1600.0</v>
      </c>
      <c r="K16" s="15">
        <v>3000.0</v>
      </c>
      <c r="L16" s="9"/>
      <c r="M16" s="7"/>
      <c r="N16" s="7"/>
      <c r="O16" s="7"/>
      <c r="P16" s="7"/>
      <c r="Q16" s="7"/>
      <c r="R16" s="7"/>
      <c r="S16" s="7"/>
      <c r="T16" s="7"/>
      <c r="U16" s="7"/>
      <c r="V16" s="7"/>
      <c r="W16" s="7"/>
      <c r="X16" s="7"/>
      <c r="Y16" s="7"/>
      <c r="Z16" s="7"/>
      <c r="AA16" s="7"/>
    </row>
    <row r="17">
      <c r="A17" s="8" t="s">
        <v>29</v>
      </c>
      <c r="B17" s="7"/>
      <c r="C17" s="8" t="s">
        <v>30</v>
      </c>
      <c r="D17" s="7"/>
      <c r="E17" s="7"/>
      <c r="F17" s="14"/>
      <c r="G17" s="11"/>
      <c r="H17" s="7"/>
      <c r="I17" s="14"/>
      <c r="J17" s="11"/>
      <c r="K17" s="15"/>
      <c r="L17" s="14"/>
      <c r="M17" s="7"/>
      <c r="N17" s="7"/>
      <c r="O17" s="7"/>
      <c r="P17" s="7"/>
      <c r="Q17" s="7"/>
      <c r="R17" s="7"/>
      <c r="S17" s="7"/>
      <c r="T17" s="7"/>
      <c r="U17" s="7"/>
      <c r="V17" s="7"/>
      <c r="W17" s="7"/>
      <c r="X17" s="7"/>
      <c r="Y17" s="7"/>
      <c r="Z17" s="7"/>
      <c r="AA17" s="7"/>
    </row>
    <row r="18">
      <c r="A18" s="8" t="s">
        <v>31</v>
      </c>
      <c r="B18" s="7"/>
      <c r="C18" s="8" t="s">
        <v>32</v>
      </c>
      <c r="D18" s="7"/>
      <c r="E18" s="8">
        <v>14.0</v>
      </c>
      <c r="F18" s="9">
        <v>50.0</v>
      </c>
      <c r="G18" s="10">
        <f t="shared" ref="G18:G21" si="1">E18*F18</f>
        <v>700</v>
      </c>
      <c r="H18" s="8">
        <v>30.0</v>
      </c>
      <c r="I18" s="9">
        <v>20.0</v>
      </c>
      <c r="J18" s="10">
        <f t="shared" ref="J18:J22" si="2">H18*I18</f>
        <v>600</v>
      </c>
      <c r="K18" s="7"/>
      <c r="L18" s="9"/>
      <c r="M18" s="16" t="s">
        <v>33</v>
      </c>
      <c r="N18" s="7"/>
      <c r="O18" s="7"/>
      <c r="P18" s="7"/>
      <c r="Q18" s="7"/>
      <c r="R18" s="7"/>
      <c r="S18" s="7"/>
      <c r="T18" s="7"/>
      <c r="U18" s="7"/>
      <c r="V18" s="7"/>
      <c r="W18" s="7"/>
      <c r="X18" s="7"/>
      <c r="Y18" s="7"/>
      <c r="Z18" s="7"/>
      <c r="AA18" s="7"/>
    </row>
    <row r="19">
      <c r="A19" s="8" t="s">
        <v>34</v>
      </c>
      <c r="B19" s="6"/>
      <c r="C19" s="8" t="s">
        <v>25</v>
      </c>
      <c r="D19" s="7"/>
      <c r="E19" s="8">
        <v>1.0</v>
      </c>
      <c r="F19" s="9">
        <v>30.0</v>
      </c>
      <c r="G19" s="10">
        <f t="shared" si="1"/>
        <v>30</v>
      </c>
      <c r="H19" s="8">
        <v>2.0</v>
      </c>
      <c r="I19" s="9">
        <v>20.0</v>
      </c>
      <c r="J19" s="10">
        <f t="shared" si="2"/>
        <v>40</v>
      </c>
      <c r="K19" s="11">
        <v>3166.0</v>
      </c>
      <c r="L19" s="9"/>
      <c r="M19" s="7"/>
      <c r="N19" s="7"/>
      <c r="O19" s="7"/>
      <c r="P19" s="7"/>
      <c r="Q19" s="7"/>
      <c r="R19" s="7"/>
      <c r="S19" s="7"/>
      <c r="T19" s="7"/>
      <c r="U19" s="7"/>
      <c r="V19" s="7"/>
      <c r="W19" s="7"/>
      <c r="X19" s="7"/>
      <c r="Y19" s="7"/>
      <c r="Z19" s="7"/>
      <c r="AA19" s="7"/>
    </row>
    <row r="20">
      <c r="A20" s="8" t="s">
        <v>35</v>
      </c>
      <c r="B20" s="7"/>
      <c r="C20" s="7"/>
      <c r="D20" s="7"/>
      <c r="E20" s="8">
        <v>1.0</v>
      </c>
      <c r="F20" s="9">
        <v>3000.0</v>
      </c>
      <c r="G20" s="10">
        <f t="shared" si="1"/>
        <v>3000</v>
      </c>
      <c r="H20" s="8">
        <v>10.0</v>
      </c>
      <c r="I20" s="9">
        <v>20.0</v>
      </c>
      <c r="J20" s="10">
        <f t="shared" si="2"/>
        <v>200</v>
      </c>
      <c r="K20" s="11">
        <f>J20+G20</f>
        <v>3200</v>
      </c>
      <c r="L20" s="9"/>
      <c r="M20" s="7"/>
      <c r="N20" s="7"/>
      <c r="O20" s="7"/>
      <c r="P20" s="7"/>
      <c r="Q20" s="7"/>
      <c r="R20" s="7"/>
      <c r="S20" s="7"/>
      <c r="T20" s="7"/>
      <c r="U20" s="7"/>
      <c r="V20" s="7"/>
      <c r="W20" s="7"/>
      <c r="X20" s="7"/>
      <c r="Y20" s="7"/>
      <c r="Z20" s="7"/>
      <c r="AA20" s="7"/>
    </row>
    <row r="21">
      <c r="A21" s="8" t="s">
        <v>36</v>
      </c>
      <c r="B21" s="7"/>
      <c r="C21" s="8" t="s">
        <v>37</v>
      </c>
      <c r="D21" s="7"/>
      <c r="E21" s="8">
        <v>1.0</v>
      </c>
      <c r="F21" s="9">
        <v>2700.0</v>
      </c>
      <c r="G21" s="10">
        <f t="shared" si="1"/>
        <v>2700</v>
      </c>
      <c r="H21" s="8">
        <v>0.0</v>
      </c>
      <c r="I21" s="9">
        <v>0.0</v>
      </c>
      <c r="J21" s="10">
        <f t="shared" si="2"/>
        <v>0</v>
      </c>
      <c r="K21" s="17">
        <v>2710.0</v>
      </c>
      <c r="L21" s="9"/>
      <c r="M21" s="7"/>
      <c r="N21" s="7"/>
      <c r="O21" s="7"/>
      <c r="P21" s="7"/>
      <c r="Q21" s="7"/>
      <c r="R21" s="7"/>
      <c r="S21" s="7"/>
      <c r="T21" s="7"/>
      <c r="U21" s="7"/>
      <c r="V21" s="7"/>
      <c r="W21" s="7"/>
      <c r="X21" s="7"/>
      <c r="Y21" s="7"/>
      <c r="Z21" s="7"/>
      <c r="AA21" s="7"/>
    </row>
    <row r="22">
      <c r="A22" s="8" t="s">
        <v>38</v>
      </c>
      <c r="B22" s="7"/>
      <c r="C22" s="8" t="s">
        <v>39</v>
      </c>
      <c r="D22" s="7"/>
      <c r="E22" s="7"/>
      <c r="F22" s="14"/>
      <c r="G22" s="10">
        <v>1200.0</v>
      </c>
      <c r="H22" s="8">
        <v>3.0</v>
      </c>
      <c r="I22" s="9">
        <v>120.0</v>
      </c>
      <c r="J22" s="10">
        <f t="shared" si="2"/>
        <v>360</v>
      </c>
      <c r="K22" s="11">
        <f>J22+G22</f>
        <v>1560</v>
      </c>
      <c r="L22" s="14"/>
      <c r="M22" s="7"/>
      <c r="N22" s="7"/>
      <c r="O22" s="7"/>
      <c r="P22" s="7"/>
      <c r="Q22" s="7"/>
      <c r="R22" s="7"/>
      <c r="S22" s="7"/>
      <c r="T22" s="7"/>
      <c r="U22" s="7"/>
      <c r="V22" s="7"/>
      <c r="W22" s="7"/>
      <c r="X22" s="7"/>
      <c r="Y22" s="7"/>
      <c r="Z22" s="7"/>
      <c r="AA22" s="7"/>
    </row>
    <row r="23">
      <c r="A23" s="8" t="s">
        <v>40</v>
      </c>
      <c r="B23" s="16"/>
      <c r="C23" s="7"/>
      <c r="D23" s="7"/>
      <c r="E23" s="7"/>
      <c r="F23" s="9">
        <v>79.0</v>
      </c>
      <c r="G23" s="11"/>
      <c r="H23" s="7"/>
      <c r="I23" s="9" t="s">
        <v>41</v>
      </c>
      <c r="J23" s="18"/>
      <c r="K23" s="11"/>
      <c r="L23" s="9"/>
      <c r="M23" s="7"/>
      <c r="N23" s="7"/>
      <c r="O23" s="7"/>
      <c r="P23" s="7"/>
      <c r="Q23" s="7"/>
      <c r="R23" s="7"/>
      <c r="S23" s="7"/>
      <c r="T23" s="7"/>
      <c r="U23" s="7"/>
      <c r="V23" s="7"/>
      <c r="W23" s="7"/>
      <c r="X23" s="7"/>
      <c r="Y23" s="7"/>
      <c r="Z23" s="7"/>
      <c r="AA23" s="7"/>
    </row>
    <row r="24">
      <c r="A24" s="8" t="s">
        <v>42</v>
      </c>
      <c r="B24" s="7"/>
      <c r="C24" s="8" t="s">
        <v>43</v>
      </c>
      <c r="D24" s="7"/>
      <c r="E24" s="7"/>
      <c r="F24" s="9">
        <v>180.0</v>
      </c>
      <c r="G24" s="11"/>
      <c r="H24" s="7"/>
      <c r="I24" s="14"/>
      <c r="J24" s="18"/>
      <c r="K24" s="11"/>
      <c r="L24" s="9"/>
      <c r="M24" s="7"/>
      <c r="N24" s="7"/>
      <c r="O24" s="7"/>
      <c r="P24" s="7"/>
      <c r="Q24" s="7"/>
      <c r="R24" s="7"/>
      <c r="S24" s="7"/>
      <c r="T24" s="7"/>
      <c r="U24" s="7"/>
      <c r="V24" s="7"/>
      <c r="W24" s="7"/>
      <c r="X24" s="7"/>
      <c r="Y24" s="7"/>
      <c r="Z24" s="7"/>
      <c r="AA24" s="7"/>
    </row>
    <row r="25">
      <c r="A25" s="8" t="s">
        <v>44</v>
      </c>
      <c r="B25" s="16"/>
      <c r="C25" s="8" t="s">
        <v>43</v>
      </c>
      <c r="D25" s="7"/>
      <c r="E25" s="8">
        <v>50.0</v>
      </c>
      <c r="F25" s="9">
        <v>3.3</v>
      </c>
      <c r="G25" s="10">
        <f>E25*F25</f>
        <v>165</v>
      </c>
      <c r="H25" s="8">
        <v>3.0</v>
      </c>
      <c r="I25" s="9">
        <v>20.0</v>
      </c>
      <c r="J25" s="10">
        <f>H25*I25</f>
        <v>60</v>
      </c>
      <c r="K25" s="11">
        <f>J25+G25</f>
        <v>225</v>
      </c>
      <c r="L25" s="9"/>
      <c r="M25" s="7"/>
      <c r="N25" s="7"/>
      <c r="O25" s="7"/>
      <c r="P25" s="7"/>
      <c r="Q25" s="7"/>
      <c r="R25" s="7"/>
      <c r="S25" s="7"/>
      <c r="T25" s="7"/>
      <c r="U25" s="7"/>
      <c r="V25" s="7"/>
      <c r="W25" s="7"/>
      <c r="X25" s="7"/>
      <c r="Y25" s="7"/>
      <c r="Z25" s="7"/>
      <c r="AA25" s="7"/>
    </row>
    <row r="26">
      <c r="A26" s="8" t="s">
        <v>45</v>
      </c>
      <c r="B26" s="16"/>
      <c r="C26" s="8" t="s">
        <v>43</v>
      </c>
      <c r="D26" s="7"/>
      <c r="E26" s="7"/>
      <c r="F26" s="9">
        <v>2.59</v>
      </c>
      <c r="G26" s="11"/>
      <c r="H26" s="7"/>
      <c r="I26" s="14"/>
      <c r="J26" s="11"/>
      <c r="K26" s="11"/>
      <c r="L26" s="9"/>
      <c r="M26" s="7"/>
      <c r="N26" s="7"/>
      <c r="O26" s="7"/>
      <c r="P26" s="7"/>
      <c r="Q26" s="7"/>
      <c r="R26" s="7"/>
      <c r="S26" s="7"/>
      <c r="T26" s="7"/>
      <c r="U26" s="7"/>
      <c r="V26" s="7"/>
      <c r="W26" s="7"/>
      <c r="X26" s="7"/>
      <c r="Y26" s="7"/>
      <c r="Z26" s="7"/>
      <c r="AA26" s="7"/>
    </row>
    <row r="27">
      <c r="A27" s="8" t="s">
        <v>46</v>
      </c>
      <c r="B27" s="7"/>
      <c r="C27" s="7"/>
      <c r="D27" s="7"/>
      <c r="E27" s="7"/>
      <c r="F27" s="14"/>
      <c r="G27" s="11"/>
      <c r="H27" s="7"/>
      <c r="I27" s="14"/>
      <c r="J27" s="11"/>
      <c r="K27" s="11"/>
      <c r="L27" s="14"/>
      <c r="M27" s="7"/>
      <c r="N27" s="7"/>
      <c r="O27" s="7"/>
      <c r="P27" s="7"/>
      <c r="Q27" s="7"/>
      <c r="R27" s="7"/>
      <c r="S27" s="7"/>
      <c r="T27" s="7"/>
      <c r="U27" s="7"/>
      <c r="V27" s="7"/>
      <c r="W27" s="7"/>
      <c r="X27" s="7"/>
      <c r="Y27" s="7"/>
      <c r="Z27" s="7"/>
      <c r="AA27" s="7"/>
    </row>
    <row r="28">
      <c r="A28" s="8" t="s">
        <v>47</v>
      </c>
      <c r="B28" s="16"/>
      <c r="C28" s="7"/>
      <c r="D28" s="7"/>
      <c r="E28" s="8">
        <v>14.0</v>
      </c>
      <c r="F28" s="9">
        <v>10.0</v>
      </c>
      <c r="G28" s="10">
        <f t="shared" ref="G28:G30" si="3">E28*F28</f>
        <v>140</v>
      </c>
      <c r="H28" s="8">
        <v>3.0</v>
      </c>
      <c r="I28" s="9">
        <v>20.0</v>
      </c>
      <c r="J28" s="10">
        <f t="shared" ref="J28:J30" si="4">H28*I28</f>
        <v>60</v>
      </c>
      <c r="K28" s="11">
        <f t="shared" ref="K28:K30" si="5">J28+G28</f>
        <v>200</v>
      </c>
      <c r="L28" s="9"/>
      <c r="M28" s="13" t="s">
        <v>48</v>
      </c>
      <c r="N28" s="7"/>
      <c r="O28" s="7"/>
      <c r="P28" s="7"/>
      <c r="Q28" s="7"/>
      <c r="R28" s="7"/>
      <c r="S28" s="7"/>
      <c r="T28" s="7"/>
      <c r="U28" s="7"/>
      <c r="V28" s="7"/>
      <c r="W28" s="7"/>
      <c r="X28" s="7"/>
      <c r="Y28" s="7"/>
      <c r="Z28" s="7"/>
      <c r="AA28" s="7"/>
    </row>
    <row r="29">
      <c r="A29" s="8" t="s">
        <v>49</v>
      </c>
      <c r="B29" s="16"/>
      <c r="C29" s="7"/>
      <c r="D29" s="7"/>
      <c r="E29" s="7"/>
      <c r="F29" s="9">
        <v>180.0</v>
      </c>
      <c r="G29" s="10">
        <f t="shared" si="3"/>
        <v>0</v>
      </c>
      <c r="H29" s="7"/>
      <c r="I29" s="9">
        <v>20.0</v>
      </c>
      <c r="J29" s="10">
        <f t="shared" si="4"/>
        <v>0</v>
      </c>
      <c r="K29" s="11">
        <f t="shared" si="5"/>
        <v>0</v>
      </c>
      <c r="L29" s="9"/>
      <c r="M29" s="13" t="s">
        <v>48</v>
      </c>
      <c r="N29" s="7"/>
      <c r="O29" s="7"/>
      <c r="P29" s="7"/>
      <c r="Q29" s="7"/>
      <c r="R29" s="7"/>
      <c r="S29" s="7"/>
      <c r="T29" s="7"/>
      <c r="U29" s="7"/>
      <c r="V29" s="7"/>
      <c r="W29" s="7"/>
      <c r="X29" s="7"/>
      <c r="Y29" s="7"/>
      <c r="Z29" s="7"/>
      <c r="AA29" s="7"/>
    </row>
    <row r="30">
      <c r="A30" s="8" t="s">
        <v>50</v>
      </c>
      <c r="B30" s="16"/>
      <c r="C30" s="7"/>
      <c r="D30" s="7"/>
      <c r="E30" s="7"/>
      <c r="F30" s="9">
        <v>30.0</v>
      </c>
      <c r="G30" s="10">
        <f t="shared" si="3"/>
        <v>0</v>
      </c>
      <c r="H30" s="7"/>
      <c r="I30" s="9">
        <v>20.0</v>
      </c>
      <c r="J30" s="10">
        <f t="shared" si="4"/>
        <v>0</v>
      </c>
      <c r="K30" s="11">
        <f t="shared" si="5"/>
        <v>0</v>
      </c>
      <c r="L30" s="9"/>
      <c r="M30" s="13" t="s">
        <v>48</v>
      </c>
      <c r="N30" s="7"/>
      <c r="O30" s="7"/>
      <c r="P30" s="7"/>
      <c r="Q30" s="7"/>
      <c r="R30" s="7"/>
      <c r="S30" s="7"/>
      <c r="T30" s="7"/>
      <c r="U30" s="7"/>
      <c r="V30" s="7"/>
      <c r="W30" s="7"/>
      <c r="X30" s="7"/>
      <c r="Y30" s="7"/>
      <c r="Z30" s="7"/>
      <c r="AA30" s="7"/>
    </row>
    <row r="31">
      <c r="A31" s="8" t="s">
        <v>51</v>
      </c>
      <c r="B31" s="16"/>
      <c r="C31" s="7"/>
      <c r="D31" s="7"/>
      <c r="E31" s="7"/>
      <c r="F31" s="9">
        <v>50.0</v>
      </c>
      <c r="G31" s="11"/>
      <c r="H31" s="7"/>
      <c r="I31" s="14"/>
      <c r="J31" s="11"/>
      <c r="K31" s="11"/>
      <c r="L31" s="9"/>
      <c r="M31" s="13" t="s">
        <v>48</v>
      </c>
      <c r="N31" s="7"/>
      <c r="O31" s="7"/>
      <c r="P31" s="7"/>
      <c r="Q31" s="7"/>
      <c r="R31" s="7"/>
      <c r="S31" s="7"/>
      <c r="T31" s="7"/>
      <c r="U31" s="7"/>
      <c r="V31" s="7"/>
      <c r="W31" s="7"/>
      <c r="X31" s="7"/>
      <c r="Y31" s="7"/>
      <c r="Z31" s="7"/>
      <c r="AA31" s="7"/>
    </row>
    <row r="32">
      <c r="A32" s="8" t="s">
        <v>52</v>
      </c>
      <c r="B32" s="16"/>
      <c r="C32" s="8" t="s">
        <v>53</v>
      </c>
      <c r="D32" s="7" t="s">
        <v>54</v>
      </c>
      <c r="E32" s="8">
        <v>1930.0</v>
      </c>
      <c r="F32" s="9">
        <v>1.0</v>
      </c>
      <c r="G32" s="10">
        <f t="shared" ref="G32:G35" si="6">E32*F32</f>
        <v>1930</v>
      </c>
      <c r="H32" s="8">
        <v>1930.0</v>
      </c>
      <c r="I32" s="9">
        <v>1.0</v>
      </c>
      <c r="J32" s="10">
        <f t="shared" ref="J32:J35" si="7">H32*I32</f>
        <v>1930</v>
      </c>
      <c r="K32" s="11">
        <f t="shared" ref="K32:K34" si="8">J32+G32</f>
        <v>3860</v>
      </c>
      <c r="L32" s="9"/>
      <c r="M32" s="7" t="s">
        <v>55</v>
      </c>
      <c r="N32" s="7"/>
      <c r="O32" s="7"/>
      <c r="P32" s="7"/>
      <c r="Q32" s="7"/>
      <c r="R32" s="7"/>
      <c r="S32" s="7"/>
      <c r="T32" s="7"/>
      <c r="U32" s="7"/>
      <c r="V32" s="7"/>
      <c r="W32" s="7"/>
      <c r="X32" s="7"/>
      <c r="Y32" s="7"/>
      <c r="Z32" s="7"/>
      <c r="AA32" s="7"/>
    </row>
    <row r="33">
      <c r="A33" s="8" t="s">
        <v>56</v>
      </c>
      <c r="B33" s="7"/>
      <c r="C33" s="7"/>
      <c r="D33" s="7"/>
      <c r="E33" s="8">
        <v>3000.0</v>
      </c>
      <c r="F33" s="9">
        <v>0.3</v>
      </c>
      <c r="G33" s="10">
        <f t="shared" si="6"/>
        <v>900</v>
      </c>
      <c r="H33" s="8">
        <v>24.0</v>
      </c>
      <c r="I33" s="9">
        <v>15.0</v>
      </c>
      <c r="J33" s="10">
        <f t="shared" si="7"/>
        <v>360</v>
      </c>
      <c r="K33" s="15">
        <f t="shared" si="8"/>
        <v>1260</v>
      </c>
      <c r="L33" s="9"/>
      <c r="M33" s="7"/>
      <c r="N33" s="7"/>
      <c r="O33" s="7"/>
      <c r="P33" s="7"/>
      <c r="Q33" s="7"/>
      <c r="R33" s="7"/>
      <c r="S33" s="7"/>
      <c r="T33" s="7"/>
      <c r="U33" s="7"/>
      <c r="V33" s="7"/>
      <c r="W33" s="7"/>
      <c r="X33" s="7"/>
      <c r="Y33" s="7"/>
      <c r="Z33" s="7"/>
      <c r="AA33" s="7"/>
    </row>
    <row r="34">
      <c r="A34" s="8" t="s">
        <v>57</v>
      </c>
      <c r="B34" s="7"/>
      <c r="C34" s="7" t="s">
        <v>58</v>
      </c>
      <c r="D34" s="7"/>
      <c r="E34" s="8">
        <v>1.0</v>
      </c>
      <c r="F34" s="9">
        <v>1000.0</v>
      </c>
      <c r="G34" s="10">
        <f t="shared" si="6"/>
        <v>1000</v>
      </c>
      <c r="H34" s="8">
        <v>2.0</v>
      </c>
      <c r="I34" s="9">
        <v>20.0</v>
      </c>
      <c r="J34" s="10">
        <f t="shared" si="7"/>
        <v>40</v>
      </c>
      <c r="K34" s="15">
        <f t="shared" si="8"/>
        <v>1040</v>
      </c>
      <c r="L34" s="9"/>
      <c r="M34" s="7"/>
      <c r="N34" s="7"/>
      <c r="O34" s="7"/>
      <c r="P34" s="7"/>
      <c r="Q34" s="7"/>
      <c r="R34" s="7"/>
      <c r="S34" s="7"/>
      <c r="T34" s="7"/>
      <c r="U34" s="7"/>
      <c r="V34" s="7"/>
      <c r="W34" s="7"/>
      <c r="X34" s="7"/>
      <c r="Y34" s="7"/>
      <c r="Z34" s="7"/>
      <c r="AA34" s="7"/>
    </row>
    <row r="35">
      <c r="A35" s="8" t="s">
        <v>59</v>
      </c>
      <c r="B35" s="7"/>
      <c r="C35" s="8" t="s">
        <v>60</v>
      </c>
      <c r="D35" s="7"/>
      <c r="E35" s="8">
        <v>150.0</v>
      </c>
      <c r="F35" s="9">
        <v>2.0</v>
      </c>
      <c r="G35" s="10">
        <f t="shared" si="6"/>
        <v>300</v>
      </c>
      <c r="H35" s="8">
        <v>30.0</v>
      </c>
      <c r="I35" s="9">
        <v>30.0</v>
      </c>
      <c r="J35" s="10">
        <f t="shared" si="7"/>
        <v>900</v>
      </c>
      <c r="K35" s="11">
        <v>5000.0</v>
      </c>
      <c r="L35" s="9"/>
      <c r="M35" s="7"/>
      <c r="N35" s="7"/>
      <c r="O35" s="7"/>
      <c r="P35" s="7"/>
      <c r="Q35" s="7"/>
      <c r="R35" s="7"/>
      <c r="S35" s="7"/>
      <c r="T35" s="7"/>
      <c r="U35" s="7"/>
      <c r="V35" s="7"/>
      <c r="W35" s="7"/>
      <c r="X35" s="7"/>
      <c r="Y35" s="7"/>
      <c r="Z35" s="7"/>
      <c r="AA35" s="7"/>
    </row>
    <row r="36">
      <c r="A36" s="19" t="s">
        <v>61</v>
      </c>
      <c r="B36" s="7"/>
      <c r="C36" s="7"/>
      <c r="D36" s="7"/>
      <c r="E36" s="7"/>
      <c r="F36" s="14"/>
      <c r="G36" s="10">
        <v>700.0</v>
      </c>
      <c r="H36" s="7"/>
      <c r="I36" s="14"/>
      <c r="J36" s="11"/>
      <c r="K36" s="15"/>
      <c r="L36" s="14"/>
      <c r="M36" s="7" t="s">
        <v>62</v>
      </c>
      <c r="N36" s="7"/>
      <c r="O36" s="7"/>
      <c r="P36" s="7"/>
      <c r="Q36" s="7"/>
      <c r="R36" s="7"/>
      <c r="S36" s="7"/>
      <c r="T36" s="7"/>
      <c r="U36" s="7"/>
      <c r="V36" s="7"/>
      <c r="W36" s="7"/>
      <c r="X36" s="7"/>
      <c r="Y36" s="7"/>
      <c r="Z36" s="7"/>
      <c r="AA36" s="7"/>
    </row>
    <row r="37">
      <c r="A37" s="19" t="s">
        <v>63</v>
      </c>
      <c r="B37" s="7"/>
      <c r="C37" s="7"/>
      <c r="D37" s="7" t="s">
        <v>64</v>
      </c>
      <c r="E37" s="7"/>
      <c r="F37" s="9">
        <v>2.0</v>
      </c>
      <c r="G37" s="11"/>
      <c r="H37" s="7"/>
      <c r="I37" s="14"/>
      <c r="J37" s="11"/>
      <c r="K37" s="15"/>
      <c r="L37" s="9"/>
      <c r="M37" s="16" t="s">
        <v>65</v>
      </c>
      <c r="N37" s="16" t="s">
        <v>66</v>
      </c>
      <c r="O37" s="7"/>
      <c r="P37" s="7"/>
      <c r="Q37" s="7"/>
      <c r="R37" s="7"/>
      <c r="S37" s="7"/>
      <c r="T37" s="7"/>
      <c r="U37" s="7"/>
      <c r="V37" s="7"/>
      <c r="W37" s="7"/>
      <c r="X37" s="7"/>
      <c r="Y37" s="7"/>
      <c r="Z37" s="7"/>
      <c r="AA37" s="7"/>
    </row>
    <row r="38">
      <c r="A38" s="8" t="s">
        <v>67</v>
      </c>
      <c r="B38" s="7"/>
      <c r="C38" s="7"/>
      <c r="D38" s="7"/>
      <c r="E38" s="7"/>
      <c r="F38" s="14"/>
      <c r="G38" s="10">
        <v>800.0</v>
      </c>
      <c r="H38" s="7"/>
      <c r="I38" s="14"/>
      <c r="J38" s="11"/>
      <c r="K38" s="15"/>
      <c r="L38" s="14"/>
      <c r="M38" s="7"/>
      <c r="N38" s="7"/>
      <c r="O38" s="7"/>
      <c r="P38" s="7"/>
      <c r="Q38" s="7"/>
      <c r="R38" s="7"/>
      <c r="S38" s="7"/>
      <c r="T38" s="7"/>
      <c r="U38" s="7"/>
      <c r="V38" s="7"/>
      <c r="W38" s="7"/>
      <c r="X38" s="7"/>
      <c r="Y38" s="7"/>
      <c r="Z38" s="7"/>
      <c r="AA38" s="7"/>
    </row>
    <row r="39">
      <c r="A39" s="19" t="s">
        <v>68</v>
      </c>
      <c r="B39" s="7"/>
      <c r="C39" s="7"/>
      <c r="D39" s="7"/>
      <c r="E39" s="7"/>
      <c r="F39" s="14"/>
      <c r="G39" s="11"/>
      <c r="H39" s="7"/>
      <c r="I39" s="14"/>
      <c r="J39" s="11"/>
      <c r="K39" s="15"/>
      <c r="L39" s="14"/>
      <c r="M39" s="7"/>
      <c r="N39" s="7"/>
      <c r="O39" s="7"/>
      <c r="P39" s="7"/>
      <c r="Q39" s="7"/>
      <c r="R39" s="7"/>
      <c r="S39" s="7"/>
      <c r="T39" s="7"/>
      <c r="U39" s="7"/>
      <c r="V39" s="7"/>
      <c r="W39" s="7"/>
      <c r="X39" s="7"/>
      <c r="Y39" s="7"/>
      <c r="Z39" s="7"/>
      <c r="AA39" s="7"/>
    </row>
    <row r="40">
      <c r="A40" s="19" t="s">
        <v>69</v>
      </c>
      <c r="B40" s="7"/>
      <c r="C40" s="7"/>
      <c r="D40" s="7"/>
      <c r="E40" s="7"/>
      <c r="F40" s="14"/>
      <c r="G40" s="10">
        <v>100.0</v>
      </c>
      <c r="H40" s="7"/>
      <c r="I40" s="14"/>
      <c r="J40" s="11"/>
      <c r="K40" s="11"/>
      <c r="L40" s="14"/>
      <c r="M40" s="7" t="s">
        <v>70</v>
      </c>
      <c r="N40" s="7"/>
      <c r="O40" s="7"/>
      <c r="P40" s="7"/>
      <c r="Q40" s="7"/>
      <c r="R40" s="7"/>
      <c r="S40" s="7"/>
      <c r="T40" s="7"/>
      <c r="U40" s="7"/>
      <c r="V40" s="7"/>
      <c r="W40" s="7"/>
      <c r="X40" s="7"/>
      <c r="Y40" s="7"/>
      <c r="Z40" s="7"/>
      <c r="AA40" s="7"/>
    </row>
    <row r="41">
      <c r="A41" s="8" t="s">
        <v>71</v>
      </c>
      <c r="B41" s="7"/>
      <c r="C41" s="8" t="s">
        <v>72</v>
      </c>
      <c r="D41" s="7"/>
      <c r="E41" s="7"/>
      <c r="F41" s="14"/>
      <c r="G41" s="10">
        <v>150.0</v>
      </c>
      <c r="H41" s="7"/>
      <c r="I41" s="14"/>
      <c r="J41" s="11"/>
      <c r="K41" s="11"/>
      <c r="L41" s="14"/>
      <c r="M41" s="7"/>
      <c r="N41" s="7"/>
      <c r="O41" s="7"/>
      <c r="P41" s="7"/>
      <c r="Q41" s="7"/>
      <c r="R41" s="7"/>
      <c r="S41" s="7"/>
      <c r="T41" s="7"/>
      <c r="U41" s="7"/>
      <c r="V41" s="7"/>
      <c r="W41" s="7"/>
      <c r="X41" s="7"/>
      <c r="Y41" s="7"/>
      <c r="Z41" s="7"/>
      <c r="AA41" s="7"/>
    </row>
    <row r="42">
      <c r="A42" s="8" t="s">
        <v>73</v>
      </c>
      <c r="B42" s="7"/>
      <c r="C42" s="8" t="s">
        <v>74</v>
      </c>
      <c r="D42" s="7"/>
      <c r="E42" s="8">
        <v>1.0</v>
      </c>
      <c r="F42" s="9">
        <v>10.0</v>
      </c>
      <c r="G42" s="10">
        <f t="shared" ref="G42:G48" si="9">E42*F42</f>
        <v>10</v>
      </c>
      <c r="H42" s="8">
        <v>3.0</v>
      </c>
      <c r="I42" s="9">
        <v>20.0</v>
      </c>
      <c r="J42" s="10">
        <f t="shared" ref="J42:J45" si="10">H42*I42</f>
        <v>60</v>
      </c>
      <c r="K42" s="11">
        <f t="shared" ref="K42:K44" si="11">J42+G42</f>
        <v>70</v>
      </c>
      <c r="L42" s="9"/>
      <c r="M42" s="7"/>
      <c r="N42" s="7"/>
      <c r="O42" s="7"/>
      <c r="P42" s="7"/>
      <c r="Q42" s="7"/>
      <c r="R42" s="7"/>
      <c r="S42" s="7"/>
      <c r="T42" s="7"/>
      <c r="U42" s="7"/>
      <c r="V42" s="7"/>
      <c r="W42" s="7"/>
      <c r="X42" s="7"/>
      <c r="Y42" s="7"/>
      <c r="Z42" s="7"/>
      <c r="AA42" s="7"/>
    </row>
    <row r="43">
      <c r="A43" s="19" t="s">
        <v>75</v>
      </c>
      <c r="B43" s="7"/>
      <c r="C43" s="7" t="s">
        <v>76</v>
      </c>
      <c r="D43" s="7"/>
      <c r="E43" s="8">
        <v>4.0</v>
      </c>
      <c r="F43" s="9">
        <v>100.0</v>
      </c>
      <c r="G43" s="10">
        <f t="shared" si="9"/>
        <v>400</v>
      </c>
      <c r="H43" s="8">
        <v>8.0</v>
      </c>
      <c r="I43" s="9">
        <v>18.0</v>
      </c>
      <c r="J43" s="10">
        <f t="shared" si="10"/>
        <v>144</v>
      </c>
      <c r="K43" s="11">
        <f t="shared" si="11"/>
        <v>544</v>
      </c>
      <c r="L43" s="9"/>
      <c r="M43" s="7"/>
      <c r="N43" s="7"/>
      <c r="O43" s="7"/>
      <c r="P43" s="7"/>
      <c r="Q43" s="7"/>
      <c r="R43" s="7"/>
      <c r="S43" s="7"/>
      <c r="T43" s="7"/>
      <c r="U43" s="7"/>
      <c r="V43" s="7"/>
      <c r="W43" s="7"/>
      <c r="X43" s="7"/>
      <c r="Y43" s="7"/>
      <c r="Z43" s="7"/>
      <c r="AA43" s="7"/>
    </row>
    <row r="44">
      <c r="A44" s="19" t="s">
        <v>77</v>
      </c>
      <c r="B44" s="7"/>
      <c r="C44" s="7" t="s">
        <v>78</v>
      </c>
      <c r="D44" s="7"/>
      <c r="E44" s="8">
        <v>5.0</v>
      </c>
      <c r="F44" s="9">
        <v>10.0</v>
      </c>
      <c r="G44" s="10">
        <f t="shared" si="9"/>
        <v>50</v>
      </c>
      <c r="H44" s="8">
        <v>4.0</v>
      </c>
      <c r="I44" s="9">
        <v>18.0</v>
      </c>
      <c r="J44" s="10">
        <f t="shared" si="10"/>
        <v>72</v>
      </c>
      <c r="K44" s="11">
        <f t="shared" si="11"/>
        <v>122</v>
      </c>
      <c r="L44" s="9"/>
      <c r="M44" s="7"/>
      <c r="N44" s="7"/>
      <c r="O44" s="7"/>
      <c r="P44" s="7"/>
      <c r="Q44" s="7"/>
      <c r="R44" s="7"/>
      <c r="S44" s="7"/>
      <c r="T44" s="7"/>
      <c r="U44" s="7"/>
      <c r="V44" s="7"/>
      <c r="W44" s="7"/>
      <c r="X44" s="7"/>
      <c r="Y44" s="7"/>
      <c r="Z44" s="7"/>
      <c r="AA44" s="7"/>
    </row>
    <row r="45">
      <c r="A45" s="19" t="s">
        <v>79</v>
      </c>
      <c r="B45" s="7"/>
      <c r="C45" s="7" t="s">
        <v>80</v>
      </c>
      <c r="D45" s="7"/>
      <c r="E45" s="8">
        <v>6.0</v>
      </c>
      <c r="F45" s="9">
        <v>30.0</v>
      </c>
      <c r="G45" s="10">
        <f t="shared" si="9"/>
        <v>180</v>
      </c>
      <c r="H45" s="8">
        <v>8.0</v>
      </c>
      <c r="I45" s="9">
        <v>25.0</v>
      </c>
      <c r="J45" s="10">
        <f t="shared" si="10"/>
        <v>200</v>
      </c>
      <c r="K45" s="11">
        <f t="shared" ref="K45:K47" si="12">G45+J45</f>
        <v>380</v>
      </c>
      <c r="L45" s="9"/>
      <c r="M45" s="7"/>
      <c r="N45" s="7"/>
      <c r="O45" s="7"/>
      <c r="P45" s="7"/>
      <c r="Q45" s="7"/>
      <c r="R45" s="7"/>
      <c r="S45" s="7"/>
      <c r="T45" s="7"/>
      <c r="U45" s="7"/>
      <c r="V45" s="7"/>
      <c r="W45" s="7"/>
      <c r="X45" s="7"/>
      <c r="Y45" s="7"/>
      <c r="Z45" s="7"/>
      <c r="AA45" s="7"/>
    </row>
    <row r="46">
      <c r="A46" s="19" t="s">
        <v>81</v>
      </c>
      <c r="B46" s="7"/>
      <c r="C46" s="8" t="s">
        <v>82</v>
      </c>
      <c r="D46" s="7"/>
      <c r="E46" s="8">
        <v>100.0</v>
      </c>
      <c r="F46" s="9">
        <v>2.0</v>
      </c>
      <c r="G46" s="10">
        <f t="shared" si="9"/>
        <v>200</v>
      </c>
      <c r="H46" s="7"/>
      <c r="I46" s="9">
        <v>0.0</v>
      </c>
      <c r="J46" s="10">
        <v>500.0</v>
      </c>
      <c r="K46" s="11">
        <f t="shared" si="12"/>
        <v>700</v>
      </c>
      <c r="L46" s="9"/>
      <c r="M46" s="7"/>
      <c r="N46" s="7"/>
      <c r="O46" s="7"/>
      <c r="P46" s="7"/>
      <c r="Q46" s="7"/>
      <c r="R46" s="7"/>
      <c r="S46" s="7"/>
      <c r="T46" s="7"/>
      <c r="U46" s="7"/>
      <c r="V46" s="7"/>
      <c r="W46" s="7"/>
      <c r="X46" s="7"/>
      <c r="Y46" s="7"/>
      <c r="Z46" s="7"/>
      <c r="AA46" s="7"/>
    </row>
    <row r="47">
      <c r="A47" s="19" t="s">
        <v>83</v>
      </c>
      <c r="B47" s="7"/>
      <c r="C47" s="8" t="s">
        <v>84</v>
      </c>
      <c r="D47" s="7"/>
      <c r="E47" s="8">
        <v>100.0</v>
      </c>
      <c r="F47" s="9">
        <v>2.0</v>
      </c>
      <c r="G47" s="10">
        <f t="shared" si="9"/>
        <v>200</v>
      </c>
      <c r="H47" s="8">
        <v>100.0</v>
      </c>
      <c r="I47" s="9">
        <v>2.0</v>
      </c>
      <c r="J47" s="10">
        <f t="shared" ref="J47:J48" si="13">H47*I47</f>
        <v>200</v>
      </c>
      <c r="K47" s="11">
        <f t="shared" si="12"/>
        <v>400</v>
      </c>
      <c r="L47" s="9"/>
      <c r="M47" s="7"/>
      <c r="N47" s="7"/>
      <c r="O47" s="7"/>
      <c r="P47" s="7"/>
      <c r="Q47" s="7"/>
      <c r="R47" s="7"/>
      <c r="S47" s="7"/>
      <c r="T47" s="7"/>
      <c r="U47" s="7"/>
      <c r="V47" s="7"/>
      <c r="W47" s="7"/>
      <c r="X47" s="7"/>
      <c r="Y47" s="7"/>
      <c r="Z47" s="7"/>
      <c r="AA47" s="7"/>
    </row>
    <row r="48">
      <c r="A48" s="8" t="s">
        <v>85</v>
      </c>
      <c r="B48" s="7"/>
      <c r="C48" s="7"/>
      <c r="D48" s="7"/>
      <c r="E48" s="8">
        <v>50.0</v>
      </c>
      <c r="F48" s="9">
        <v>2.0</v>
      </c>
      <c r="G48" s="10">
        <f t="shared" si="9"/>
        <v>100</v>
      </c>
      <c r="H48" s="8">
        <v>16.0</v>
      </c>
      <c r="I48" s="9">
        <v>20.0</v>
      </c>
      <c r="J48" s="10">
        <f t="shared" si="13"/>
        <v>320</v>
      </c>
      <c r="K48" s="11">
        <f>J48+G48</f>
        <v>420</v>
      </c>
      <c r="L48" s="9"/>
      <c r="M48" s="7"/>
      <c r="N48" s="7"/>
      <c r="O48" s="7"/>
      <c r="P48" s="7"/>
      <c r="Q48" s="7"/>
      <c r="R48" s="7"/>
      <c r="S48" s="7"/>
      <c r="T48" s="7"/>
      <c r="U48" s="7"/>
      <c r="V48" s="7"/>
      <c r="W48" s="7"/>
      <c r="X48" s="7"/>
      <c r="Y48" s="7"/>
      <c r="Z48" s="7"/>
      <c r="AA48" s="7"/>
    </row>
    <row r="49">
      <c r="A49" s="7"/>
      <c r="B49" s="7"/>
      <c r="C49" s="7"/>
      <c r="D49" s="7"/>
      <c r="E49" s="7"/>
      <c r="F49" s="14"/>
      <c r="G49" s="11"/>
      <c r="H49" s="7"/>
      <c r="I49" s="14"/>
      <c r="J49" s="11"/>
      <c r="K49" s="11"/>
      <c r="L49" s="14"/>
      <c r="M49" s="7"/>
      <c r="N49" s="7"/>
      <c r="O49" s="7"/>
      <c r="P49" s="7"/>
      <c r="Q49" s="7"/>
      <c r="R49" s="7"/>
      <c r="S49" s="7"/>
      <c r="T49" s="7"/>
      <c r="U49" s="7"/>
      <c r="V49" s="7"/>
      <c r="W49" s="7"/>
      <c r="X49" s="7"/>
      <c r="Y49" s="7"/>
      <c r="Z49" s="7"/>
      <c r="AA49" s="7"/>
    </row>
    <row r="50">
      <c r="A50" s="7"/>
      <c r="B50" s="7"/>
      <c r="C50" s="7"/>
      <c r="D50" s="7"/>
      <c r="E50" s="7"/>
      <c r="F50" s="14"/>
      <c r="G50" s="11"/>
      <c r="H50" s="7"/>
      <c r="I50" s="14"/>
      <c r="J50" s="11"/>
      <c r="K50" s="11"/>
      <c r="L50" s="14"/>
      <c r="M50" s="7"/>
      <c r="N50" s="7"/>
      <c r="O50" s="7"/>
      <c r="P50" s="7"/>
      <c r="Q50" s="7"/>
      <c r="R50" s="7"/>
      <c r="S50" s="7"/>
      <c r="T50" s="7"/>
      <c r="U50" s="7"/>
      <c r="V50" s="7"/>
      <c r="W50" s="7"/>
      <c r="X50" s="7"/>
      <c r="Y50" s="7"/>
      <c r="Z50" s="7"/>
      <c r="AA50" s="7"/>
    </row>
    <row r="51">
      <c r="A51" s="7"/>
      <c r="B51" s="7"/>
      <c r="C51" s="7"/>
      <c r="D51" s="7"/>
      <c r="E51" s="7"/>
      <c r="F51" s="14"/>
      <c r="G51" s="11"/>
      <c r="H51" s="7"/>
      <c r="I51" s="14"/>
      <c r="J51" s="11"/>
      <c r="K51" s="11"/>
      <c r="L51" s="14"/>
      <c r="M51" s="7"/>
      <c r="N51" s="7"/>
      <c r="O51" s="7"/>
      <c r="P51" s="7"/>
      <c r="Q51" s="7"/>
      <c r="R51" s="7"/>
      <c r="S51" s="7"/>
      <c r="T51" s="7"/>
      <c r="U51" s="7"/>
      <c r="V51" s="7"/>
      <c r="W51" s="7"/>
      <c r="X51" s="7"/>
      <c r="Y51" s="7"/>
      <c r="Z51" s="7"/>
      <c r="AA51" s="7"/>
    </row>
    <row r="52">
      <c r="A52" s="7"/>
      <c r="B52" s="7"/>
      <c r="C52" s="7"/>
      <c r="D52" s="7"/>
      <c r="E52" s="7"/>
      <c r="F52" s="14"/>
      <c r="G52" s="11"/>
      <c r="H52" s="7"/>
      <c r="I52" s="14"/>
      <c r="J52" s="11"/>
      <c r="K52" s="11"/>
      <c r="L52" s="14"/>
      <c r="M52" s="7"/>
      <c r="N52" s="7"/>
      <c r="O52" s="7"/>
      <c r="P52" s="7"/>
      <c r="Q52" s="7"/>
      <c r="R52" s="7"/>
      <c r="S52" s="7"/>
      <c r="T52" s="7"/>
      <c r="U52" s="7"/>
      <c r="V52" s="7"/>
      <c r="W52" s="7"/>
      <c r="X52" s="7"/>
      <c r="Y52" s="7"/>
      <c r="Z52" s="7"/>
      <c r="AA52" s="7"/>
    </row>
    <row r="53">
      <c r="A53" s="20" t="s">
        <v>86</v>
      </c>
      <c r="B53" s="7"/>
      <c r="C53" s="7"/>
      <c r="D53" s="7"/>
      <c r="E53" s="7"/>
      <c r="F53" s="14"/>
      <c r="G53" s="11"/>
      <c r="H53" s="7"/>
      <c r="I53" s="14"/>
      <c r="J53" s="11"/>
      <c r="K53" s="11"/>
      <c r="L53" s="14"/>
      <c r="M53" s="7"/>
      <c r="N53" s="7"/>
      <c r="O53" s="7"/>
      <c r="P53" s="7"/>
      <c r="Q53" s="7"/>
      <c r="R53" s="7"/>
      <c r="S53" s="7"/>
      <c r="T53" s="7"/>
      <c r="U53" s="7"/>
      <c r="V53" s="7"/>
      <c r="W53" s="7"/>
      <c r="X53" s="7"/>
      <c r="Y53" s="7"/>
      <c r="Z53" s="7"/>
      <c r="AA53" s="7"/>
    </row>
    <row r="54">
      <c r="A54" s="8" t="s">
        <v>87</v>
      </c>
      <c r="B54" s="7"/>
      <c r="C54" s="8" t="s">
        <v>88</v>
      </c>
      <c r="D54" s="7"/>
      <c r="E54" s="7"/>
      <c r="F54" s="14"/>
      <c r="G54" s="11"/>
      <c r="H54" s="7"/>
      <c r="I54" s="14"/>
      <c r="J54" s="11"/>
      <c r="K54" s="15"/>
      <c r="L54" s="14"/>
      <c r="M54" s="7"/>
      <c r="N54" s="7"/>
      <c r="O54" s="7"/>
      <c r="P54" s="7"/>
      <c r="Q54" s="7"/>
      <c r="R54" s="7"/>
      <c r="S54" s="7"/>
      <c r="T54" s="7"/>
      <c r="U54" s="7"/>
      <c r="V54" s="7"/>
      <c r="W54" s="7"/>
      <c r="X54" s="7"/>
      <c r="Y54" s="7"/>
      <c r="Z54" s="7"/>
      <c r="AA54" s="7"/>
    </row>
    <row r="55">
      <c r="A55" s="8" t="s">
        <v>36</v>
      </c>
      <c r="B55" s="7"/>
      <c r="C55" s="8" t="s">
        <v>88</v>
      </c>
      <c r="D55" s="8" t="s">
        <v>89</v>
      </c>
      <c r="E55" s="8">
        <v>3.0</v>
      </c>
      <c r="F55" s="9">
        <v>150.0</v>
      </c>
      <c r="G55" s="10">
        <f>E55*F55</f>
        <v>450</v>
      </c>
      <c r="H55" s="8">
        <v>3.0</v>
      </c>
      <c r="I55" s="9">
        <v>150.0</v>
      </c>
      <c r="J55" s="10">
        <f>H55*I55</f>
        <v>450</v>
      </c>
      <c r="K55" s="15">
        <f>J55+G55</f>
        <v>900</v>
      </c>
      <c r="L55" s="9"/>
      <c r="M55" s="7"/>
      <c r="N55" s="7"/>
      <c r="O55" s="7"/>
      <c r="P55" s="7"/>
      <c r="Q55" s="7"/>
      <c r="R55" s="7"/>
      <c r="S55" s="7"/>
      <c r="T55" s="7"/>
      <c r="U55" s="7"/>
      <c r="V55" s="7"/>
      <c r="W55" s="7"/>
      <c r="X55" s="7"/>
      <c r="Y55" s="7"/>
      <c r="Z55" s="7"/>
      <c r="AA55" s="7"/>
    </row>
    <row r="56">
      <c r="A56" s="8" t="s">
        <v>90</v>
      </c>
      <c r="B56" s="7"/>
      <c r="C56" s="7"/>
      <c r="D56" s="7"/>
      <c r="E56" s="7"/>
      <c r="F56" s="14"/>
      <c r="G56" s="10">
        <v>200.0</v>
      </c>
      <c r="H56" s="7"/>
      <c r="I56" s="14"/>
      <c r="J56" s="11"/>
      <c r="K56" s="21">
        <v>300.0</v>
      </c>
      <c r="L56" s="14"/>
      <c r="M56" s="7"/>
      <c r="N56" s="7"/>
      <c r="O56" s="7"/>
      <c r="P56" s="7"/>
      <c r="Q56" s="7"/>
      <c r="R56" s="7"/>
      <c r="S56" s="7"/>
      <c r="T56" s="7"/>
      <c r="U56" s="7"/>
      <c r="V56" s="7"/>
      <c r="W56" s="7"/>
      <c r="X56" s="7"/>
      <c r="Y56" s="7"/>
      <c r="Z56" s="7"/>
      <c r="AA56" s="7"/>
    </row>
    <row r="57">
      <c r="A57" s="8" t="s">
        <v>91</v>
      </c>
      <c r="B57" s="7"/>
      <c r="C57" s="8" t="s">
        <v>92</v>
      </c>
      <c r="D57" s="8" t="s">
        <v>93</v>
      </c>
      <c r="E57" s="7"/>
      <c r="F57" s="14"/>
      <c r="G57" s="11"/>
      <c r="H57" s="7"/>
      <c r="I57" s="14"/>
      <c r="J57" s="11"/>
      <c r="K57" s="15"/>
      <c r="L57" s="14"/>
      <c r="M57" s="7"/>
      <c r="N57" s="7"/>
      <c r="O57" s="7"/>
      <c r="P57" s="7"/>
      <c r="Q57" s="7"/>
      <c r="R57" s="7"/>
      <c r="S57" s="7"/>
      <c r="T57" s="7"/>
      <c r="U57" s="7"/>
      <c r="V57" s="7"/>
      <c r="W57" s="7"/>
      <c r="X57" s="7"/>
      <c r="Y57" s="7"/>
      <c r="Z57" s="7"/>
      <c r="AA57" s="7"/>
    </row>
    <row r="58">
      <c r="A58" s="8" t="s">
        <v>69</v>
      </c>
      <c r="B58" s="7"/>
      <c r="C58" s="7"/>
      <c r="D58" s="7"/>
      <c r="E58" s="7"/>
      <c r="F58" s="14"/>
      <c r="G58" s="10">
        <v>100.0</v>
      </c>
      <c r="H58" s="7"/>
      <c r="I58" s="14"/>
      <c r="J58" s="11"/>
      <c r="K58" s="15"/>
      <c r="L58" s="14"/>
      <c r="M58" s="7"/>
      <c r="N58" s="7"/>
      <c r="O58" s="7"/>
      <c r="P58" s="7"/>
      <c r="Q58" s="7"/>
      <c r="R58" s="7"/>
      <c r="S58" s="7"/>
      <c r="T58" s="7"/>
      <c r="U58" s="7"/>
      <c r="V58" s="7"/>
      <c r="W58" s="7"/>
      <c r="X58" s="7"/>
      <c r="Y58" s="7"/>
      <c r="Z58" s="7"/>
      <c r="AA58" s="7"/>
    </row>
    <row r="59">
      <c r="A59" s="8" t="s">
        <v>94</v>
      </c>
      <c r="B59" s="7"/>
      <c r="C59" s="7"/>
      <c r="D59" s="7"/>
      <c r="E59" s="7"/>
      <c r="F59" s="7"/>
      <c r="G59" s="7"/>
      <c r="H59" s="7"/>
      <c r="I59" s="7"/>
      <c r="J59" s="7"/>
      <c r="K59" s="22">
        <v>1500.0</v>
      </c>
      <c r="L59" s="7"/>
      <c r="M59" s="7"/>
      <c r="N59" s="7"/>
      <c r="O59" s="7"/>
      <c r="P59" s="7"/>
      <c r="Q59" s="7"/>
      <c r="R59" s="7"/>
      <c r="S59" s="7"/>
      <c r="T59" s="7"/>
      <c r="U59" s="7"/>
      <c r="V59" s="7"/>
      <c r="W59" s="7"/>
      <c r="X59" s="7"/>
      <c r="Y59" s="7"/>
      <c r="Z59" s="7"/>
      <c r="AA59" s="7"/>
    </row>
    <row r="60">
      <c r="A60" s="8" t="s">
        <v>22</v>
      </c>
      <c r="B60" s="7"/>
      <c r="C60" s="8" t="s">
        <v>95</v>
      </c>
      <c r="D60" s="7" t="s">
        <v>96</v>
      </c>
      <c r="E60" s="7"/>
      <c r="F60" s="14"/>
      <c r="G60" s="11"/>
      <c r="H60" s="7"/>
      <c r="I60" s="14"/>
      <c r="J60" s="11"/>
      <c r="K60" s="15"/>
      <c r="L60" s="14"/>
      <c r="M60" s="7"/>
      <c r="N60" s="7"/>
      <c r="O60" s="7"/>
      <c r="P60" s="7"/>
      <c r="Q60" s="7"/>
      <c r="R60" s="7"/>
      <c r="S60" s="7"/>
      <c r="T60" s="7"/>
      <c r="U60" s="7"/>
      <c r="V60" s="7"/>
      <c r="W60" s="7"/>
      <c r="X60" s="7"/>
      <c r="Y60" s="7"/>
      <c r="Z60" s="7"/>
      <c r="AA60" s="7"/>
    </row>
    <row r="61">
      <c r="A61" s="7"/>
      <c r="B61" s="7"/>
      <c r="C61" s="7"/>
      <c r="D61" s="7"/>
      <c r="E61" s="7"/>
      <c r="F61" s="14"/>
      <c r="G61" s="11"/>
      <c r="H61" s="7"/>
      <c r="I61" s="14"/>
      <c r="J61" s="11"/>
      <c r="K61" s="11"/>
      <c r="L61" s="14"/>
      <c r="M61" s="7"/>
      <c r="N61" s="7"/>
      <c r="O61" s="7"/>
      <c r="P61" s="7"/>
      <c r="Q61" s="7"/>
      <c r="R61" s="7"/>
      <c r="S61" s="7"/>
      <c r="T61" s="7"/>
      <c r="U61" s="7"/>
      <c r="V61" s="7"/>
      <c r="W61" s="7"/>
      <c r="X61" s="7"/>
      <c r="Y61" s="7"/>
      <c r="Z61" s="7"/>
      <c r="AA61" s="7"/>
    </row>
    <row r="62">
      <c r="A62" s="7"/>
      <c r="B62" s="7"/>
      <c r="C62" s="7"/>
      <c r="D62" s="7"/>
      <c r="E62" s="7"/>
      <c r="F62" s="14"/>
      <c r="G62" s="11"/>
      <c r="H62" s="7"/>
      <c r="I62" s="14"/>
      <c r="J62" s="11"/>
      <c r="K62" s="11"/>
      <c r="L62" s="14"/>
      <c r="M62" s="7"/>
      <c r="N62" s="7"/>
      <c r="O62" s="7"/>
      <c r="P62" s="7"/>
      <c r="Q62" s="7"/>
      <c r="R62" s="7"/>
      <c r="S62" s="7"/>
      <c r="T62" s="7"/>
      <c r="U62" s="7"/>
      <c r="V62" s="7"/>
      <c r="W62" s="7"/>
      <c r="X62" s="7"/>
      <c r="Y62" s="7"/>
      <c r="Z62" s="7"/>
      <c r="AA62" s="7"/>
    </row>
    <row r="63">
      <c r="A63" s="7"/>
      <c r="B63" s="7"/>
      <c r="C63" s="7"/>
      <c r="D63" s="7"/>
      <c r="E63" s="7"/>
      <c r="F63" s="14"/>
      <c r="G63" s="11"/>
      <c r="H63" s="7"/>
      <c r="I63" s="14"/>
      <c r="J63" s="11"/>
      <c r="K63" s="11"/>
      <c r="L63" s="14"/>
      <c r="M63" s="7"/>
      <c r="N63" s="7"/>
      <c r="O63" s="7"/>
      <c r="P63" s="7"/>
      <c r="Q63" s="7"/>
      <c r="R63" s="7"/>
      <c r="S63" s="7"/>
      <c r="T63" s="7"/>
      <c r="U63" s="7"/>
      <c r="V63" s="7"/>
      <c r="W63" s="7"/>
      <c r="X63" s="7"/>
      <c r="Y63" s="7"/>
      <c r="Z63" s="7"/>
      <c r="AA63" s="7"/>
    </row>
    <row r="64">
      <c r="A64" s="8" t="s">
        <v>97</v>
      </c>
      <c r="B64" s="7"/>
      <c r="C64" s="7"/>
      <c r="D64" s="7"/>
      <c r="E64" s="7"/>
      <c r="F64" s="14"/>
      <c r="G64" s="11"/>
      <c r="H64" s="7"/>
      <c r="I64" s="14"/>
      <c r="J64" s="11"/>
      <c r="K64" s="11"/>
      <c r="L64" s="14"/>
      <c r="M64" s="7"/>
      <c r="N64" s="7"/>
      <c r="O64" s="7"/>
      <c r="P64" s="7"/>
      <c r="Q64" s="7"/>
      <c r="R64" s="7"/>
      <c r="S64" s="7"/>
      <c r="T64" s="7"/>
      <c r="U64" s="7"/>
      <c r="V64" s="7"/>
      <c r="W64" s="7"/>
      <c r="X64" s="7"/>
      <c r="Y64" s="7"/>
      <c r="Z64" s="7"/>
      <c r="AA64" s="7"/>
    </row>
    <row r="65">
      <c r="A65" s="8" t="s">
        <v>98</v>
      </c>
      <c r="B65" s="7"/>
      <c r="C65" s="7"/>
      <c r="D65" s="7"/>
      <c r="E65" s="8">
        <v>1.0</v>
      </c>
      <c r="F65" s="14">
        <v>800.0</v>
      </c>
      <c r="G65" s="10">
        <f>E65*F65</f>
        <v>800</v>
      </c>
      <c r="H65" s="8">
        <v>16.0</v>
      </c>
      <c r="I65" s="9">
        <v>15.0</v>
      </c>
      <c r="J65" s="10">
        <f>H65*I65</f>
        <v>240</v>
      </c>
      <c r="K65" s="15">
        <f>G65+J65</f>
        <v>1040</v>
      </c>
      <c r="L65" s="14"/>
      <c r="M65" s="7"/>
      <c r="N65" s="7"/>
      <c r="O65" s="7"/>
      <c r="P65" s="7"/>
      <c r="Q65" s="7"/>
      <c r="R65" s="7"/>
      <c r="S65" s="7"/>
      <c r="T65" s="7"/>
      <c r="U65" s="7"/>
      <c r="V65" s="7"/>
      <c r="W65" s="7"/>
      <c r="X65" s="7"/>
      <c r="Y65" s="7"/>
      <c r="Z65" s="7"/>
      <c r="AA65" s="7"/>
    </row>
    <row r="66">
      <c r="A66" s="8" t="s">
        <v>99</v>
      </c>
      <c r="B66" s="7"/>
      <c r="C66" s="8" t="s">
        <v>100</v>
      </c>
      <c r="D66" s="7" t="s">
        <v>101</v>
      </c>
      <c r="E66" s="7"/>
      <c r="F66" s="14">
        <v>40.0</v>
      </c>
      <c r="G66" s="11"/>
      <c r="H66" s="7"/>
      <c r="I66" s="14"/>
      <c r="J66" s="11"/>
      <c r="K66" s="15"/>
      <c r="L66" s="14"/>
      <c r="M66" s="7"/>
      <c r="N66" s="7"/>
      <c r="O66" s="7"/>
      <c r="P66" s="7"/>
      <c r="Q66" s="7"/>
      <c r="R66" s="7"/>
      <c r="S66" s="7"/>
      <c r="T66" s="7"/>
      <c r="U66" s="7"/>
      <c r="V66" s="7"/>
      <c r="W66" s="7"/>
      <c r="X66" s="7"/>
      <c r="Y66" s="7"/>
      <c r="Z66" s="7"/>
      <c r="AA66" s="7"/>
    </row>
    <row r="67">
      <c r="A67" s="7" t="s">
        <v>102</v>
      </c>
      <c r="B67" s="7"/>
      <c r="C67" s="7"/>
      <c r="D67" s="7"/>
      <c r="E67" s="7">
        <v>30.0</v>
      </c>
      <c r="F67" s="14">
        <v>15.0</v>
      </c>
      <c r="G67" s="10">
        <f>E67*F67</f>
        <v>450</v>
      </c>
      <c r="H67" s="7"/>
      <c r="I67" s="14"/>
      <c r="J67" s="11"/>
      <c r="K67" s="15"/>
      <c r="L67" s="14"/>
      <c r="M67" s="7"/>
      <c r="N67" s="7"/>
      <c r="O67" s="7"/>
      <c r="P67" s="7"/>
      <c r="Q67" s="7"/>
      <c r="R67" s="7"/>
      <c r="S67" s="7"/>
      <c r="T67" s="7"/>
      <c r="U67" s="7"/>
      <c r="V67" s="7"/>
      <c r="W67" s="7"/>
      <c r="X67" s="7"/>
      <c r="Y67" s="7"/>
      <c r="Z67" s="7"/>
      <c r="AA67" s="7"/>
    </row>
    <row r="68">
      <c r="A68" s="7" t="s">
        <v>103</v>
      </c>
      <c r="B68" s="7"/>
      <c r="C68" s="7" t="s">
        <v>104</v>
      </c>
      <c r="D68" s="7"/>
      <c r="E68" s="7"/>
      <c r="F68" s="14">
        <v>40.0</v>
      </c>
      <c r="G68" s="11"/>
      <c r="H68" s="7"/>
      <c r="I68" s="14"/>
      <c r="J68" s="11"/>
      <c r="K68" s="15"/>
      <c r="L68" s="14"/>
      <c r="M68" s="7"/>
      <c r="N68" s="7"/>
      <c r="O68" s="7"/>
      <c r="P68" s="7"/>
      <c r="Q68" s="7"/>
      <c r="R68" s="7"/>
      <c r="S68" s="7"/>
      <c r="T68" s="7"/>
      <c r="U68" s="7"/>
      <c r="V68" s="7"/>
      <c r="W68" s="7"/>
      <c r="X68" s="7"/>
      <c r="Y68" s="7"/>
      <c r="Z68" s="7"/>
      <c r="AA68" s="7"/>
    </row>
    <row r="69">
      <c r="A69" s="7" t="s">
        <v>105</v>
      </c>
      <c r="B69" s="7"/>
      <c r="C69" s="7" t="s">
        <v>106</v>
      </c>
      <c r="D69" s="7"/>
      <c r="E69" s="7"/>
      <c r="F69" s="14"/>
      <c r="G69" s="11"/>
      <c r="H69" s="7"/>
      <c r="I69" s="14"/>
      <c r="J69" s="11"/>
      <c r="K69" s="15"/>
      <c r="L69" s="14"/>
      <c r="M69" s="7"/>
      <c r="N69" s="7"/>
      <c r="O69" s="7"/>
      <c r="P69" s="7"/>
      <c r="Q69" s="7"/>
      <c r="R69" s="7"/>
      <c r="S69" s="7"/>
      <c r="T69" s="7"/>
      <c r="U69" s="7"/>
      <c r="V69" s="7"/>
      <c r="W69" s="7"/>
      <c r="X69" s="7"/>
      <c r="Y69" s="7"/>
      <c r="Z69" s="7"/>
      <c r="AA69" s="7"/>
    </row>
    <row r="70">
      <c r="A70" s="7"/>
      <c r="B70" s="7"/>
      <c r="C70" s="7"/>
      <c r="D70" s="7"/>
      <c r="E70" s="7"/>
      <c r="F70" s="14"/>
      <c r="G70" s="11"/>
      <c r="H70" s="7"/>
      <c r="I70" s="14"/>
      <c r="J70" s="11"/>
      <c r="K70" s="15"/>
      <c r="L70" s="14"/>
      <c r="M70" s="7"/>
      <c r="N70" s="7"/>
      <c r="O70" s="7"/>
      <c r="P70" s="7"/>
      <c r="Q70" s="7"/>
      <c r="R70" s="7"/>
      <c r="S70" s="7"/>
      <c r="T70" s="7"/>
      <c r="U70" s="7"/>
      <c r="V70" s="7"/>
      <c r="W70" s="7"/>
      <c r="X70" s="7"/>
      <c r="Y70" s="7"/>
      <c r="Z70" s="7"/>
      <c r="AA70" s="7"/>
    </row>
    <row r="71">
      <c r="A71" s="7" t="s">
        <v>107</v>
      </c>
      <c r="B71" s="7"/>
      <c r="C71" s="7" t="s">
        <v>108</v>
      </c>
      <c r="D71" s="7"/>
      <c r="E71" s="7"/>
      <c r="F71" s="14"/>
      <c r="G71" s="11"/>
      <c r="H71" s="7"/>
      <c r="I71" s="14"/>
      <c r="J71" s="11"/>
      <c r="K71" s="15">
        <v>1700.0</v>
      </c>
      <c r="L71" s="14"/>
      <c r="M71" s="7"/>
      <c r="N71" s="7"/>
      <c r="O71" s="7"/>
      <c r="P71" s="7"/>
      <c r="Q71" s="7"/>
      <c r="R71" s="7"/>
      <c r="S71" s="7"/>
      <c r="T71" s="7"/>
      <c r="U71" s="7"/>
      <c r="V71" s="7"/>
      <c r="W71" s="7"/>
      <c r="X71" s="7"/>
      <c r="Y71" s="7"/>
      <c r="Z71" s="7"/>
      <c r="AA71" s="7"/>
    </row>
    <row r="72">
      <c r="A72" s="7" t="s">
        <v>109</v>
      </c>
      <c r="B72" s="7"/>
      <c r="C72" s="7"/>
      <c r="D72" s="7"/>
      <c r="E72" s="7"/>
      <c r="F72" s="14"/>
      <c r="G72" s="11"/>
      <c r="H72" s="7"/>
      <c r="I72" s="14"/>
      <c r="J72" s="11"/>
      <c r="K72" s="15">
        <v>5000.0</v>
      </c>
      <c r="L72" s="14"/>
      <c r="M72" s="7"/>
      <c r="N72" s="7"/>
      <c r="O72" s="7"/>
      <c r="P72" s="7"/>
      <c r="Q72" s="7"/>
      <c r="R72" s="7"/>
      <c r="S72" s="7"/>
      <c r="T72" s="7"/>
      <c r="U72" s="7"/>
      <c r="V72" s="7"/>
      <c r="W72" s="7"/>
      <c r="X72" s="7"/>
      <c r="Y72" s="7"/>
      <c r="Z72" s="7"/>
      <c r="AA72" s="7"/>
    </row>
    <row r="73">
      <c r="A73" s="7" t="s">
        <v>110</v>
      </c>
      <c r="B73" s="7"/>
      <c r="C73" s="7" t="s">
        <v>111</v>
      </c>
      <c r="D73" s="7"/>
      <c r="E73" s="7"/>
      <c r="F73" s="14"/>
      <c r="G73" s="11"/>
      <c r="H73" s="7"/>
      <c r="I73" s="14"/>
      <c r="J73" s="11"/>
      <c r="K73" s="11">
        <v>10000.0</v>
      </c>
      <c r="L73" s="14"/>
      <c r="M73" s="7"/>
      <c r="N73" s="7"/>
      <c r="O73" s="7"/>
      <c r="P73" s="7"/>
      <c r="Q73" s="7"/>
      <c r="R73" s="7"/>
      <c r="S73" s="7"/>
      <c r="T73" s="7"/>
      <c r="U73" s="7"/>
      <c r="V73" s="7"/>
      <c r="W73" s="7"/>
      <c r="X73" s="7"/>
      <c r="Y73" s="7"/>
      <c r="Z73" s="7"/>
      <c r="AA73" s="7"/>
    </row>
    <row r="74">
      <c r="A74" s="7" t="s">
        <v>112</v>
      </c>
      <c r="B74" s="7"/>
      <c r="C74" s="7" t="s">
        <v>113</v>
      </c>
      <c r="D74" s="7"/>
      <c r="E74" s="7"/>
      <c r="F74" s="14"/>
      <c r="G74" s="11"/>
      <c r="H74" s="7"/>
      <c r="I74" s="14"/>
      <c r="J74" s="11"/>
      <c r="K74" s="15"/>
      <c r="L74" s="14"/>
      <c r="M74" s="7"/>
      <c r="N74" s="7"/>
      <c r="O74" s="7"/>
      <c r="P74" s="7"/>
      <c r="Q74" s="7"/>
      <c r="R74" s="7"/>
      <c r="S74" s="7"/>
      <c r="T74" s="7"/>
      <c r="U74" s="7"/>
      <c r="V74" s="7"/>
      <c r="W74" s="7"/>
      <c r="X74" s="7"/>
      <c r="Y74" s="7"/>
      <c r="Z74" s="7"/>
      <c r="AA74" s="7"/>
    </row>
    <row r="75">
      <c r="A75" s="8" t="s">
        <v>114</v>
      </c>
      <c r="B75" s="7"/>
      <c r="C75" s="7"/>
      <c r="D75" s="7"/>
      <c r="E75" s="7"/>
      <c r="F75" s="14"/>
      <c r="G75" s="11"/>
      <c r="H75" s="7"/>
      <c r="I75" s="14"/>
      <c r="J75" s="11"/>
      <c r="K75" s="11">
        <v>2500.0</v>
      </c>
      <c r="L75" s="14"/>
      <c r="M75" s="7"/>
      <c r="N75" s="7"/>
      <c r="O75" s="7"/>
      <c r="P75" s="7"/>
      <c r="Q75" s="7"/>
      <c r="R75" s="7"/>
      <c r="S75" s="7"/>
      <c r="T75" s="7"/>
      <c r="U75" s="7"/>
      <c r="V75" s="7"/>
      <c r="W75" s="7"/>
      <c r="X75" s="7"/>
      <c r="Y75" s="7"/>
      <c r="Z75" s="7"/>
      <c r="AA75" s="7"/>
    </row>
    <row r="76">
      <c r="A76" s="8" t="s">
        <v>115</v>
      </c>
      <c r="B76" s="7"/>
      <c r="C76" s="7"/>
      <c r="D76" s="7"/>
      <c r="E76" s="7"/>
      <c r="F76" s="14"/>
      <c r="G76" s="11"/>
      <c r="H76" s="7"/>
      <c r="I76" s="14"/>
      <c r="J76" s="11"/>
      <c r="K76" s="15">
        <v>2000.0</v>
      </c>
      <c r="L76" s="14"/>
      <c r="M76" s="7"/>
      <c r="N76" s="7"/>
      <c r="O76" s="7"/>
      <c r="P76" s="7"/>
      <c r="Q76" s="7"/>
      <c r="R76" s="7"/>
      <c r="S76" s="7"/>
      <c r="T76" s="7"/>
      <c r="U76" s="7"/>
      <c r="V76" s="7"/>
      <c r="W76" s="7"/>
      <c r="X76" s="7"/>
      <c r="Y76" s="7"/>
      <c r="Z76" s="7"/>
      <c r="AA76" s="7"/>
    </row>
    <row r="77">
      <c r="A77" s="8" t="s">
        <v>116</v>
      </c>
      <c r="B77" s="7"/>
      <c r="C77" s="7" t="s">
        <v>117</v>
      </c>
      <c r="D77" s="7"/>
      <c r="E77" s="7"/>
      <c r="F77" s="14"/>
      <c r="G77" s="11"/>
      <c r="H77" s="7"/>
      <c r="I77" s="14"/>
      <c r="J77" s="11"/>
      <c r="K77" s="15"/>
      <c r="L77" s="14"/>
      <c r="M77" s="7"/>
      <c r="N77" s="7"/>
      <c r="O77" s="7"/>
      <c r="P77" s="7"/>
      <c r="Q77" s="7"/>
      <c r="R77" s="7"/>
      <c r="S77" s="7"/>
      <c r="T77" s="7"/>
      <c r="U77" s="7"/>
      <c r="V77" s="7"/>
      <c r="W77" s="7"/>
      <c r="X77" s="7"/>
      <c r="Y77" s="7"/>
      <c r="Z77" s="7"/>
      <c r="AA77" s="7"/>
    </row>
    <row r="78">
      <c r="A78" s="8" t="s">
        <v>118</v>
      </c>
      <c r="B78" s="7"/>
      <c r="C78" s="7" t="s">
        <v>119</v>
      </c>
      <c r="D78" s="7"/>
      <c r="E78" s="7"/>
      <c r="F78" s="7"/>
      <c r="G78" s="7"/>
      <c r="H78" s="7"/>
      <c r="I78" s="7"/>
      <c r="J78" s="7"/>
      <c r="K78" s="22">
        <v>7500.0</v>
      </c>
      <c r="L78" s="7"/>
      <c r="M78" s="7"/>
      <c r="N78" s="7"/>
      <c r="O78" s="7"/>
      <c r="P78" s="7"/>
      <c r="Q78" s="7"/>
      <c r="R78" s="7"/>
      <c r="S78" s="7"/>
      <c r="T78" s="7"/>
      <c r="U78" s="7"/>
      <c r="V78" s="7"/>
      <c r="W78" s="7"/>
      <c r="X78" s="7"/>
      <c r="Y78" s="7"/>
      <c r="Z78" s="7"/>
      <c r="AA78" s="7"/>
    </row>
    <row r="79">
      <c r="A79" s="8" t="s">
        <v>120</v>
      </c>
      <c r="B79" s="7"/>
      <c r="C79" s="7" t="s">
        <v>121</v>
      </c>
      <c r="D79" s="7"/>
      <c r="E79" s="7"/>
      <c r="F79" s="7"/>
      <c r="G79" s="7"/>
      <c r="H79" s="7"/>
      <c r="I79" s="7"/>
      <c r="J79" s="7"/>
      <c r="K79" s="23"/>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8" t="s">
        <v>122</v>
      </c>
      <c r="B81" s="7"/>
      <c r="C81" s="7" t="s">
        <v>123</v>
      </c>
      <c r="D81" s="7"/>
      <c r="E81" s="7"/>
      <c r="F81" s="7"/>
      <c r="G81" s="7"/>
      <c r="H81" s="7"/>
      <c r="I81" s="7"/>
      <c r="J81" s="7"/>
      <c r="K81" s="8">
        <v>2500.0</v>
      </c>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20" t="s">
        <v>124</v>
      </c>
      <c r="B84" s="7"/>
      <c r="C84" s="7"/>
      <c r="D84" s="7"/>
      <c r="E84" s="7"/>
      <c r="F84" s="7"/>
      <c r="G84" s="17">
        <f t="shared" ref="G84:H84" si="14">SUM(G2:G77)</f>
        <v>23455</v>
      </c>
      <c r="H84" s="20">
        <f t="shared" si="14"/>
        <v>2267</v>
      </c>
      <c r="I84" s="17">
        <v>0.0</v>
      </c>
      <c r="J84" s="17">
        <f>SUM(J2:J77)</f>
        <v>8336</v>
      </c>
      <c r="K84" s="17">
        <f>SUM(K2:K82)</f>
        <v>65730</v>
      </c>
      <c r="L84" s="7"/>
      <c r="M84" s="7"/>
      <c r="N84" s="7"/>
      <c r="O84" s="7"/>
      <c r="P84" s="7"/>
      <c r="Q84" s="7"/>
      <c r="R84" s="7"/>
      <c r="S84" s="7"/>
      <c r="T84" s="7"/>
      <c r="U84" s="7"/>
      <c r="V84" s="7"/>
      <c r="W84" s="7"/>
      <c r="X84" s="7"/>
      <c r="Y84" s="7"/>
      <c r="Z84" s="7"/>
      <c r="AA84" s="7"/>
    </row>
    <row r="85">
      <c r="A85" s="8" t="s">
        <v>125</v>
      </c>
      <c r="B85" s="7"/>
      <c r="C85" s="7"/>
      <c r="D85" s="7"/>
      <c r="E85" s="7"/>
      <c r="F85" s="7"/>
      <c r="G85" s="7"/>
      <c r="H85" s="7"/>
      <c r="I85" s="7"/>
      <c r="J85" s="7"/>
      <c r="K85" s="11">
        <f>K84*1.1</f>
        <v>72303</v>
      </c>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row>
    <row r="102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row>
    <row r="1024">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row>
    <row r="1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row>
    <row r="1026">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row>
    <row r="1027">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row>
    <row r="1028">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row>
    <row r="1029">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row>
    <row r="1030">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row>
    <row r="103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row>
    <row r="1032">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row>
    <row r="1033">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row>
    <row r="1034">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row>
    <row r="1035">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row>
    <row r="1036">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row>
    <row r="1037">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row>
    <row r="1038">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row>
    <row r="1039">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row>
    <row r="1040">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row>
    <row r="1041">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row>
    <row r="1042">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row>
    <row r="1043">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row>
    <row r="1044">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row>
    <row r="1045">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row>
    <row r="1046">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row>
    <row r="1047">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row>
    <row r="1048">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row>
    <row r="1049">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row>
    <row r="1050">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row>
    <row r="1051">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row>
    <row r="1052">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row>
    <row r="1053">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row>
    <row r="1054">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row>
    <row r="1055">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row>
    <row r="1056">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row>
    <row r="1057">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row>
  </sheetData>
  <hyperlinks>
    <hyperlink r:id="rId1" ref="M18"/>
    <hyperlink r:id="rId2" ref="M37"/>
    <hyperlink r:id="rId3" ref="N3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s>
  <sheetData>
    <row r="1">
      <c r="A1" s="24" t="s">
        <v>126</v>
      </c>
      <c r="B1" s="25"/>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c r="A2" s="27"/>
      <c r="B2" s="28"/>
      <c r="C2" s="28"/>
      <c r="D2" s="28"/>
      <c r="E2" s="28"/>
      <c r="F2" s="28"/>
      <c r="G2" s="28"/>
      <c r="H2" s="28"/>
      <c r="I2" s="28"/>
      <c r="J2" s="28"/>
      <c r="K2" s="28"/>
      <c r="L2" s="28"/>
      <c r="M2" s="28"/>
      <c r="N2" s="28"/>
      <c r="O2" s="25"/>
      <c r="P2" s="26"/>
      <c r="Q2" s="28"/>
      <c r="R2" s="25"/>
      <c r="S2" s="25"/>
      <c r="T2" s="25"/>
      <c r="U2" s="25"/>
      <c r="V2" s="25"/>
      <c r="W2" s="25"/>
      <c r="X2" s="25"/>
      <c r="Y2" s="25"/>
      <c r="Z2" s="25"/>
      <c r="AA2" s="25"/>
      <c r="AB2" s="25"/>
      <c r="AC2" s="25"/>
    </row>
    <row r="3">
      <c r="A3" s="29"/>
      <c r="B3" s="30" t="s">
        <v>127</v>
      </c>
      <c r="C3" s="31" t="s">
        <v>128</v>
      </c>
      <c r="D3" s="32" t="s">
        <v>129</v>
      </c>
      <c r="E3" s="32" t="s">
        <v>130</v>
      </c>
      <c r="F3" s="32" t="s">
        <v>131</v>
      </c>
      <c r="G3" s="33" t="s">
        <v>132</v>
      </c>
      <c r="H3" s="32" t="s">
        <v>133</v>
      </c>
      <c r="I3" s="32" t="s">
        <v>134</v>
      </c>
      <c r="J3" s="32" t="s">
        <v>135</v>
      </c>
      <c r="K3" s="32" t="s">
        <v>136</v>
      </c>
      <c r="L3" s="32" t="s">
        <v>137</v>
      </c>
      <c r="M3" s="33" t="s">
        <v>138</v>
      </c>
      <c r="N3" s="33" t="s">
        <v>139</v>
      </c>
      <c r="O3" s="33" t="s">
        <v>140</v>
      </c>
      <c r="P3" s="32" t="s">
        <v>141</v>
      </c>
      <c r="Q3" s="32" t="s">
        <v>142</v>
      </c>
      <c r="R3" s="32" t="s">
        <v>143</v>
      </c>
      <c r="S3" s="34"/>
      <c r="T3" s="34"/>
      <c r="U3" s="25"/>
      <c r="V3" s="35" t="s">
        <v>144</v>
      </c>
      <c r="W3" s="32" t="s">
        <v>145</v>
      </c>
      <c r="X3" s="32" t="s">
        <v>146</v>
      </c>
      <c r="Y3" s="35" t="s">
        <v>147</v>
      </c>
      <c r="Z3" s="35" t="s">
        <v>148</v>
      </c>
      <c r="AA3" s="25"/>
      <c r="AB3" s="25"/>
      <c r="AC3" s="25"/>
    </row>
    <row r="4">
      <c r="A4" s="27"/>
      <c r="B4" s="36" t="s">
        <v>149</v>
      </c>
      <c r="C4" s="37">
        <v>365.0</v>
      </c>
      <c r="D4" s="38">
        <v>50.0</v>
      </c>
      <c r="E4" s="39">
        <v>0.85</v>
      </c>
      <c r="F4" s="37">
        <v>232.0</v>
      </c>
      <c r="G4" s="40">
        <v>80000.0</v>
      </c>
      <c r="H4" s="41">
        <f t="shared" ref="H4:H6" si="1">G4*$C$11</f>
        <v>16000</v>
      </c>
      <c r="I4" s="41">
        <f>PMT(C9/12, C10*12,H4-G4)</f>
        <v>704.6951255</v>
      </c>
      <c r="J4" s="41">
        <f t="shared" ref="J4:J6" si="2">D4*C4*E4</f>
        <v>15512.5</v>
      </c>
      <c r="K4" s="42">
        <v>0.25</v>
      </c>
      <c r="L4" s="41">
        <f t="shared" ref="L4:L6" si="3">K4*J4</f>
        <v>3878.125</v>
      </c>
      <c r="M4" s="40">
        <v>500.0</v>
      </c>
      <c r="N4" s="40">
        <f t="shared" ref="N4:N6" si="4">M4*12</f>
        <v>6000</v>
      </c>
      <c r="O4" s="43">
        <f t="shared" ref="O4:O6" si="5">J4-N4</f>
        <v>9512.5</v>
      </c>
      <c r="P4" s="41">
        <f t="shared" ref="P4:P6" si="6">J4-L4</f>
        <v>11634.375</v>
      </c>
      <c r="Q4" s="44">
        <f t="shared" ref="Q4:Q6" si="7">P4/G4</f>
        <v>0.1454296875</v>
      </c>
      <c r="R4" s="44">
        <f t="shared" ref="R4:R6" si="8">(P4-I4*12)/H4</f>
        <v>0.1986270934</v>
      </c>
      <c r="S4" s="25"/>
      <c r="T4" s="25"/>
      <c r="U4" s="25"/>
      <c r="V4" s="45">
        <v>5.0</v>
      </c>
      <c r="W4" s="41">
        <f t="shared" ref="W4:W7" si="9">V4*C4*D4*E4</f>
        <v>77562.5</v>
      </c>
      <c r="X4" s="41">
        <f t="shared" ref="X4:X7" si="10">W4*75%</f>
        <v>58171.875</v>
      </c>
      <c r="Y4" s="46">
        <f t="shared" ref="Y4:Y7" si="11">W4*K4</f>
        <v>19390.625</v>
      </c>
      <c r="Z4" s="47" t="s">
        <v>150</v>
      </c>
      <c r="AA4" s="25"/>
      <c r="AB4" s="25"/>
      <c r="AC4" s="25"/>
    </row>
    <row r="5">
      <c r="A5" s="27"/>
      <c r="B5" s="36" t="s">
        <v>151</v>
      </c>
      <c r="C5" s="37">
        <v>365.0</v>
      </c>
      <c r="D5" s="38">
        <v>50.0</v>
      </c>
      <c r="E5" s="39">
        <v>0.85</v>
      </c>
      <c r="F5" s="37">
        <v>272.0</v>
      </c>
      <c r="G5" s="40">
        <v>100000.0</v>
      </c>
      <c r="H5" s="41">
        <f t="shared" si="1"/>
        <v>20000</v>
      </c>
      <c r="I5" s="41">
        <f t="shared" ref="I5:I6" si="12">PMT(10%/12, 20*12,H5-G5)</f>
        <v>772.0173161</v>
      </c>
      <c r="J5" s="41">
        <f t="shared" si="2"/>
        <v>15512.5</v>
      </c>
      <c r="K5" s="42">
        <v>0.25</v>
      </c>
      <c r="L5" s="41">
        <f t="shared" si="3"/>
        <v>3878.125</v>
      </c>
      <c r="M5" s="40">
        <v>500.0</v>
      </c>
      <c r="N5" s="40">
        <f t="shared" si="4"/>
        <v>6000</v>
      </c>
      <c r="O5" s="43">
        <f t="shared" si="5"/>
        <v>9512.5</v>
      </c>
      <c r="P5" s="41">
        <f t="shared" si="6"/>
        <v>11634.375</v>
      </c>
      <c r="Q5" s="44">
        <f t="shared" si="7"/>
        <v>0.11634375</v>
      </c>
      <c r="R5" s="44">
        <f t="shared" si="8"/>
        <v>0.1185083604</v>
      </c>
      <c r="S5" s="25"/>
      <c r="T5" s="25"/>
      <c r="U5" s="25"/>
      <c r="V5" s="45">
        <v>5.0</v>
      </c>
      <c r="W5" s="41">
        <f t="shared" si="9"/>
        <v>77562.5</v>
      </c>
      <c r="X5" s="41">
        <f t="shared" si="10"/>
        <v>58171.875</v>
      </c>
      <c r="Y5" s="46">
        <f t="shared" si="11"/>
        <v>19390.625</v>
      </c>
      <c r="Z5" s="48" t="s">
        <v>150</v>
      </c>
      <c r="AA5" s="25"/>
      <c r="AB5" s="25"/>
      <c r="AC5" s="25"/>
    </row>
    <row r="6">
      <c r="A6" s="27"/>
      <c r="B6" s="36" t="s">
        <v>152</v>
      </c>
      <c r="C6" s="37">
        <v>365.0</v>
      </c>
      <c r="D6" s="38">
        <v>60.0</v>
      </c>
      <c r="E6" s="39">
        <v>0.85</v>
      </c>
      <c r="F6" s="37">
        <v>416.0</v>
      </c>
      <c r="G6" s="40">
        <v>120000.0</v>
      </c>
      <c r="H6" s="41">
        <f t="shared" si="1"/>
        <v>24000</v>
      </c>
      <c r="I6" s="41">
        <f t="shared" si="12"/>
        <v>926.4207793</v>
      </c>
      <c r="J6" s="41">
        <f t="shared" si="2"/>
        <v>18615</v>
      </c>
      <c r="K6" s="42">
        <v>0.25</v>
      </c>
      <c r="L6" s="41">
        <f t="shared" si="3"/>
        <v>4653.75</v>
      </c>
      <c r="M6" s="40">
        <v>500.0</v>
      </c>
      <c r="N6" s="40">
        <f t="shared" si="4"/>
        <v>6000</v>
      </c>
      <c r="O6" s="43">
        <f t="shared" si="5"/>
        <v>12615</v>
      </c>
      <c r="P6" s="41">
        <f t="shared" si="6"/>
        <v>13961.25</v>
      </c>
      <c r="Q6" s="44">
        <f t="shared" si="7"/>
        <v>0.11634375</v>
      </c>
      <c r="R6" s="44">
        <f t="shared" si="8"/>
        <v>0.1185083604</v>
      </c>
      <c r="S6" s="25"/>
      <c r="T6" s="43">
        <f>O6/12</f>
        <v>1051.25</v>
      </c>
      <c r="U6" s="25"/>
      <c r="V6" s="45">
        <v>5.0</v>
      </c>
      <c r="W6" s="41">
        <f t="shared" si="9"/>
        <v>93075</v>
      </c>
      <c r="X6" s="41">
        <f t="shared" si="10"/>
        <v>69806.25</v>
      </c>
      <c r="Y6" s="46">
        <f t="shared" si="11"/>
        <v>23268.75</v>
      </c>
      <c r="Z6" s="49" t="s">
        <v>153</v>
      </c>
      <c r="AA6" s="25"/>
      <c r="AB6" s="25"/>
      <c r="AC6" s="25"/>
    </row>
    <row r="7">
      <c r="A7" s="27"/>
      <c r="B7" s="50"/>
      <c r="C7" s="25"/>
      <c r="D7" s="43"/>
      <c r="E7" s="51"/>
      <c r="F7" s="25"/>
      <c r="G7" s="43"/>
      <c r="H7" s="43"/>
      <c r="I7" s="43"/>
      <c r="J7" s="43"/>
      <c r="K7" s="51"/>
      <c r="L7" s="43"/>
      <c r="M7" s="43"/>
      <c r="N7" s="43"/>
      <c r="O7" s="25"/>
      <c r="P7" s="43"/>
      <c r="Q7" s="52"/>
      <c r="R7" s="52"/>
      <c r="S7" s="25"/>
      <c r="T7" s="25"/>
      <c r="U7" s="25"/>
      <c r="V7" s="45">
        <v>5.0</v>
      </c>
      <c r="W7" s="41">
        <f t="shared" si="9"/>
        <v>0</v>
      </c>
      <c r="X7" s="41">
        <f t="shared" si="10"/>
        <v>0</v>
      </c>
      <c r="Y7" s="46">
        <f t="shared" si="11"/>
        <v>0</v>
      </c>
      <c r="Z7" s="48" t="s">
        <v>154</v>
      </c>
      <c r="AA7" s="25"/>
      <c r="AB7" s="25"/>
      <c r="AC7" s="25"/>
    </row>
    <row r="8">
      <c r="A8" s="27"/>
      <c r="B8" s="30" t="s">
        <v>155</v>
      </c>
      <c r="C8" s="53"/>
      <c r="D8" s="25"/>
      <c r="E8" s="25"/>
      <c r="F8" s="25"/>
      <c r="G8" s="25"/>
      <c r="H8" s="25"/>
      <c r="I8" s="41">
        <f t="shared" ref="I8:I10" si="14">I4*12</f>
        <v>8456.341506</v>
      </c>
      <c r="J8" s="25"/>
      <c r="K8" s="25"/>
      <c r="L8" s="25"/>
      <c r="M8" s="25"/>
      <c r="N8" s="25"/>
      <c r="O8" s="25"/>
      <c r="P8" s="54">
        <f t="shared" ref="P8:P10" si="15">P4-I8</f>
        <v>3178.033494</v>
      </c>
      <c r="Q8" s="25"/>
      <c r="R8" s="55">
        <f>P8/H4</f>
        <v>0.1986270934</v>
      </c>
      <c r="S8" s="25"/>
      <c r="T8" s="25"/>
      <c r="U8" s="25"/>
      <c r="V8" s="43"/>
      <c r="W8" s="46">
        <f t="shared" ref="W8:Y8" si="13">sum(W4:W7)</f>
        <v>248200</v>
      </c>
      <c r="X8" s="46">
        <f t="shared" si="13"/>
        <v>186150</v>
      </c>
      <c r="Y8" s="46">
        <f t="shared" si="13"/>
        <v>62050</v>
      </c>
      <c r="Z8" s="56" t="s">
        <v>156</v>
      </c>
      <c r="AA8" s="57"/>
      <c r="AB8" s="25"/>
      <c r="AC8" s="25"/>
    </row>
    <row r="9">
      <c r="A9" s="27"/>
      <c r="B9" s="58" t="s">
        <v>157</v>
      </c>
      <c r="C9" s="59">
        <v>0.12</v>
      </c>
      <c r="D9" s="25"/>
      <c r="E9" s="25"/>
      <c r="F9" s="25"/>
      <c r="G9" s="25"/>
      <c r="H9" s="25"/>
      <c r="I9" s="41">
        <f t="shared" si="14"/>
        <v>9264.207793</v>
      </c>
      <c r="J9" s="25"/>
      <c r="K9" s="25"/>
      <c r="L9" s="25"/>
      <c r="M9" s="25"/>
      <c r="N9" s="25"/>
      <c r="O9" s="25"/>
      <c r="P9" s="54">
        <f t="shared" si="15"/>
        <v>2370.167207</v>
      </c>
      <c r="Q9" s="25"/>
      <c r="R9" s="25"/>
      <c r="S9" s="25"/>
      <c r="T9" s="25"/>
      <c r="U9" s="25"/>
      <c r="V9" s="43"/>
      <c r="W9" s="25"/>
      <c r="X9" s="25"/>
      <c r="Y9" s="25"/>
      <c r="Z9" s="56" t="s">
        <v>158</v>
      </c>
      <c r="AA9" s="57"/>
      <c r="AB9" s="25"/>
      <c r="AC9" s="25"/>
    </row>
    <row r="10">
      <c r="A10" s="27"/>
      <c r="B10" s="58" t="s">
        <v>159</v>
      </c>
      <c r="C10" s="60">
        <v>20.0</v>
      </c>
      <c r="D10" s="25"/>
      <c r="E10" s="25"/>
      <c r="F10" s="25"/>
      <c r="G10" s="25"/>
      <c r="H10" s="25"/>
      <c r="I10" s="41">
        <f t="shared" si="14"/>
        <v>11117.04935</v>
      </c>
      <c r="J10" s="25"/>
      <c r="K10" s="25"/>
      <c r="L10" s="25"/>
      <c r="M10" s="25"/>
      <c r="N10" s="25"/>
      <c r="O10" s="25"/>
      <c r="P10" s="54">
        <f t="shared" si="15"/>
        <v>2844.200649</v>
      </c>
      <c r="Q10" s="25"/>
      <c r="R10" s="25"/>
      <c r="S10" s="25"/>
      <c r="T10" s="25"/>
      <c r="U10" s="25"/>
      <c r="V10" s="43"/>
      <c r="W10" s="25"/>
      <c r="X10" s="25"/>
      <c r="Y10" s="25"/>
      <c r="Z10" s="61"/>
      <c r="AA10" s="57"/>
      <c r="AB10" s="25"/>
      <c r="AC10" s="25"/>
    </row>
    <row r="11">
      <c r="A11" s="27"/>
      <c r="B11" s="58" t="s">
        <v>160</v>
      </c>
      <c r="C11" s="59">
        <v>0.2</v>
      </c>
      <c r="D11" s="25"/>
      <c r="E11" s="25"/>
      <c r="F11" s="25"/>
      <c r="G11" s="25"/>
      <c r="H11" s="25"/>
      <c r="I11" s="43"/>
      <c r="J11" s="25"/>
      <c r="K11" s="25"/>
      <c r="L11" s="25"/>
      <c r="M11" s="25"/>
      <c r="N11" s="25"/>
      <c r="O11" s="25"/>
      <c r="P11" s="25"/>
      <c r="Q11" s="25"/>
      <c r="R11" s="25"/>
      <c r="S11" s="25"/>
      <c r="T11" s="25"/>
      <c r="U11" s="25"/>
      <c r="V11" s="43"/>
      <c r="W11" s="25"/>
      <c r="X11" s="25"/>
      <c r="Y11" s="25"/>
      <c r="Z11" s="61"/>
      <c r="AA11" s="57"/>
      <c r="AB11" s="25"/>
      <c r="AC11" s="2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