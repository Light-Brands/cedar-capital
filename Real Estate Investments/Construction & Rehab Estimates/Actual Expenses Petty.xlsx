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 Details" sheetId="1" r:id="rId3"/>
    <sheet state="visible" name="Proforma" sheetId="2" r:id="rId4"/>
    <sheet state="visible" name="Color Key" sheetId="3" r:id="rId5"/>
  </sheets>
  <definedNames/>
  <calcPr/>
</workbook>
</file>

<file path=xl/sharedStrings.xml><?xml version="1.0" encoding="utf-8"?>
<sst xmlns="http://schemas.openxmlformats.org/spreadsheetml/2006/main" count="702" uniqueCount="304">
  <si>
    <t>Rehab Costs</t>
  </si>
  <si>
    <t>petty lane</t>
  </si>
  <si>
    <t>Material/Labor</t>
  </si>
  <si>
    <t>Where/Who</t>
  </si>
  <si>
    <t>Date</t>
  </si>
  <si>
    <t>Actual Cost</t>
  </si>
  <si>
    <t>Who Paid</t>
  </si>
  <si>
    <t>Comments</t>
  </si>
  <si>
    <t>Demo</t>
  </si>
  <si>
    <t>Kelly</t>
  </si>
  <si>
    <t>Demo Total</t>
  </si>
  <si>
    <t>Windows</t>
  </si>
  <si>
    <t>Rock Corps</t>
  </si>
  <si>
    <t>Exterior Siding</t>
  </si>
  <si>
    <t>Endura Services</t>
  </si>
  <si>
    <t>Framing subtotal</t>
  </si>
  <si>
    <t>Impressive Exteriors</t>
  </si>
  <si>
    <t>Brad</t>
  </si>
  <si>
    <t>paid in full 9/6/17</t>
  </si>
  <si>
    <t>Exterior Paint Total</t>
  </si>
  <si>
    <t>Aspestos Check</t>
  </si>
  <si>
    <t>Abstech</t>
  </si>
  <si>
    <t>Windows Total</t>
  </si>
  <si>
    <t>*Door Hardware</t>
  </si>
  <si>
    <t>Amazon</t>
  </si>
  <si>
    <t>First Draw Total (9/12/17)</t>
  </si>
  <si>
    <t>Framing Supplies</t>
  </si>
  <si>
    <t>Home Depot</t>
  </si>
  <si>
    <t>ask about fees</t>
  </si>
  <si>
    <t>*Oleg Babin Invoice(Materials)</t>
  </si>
  <si>
    <t>Joists Framing Materials</t>
  </si>
  <si>
    <t>Electrical</t>
  </si>
  <si>
    <t>Landscape Cleaning</t>
  </si>
  <si>
    <t>Rauil Ruiz</t>
  </si>
  <si>
    <t>Second Draw</t>
  </si>
  <si>
    <t>Paints</t>
  </si>
  <si>
    <t>Kelly-Moore Paints</t>
  </si>
  <si>
    <t>Permit Fees:</t>
  </si>
  <si>
    <t>*Architecture Servcies</t>
  </si>
  <si>
    <t>ALH and Associates</t>
  </si>
  <si>
    <t>Permits</t>
  </si>
  <si>
    <t>*Electrical</t>
  </si>
  <si>
    <t>Eric Peterson</t>
  </si>
  <si>
    <t xml:space="preserve">Paid him 1/2 of electrical work </t>
  </si>
  <si>
    <t>Toby Bench</t>
  </si>
  <si>
    <t>Framing</t>
  </si>
  <si>
    <t>Drywall</t>
  </si>
  <si>
    <t>Framing Material</t>
  </si>
  <si>
    <t>Plubing</t>
  </si>
  <si>
    <t>Tom Collins</t>
  </si>
  <si>
    <t>Reinbursement of Paint</t>
  </si>
  <si>
    <t>Draw 2</t>
  </si>
  <si>
    <t>Paint, Labor</t>
  </si>
  <si>
    <t>Quinn hofmann</t>
  </si>
  <si>
    <t>Siding, windows</t>
  </si>
  <si>
    <t>*Granite Outlet</t>
  </si>
  <si>
    <t>Countertops</t>
  </si>
  <si>
    <t>Framing material</t>
  </si>
  <si>
    <t>brad</t>
  </si>
  <si>
    <t>Actual Received:</t>
  </si>
  <si>
    <t>Kelly Moore Paint</t>
  </si>
  <si>
    <t>Deck Stain</t>
  </si>
  <si>
    <t>Ceiling Joists</t>
  </si>
  <si>
    <t>Draw 3</t>
  </si>
  <si>
    <t>Permit Fees</t>
  </si>
  <si>
    <t>City of Sacramento</t>
  </si>
  <si>
    <t>Paint Prep</t>
  </si>
  <si>
    <t>Electrical Supplies</t>
  </si>
  <si>
    <t>Kitchen/Bathroom Cabinets</t>
  </si>
  <si>
    <t>Cabinets To Go</t>
  </si>
  <si>
    <t>Plumbing</t>
  </si>
  <si>
    <t xml:space="preserve">Don O'Halloran </t>
  </si>
  <si>
    <t>Numbers for the house</t>
  </si>
  <si>
    <t>HD supply</t>
  </si>
  <si>
    <t xml:space="preserve">Hot Mop </t>
  </si>
  <si>
    <t>Mark Lee</t>
  </si>
  <si>
    <t>Flooring</t>
  </si>
  <si>
    <t>German Floor</t>
  </si>
  <si>
    <t>PAID in FULL</t>
  </si>
  <si>
    <t>Granite Outlet</t>
  </si>
  <si>
    <t>layout change</t>
  </si>
  <si>
    <t>Duct Work</t>
  </si>
  <si>
    <t>Glenn Julian</t>
  </si>
  <si>
    <t>PAID 1/3/18</t>
  </si>
  <si>
    <t>Imperfect Smooth Texture</t>
  </si>
  <si>
    <t>Miguel</t>
  </si>
  <si>
    <t>Drywall Material</t>
  </si>
  <si>
    <t>Drywal Labor</t>
  </si>
  <si>
    <t>n/a</t>
  </si>
  <si>
    <t>Drywall Fee</t>
  </si>
  <si>
    <t>Plumbing Prep</t>
  </si>
  <si>
    <t>two Handy Men</t>
  </si>
  <si>
    <t xml:space="preserve">Concrete </t>
  </si>
  <si>
    <t>Steves Ready Mix</t>
  </si>
  <si>
    <t>Rock</t>
  </si>
  <si>
    <t>Capitol Sand</t>
  </si>
  <si>
    <t>Concrete Labor</t>
  </si>
  <si>
    <t>Jeff</t>
  </si>
  <si>
    <t>Subfloor Materials</t>
  </si>
  <si>
    <t>SUbfloor Materials</t>
  </si>
  <si>
    <t>Dumpster</t>
  </si>
  <si>
    <t>Waste Removal</t>
  </si>
  <si>
    <t xml:space="preserve">Tile for shower and fireplace </t>
  </si>
  <si>
    <t>Floor and Decor</t>
  </si>
  <si>
    <t xml:space="preserve">Kelly </t>
  </si>
  <si>
    <t>Actual $370.18, $400 paid to brad</t>
  </si>
  <si>
    <t>Plywood for Cabinets</t>
  </si>
  <si>
    <t>Appliances</t>
  </si>
  <si>
    <t>Light fixtures</t>
  </si>
  <si>
    <t xml:space="preserve">Brad </t>
  </si>
  <si>
    <t>Home depot card</t>
  </si>
  <si>
    <t>Landscaping Drip system</t>
  </si>
  <si>
    <t>Supplies</t>
  </si>
  <si>
    <t>Insulation and tile accs</t>
  </si>
  <si>
    <t>Pay jeff to shut up</t>
  </si>
  <si>
    <t>Tile for 2nd unit and Shower</t>
  </si>
  <si>
    <t>Floor and Decore</t>
  </si>
  <si>
    <t>Landscape Plants</t>
  </si>
  <si>
    <t>Landscape supplies</t>
  </si>
  <si>
    <t>Landscape Supplies</t>
  </si>
  <si>
    <t>Landscape Supples</t>
  </si>
  <si>
    <t>Molding and Trim</t>
  </si>
  <si>
    <t>Smoke Alarms and Elec</t>
  </si>
  <si>
    <t xml:space="preserve">Return Vents </t>
  </si>
  <si>
    <t>Wood/Supplies</t>
  </si>
  <si>
    <t>Electrical Stuff</t>
  </si>
  <si>
    <t>Landscape</t>
  </si>
  <si>
    <t>Lumber and Drywall</t>
  </si>
  <si>
    <t>Doors and Trim</t>
  </si>
  <si>
    <t>Caulk and Base</t>
  </si>
  <si>
    <t>Landscape Total:</t>
  </si>
  <si>
    <t>Hasties</t>
  </si>
  <si>
    <t>To elijah</t>
  </si>
  <si>
    <t>Concrete</t>
  </si>
  <si>
    <t>Paint</t>
  </si>
  <si>
    <t>Baseboard and Lights</t>
  </si>
  <si>
    <t>Door Hardware and Lights</t>
  </si>
  <si>
    <t>HD Supply</t>
  </si>
  <si>
    <t>Petty Bath Hardware</t>
  </si>
  <si>
    <t>Lowes</t>
  </si>
  <si>
    <t>Concrete Overlay and Dump</t>
  </si>
  <si>
    <t>Jeff taxara</t>
  </si>
  <si>
    <t>Spec West</t>
  </si>
  <si>
    <t>Electrical Work</t>
  </si>
  <si>
    <t>Thomas</t>
  </si>
  <si>
    <t>Misc</t>
  </si>
  <si>
    <t>Microwave and Thermostat</t>
  </si>
  <si>
    <t>Best Buy</t>
  </si>
  <si>
    <t>Base and plumbing etc</t>
  </si>
  <si>
    <t>HD SUpply</t>
  </si>
  <si>
    <t>Molding, Shelves, door</t>
  </si>
  <si>
    <t>Glass Deposti</t>
  </si>
  <si>
    <t>All Cities Glass</t>
  </si>
  <si>
    <t>Toilets, Faucets and Misc</t>
  </si>
  <si>
    <t>Locks and Misc</t>
  </si>
  <si>
    <t>T-molds and end caps</t>
  </si>
  <si>
    <t>Germal Flooring</t>
  </si>
  <si>
    <t>Lights and drywall supps</t>
  </si>
  <si>
    <t>Paint Supplies</t>
  </si>
  <si>
    <t>Plumbing supplies</t>
  </si>
  <si>
    <t>Dishwasher +disposal Hookups etc.</t>
  </si>
  <si>
    <t>Lights and misc</t>
  </si>
  <si>
    <t>Closet Shelf brackets</t>
  </si>
  <si>
    <t xml:space="preserve">Paint </t>
  </si>
  <si>
    <t>Caulk putty and a lock</t>
  </si>
  <si>
    <t>Closet Sheving</t>
  </si>
  <si>
    <t>Cabinet Paint and Trim</t>
  </si>
  <si>
    <t>HVAC Trim</t>
  </si>
  <si>
    <t>Electrical and Closet Doors</t>
  </si>
  <si>
    <t>Dump Run</t>
  </si>
  <si>
    <t>Lincoln Landfill</t>
  </si>
  <si>
    <t>Cleaning Supplies and Glue</t>
  </si>
  <si>
    <t>Lending Home Reimbursements</t>
  </si>
  <si>
    <t>Thermostat</t>
  </si>
  <si>
    <t>Labor Misc</t>
  </si>
  <si>
    <t>James Murphy</t>
  </si>
  <si>
    <t>Mirrors</t>
  </si>
  <si>
    <t>Home Goods</t>
  </si>
  <si>
    <t>Baseboards</t>
  </si>
  <si>
    <t>total</t>
  </si>
  <si>
    <t>Misc Yard work</t>
  </si>
  <si>
    <t>Jeff Taxara</t>
  </si>
  <si>
    <t>Not reimbursed by lending home</t>
  </si>
  <si>
    <t>Cabinet Backs</t>
  </si>
  <si>
    <t>101 Building Supply</t>
  </si>
  <si>
    <t>German Flooring</t>
  </si>
  <si>
    <t>Window washing, dump run and misc</t>
  </si>
  <si>
    <t>Concrete Step</t>
  </si>
  <si>
    <t>Concrete Material</t>
  </si>
  <si>
    <t>Profit</t>
  </si>
  <si>
    <t>Base and pantry etc</t>
  </si>
  <si>
    <t>Landscape Maintenance</t>
  </si>
  <si>
    <t>Eagleview Landscape</t>
  </si>
  <si>
    <t>Brad Total</t>
  </si>
  <si>
    <t>Misc Handyman</t>
  </si>
  <si>
    <t>Greg</t>
  </si>
  <si>
    <t>Brad* Kelly paid brad 1200</t>
  </si>
  <si>
    <t>Cleaning service</t>
  </si>
  <si>
    <t>`</t>
  </si>
  <si>
    <t>plumbing</t>
  </si>
  <si>
    <t>Daniel</t>
  </si>
  <si>
    <t>kelly</t>
  </si>
  <si>
    <t>shower door</t>
  </si>
  <si>
    <t>Repairs and expenses for unfinished work</t>
  </si>
  <si>
    <t>???</t>
  </si>
  <si>
    <t>Hood Material</t>
  </si>
  <si>
    <t>Hood Labor</t>
  </si>
  <si>
    <t>Doors and weather proofing</t>
  </si>
  <si>
    <t>Gate</t>
  </si>
  <si>
    <t>Jason</t>
  </si>
  <si>
    <t>Kelly reimbursed Brad on 5/11/18</t>
  </si>
  <si>
    <t>Kelly Paid Brad Total:</t>
  </si>
  <si>
    <t>brad owes $600 for pics</t>
  </si>
  <si>
    <t>2nd draw</t>
  </si>
  <si>
    <t>Third Draw</t>
  </si>
  <si>
    <t>Total</t>
  </si>
  <si>
    <t>To Brad:</t>
  </si>
  <si>
    <t>First Draw</t>
  </si>
  <si>
    <t>Brad Spent to date</t>
  </si>
  <si>
    <t>To Kelly:</t>
  </si>
  <si>
    <t>Plus Kenneth</t>
  </si>
  <si>
    <t>Kelly Owes</t>
  </si>
  <si>
    <t>Brad minus Kenneth</t>
  </si>
  <si>
    <t>Brookwood</t>
  </si>
  <si>
    <t>Kelly minus Kenneth</t>
  </si>
  <si>
    <t>Financing and Holding Costs</t>
  </si>
  <si>
    <t>Item</t>
  </si>
  <si>
    <t>Cash to Close</t>
  </si>
  <si>
    <t>Water Bill</t>
  </si>
  <si>
    <t>Carmichael Water District</t>
  </si>
  <si>
    <t>Mortgage Payment</t>
  </si>
  <si>
    <t>Oct</t>
  </si>
  <si>
    <t>Nov</t>
  </si>
  <si>
    <t>Dec</t>
  </si>
  <si>
    <t>Property Tax</t>
  </si>
  <si>
    <t>Sac County</t>
  </si>
  <si>
    <t>Utilities</t>
  </si>
  <si>
    <t xml:space="preserve">Nov </t>
  </si>
  <si>
    <t>Jan</t>
  </si>
  <si>
    <t>Feb</t>
  </si>
  <si>
    <t>SMUD</t>
  </si>
  <si>
    <t xml:space="preserve">March </t>
  </si>
  <si>
    <t>April</t>
  </si>
  <si>
    <t>May</t>
  </si>
  <si>
    <t>June</t>
  </si>
  <si>
    <t>July</t>
  </si>
  <si>
    <t>Aug</t>
  </si>
  <si>
    <t>Sept</t>
  </si>
  <si>
    <t>Lending home Default interest</t>
  </si>
  <si>
    <t>Dec &amp; Sept</t>
  </si>
  <si>
    <t>Refianacing costs</t>
  </si>
  <si>
    <t>includes 1.5% fees plus processing fees of 1195 and 495</t>
  </si>
  <si>
    <t>Interest payment dec Civic loan</t>
  </si>
  <si>
    <t>Notary</t>
  </si>
  <si>
    <t>Alta</t>
  </si>
  <si>
    <t>Escrow</t>
  </si>
  <si>
    <t>Title Ins</t>
  </si>
  <si>
    <t>recording service</t>
  </si>
  <si>
    <t>Recording fees</t>
  </si>
  <si>
    <t>Interest payment Fay</t>
  </si>
  <si>
    <t>approx</t>
  </si>
  <si>
    <t>March</t>
  </si>
  <si>
    <t xml:space="preserve">April </t>
  </si>
  <si>
    <t>August</t>
  </si>
  <si>
    <t>WATER Bill</t>
  </si>
  <si>
    <t>August/  Paid in Sept</t>
  </si>
  <si>
    <t>1 year</t>
  </si>
  <si>
    <t>sep - feb</t>
  </si>
  <si>
    <t>Financing costs total</t>
  </si>
  <si>
    <t>Proforma</t>
  </si>
  <si>
    <t>Amount</t>
  </si>
  <si>
    <t xml:space="preserve">Loan Payoff </t>
  </si>
  <si>
    <t>Repairs</t>
  </si>
  <si>
    <t>Closing Costs</t>
  </si>
  <si>
    <t>Realtor commissions</t>
  </si>
  <si>
    <t>3% total</t>
  </si>
  <si>
    <t>Total Costs</t>
  </si>
  <si>
    <t>Sale</t>
  </si>
  <si>
    <t>$ Received</t>
  </si>
  <si>
    <t>Loan Payoff  to Brad</t>
  </si>
  <si>
    <t>Loan Payoff  to Mom</t>
  </si>
  <si>
    <t>Loan to Chuck</t>
  </si>
  <si>
    <t>Loan to Dad</t>
  </si>
  <si>
    <t>Total amount invested</t>
  </si>
  <si>
    <t>Loss</t>
  </si>
  <si>
    <t>Natural Hazard Disclosure Report to NHD Company 99.00</t>
  </si>
  <si>
    <t>Signing/Notary Services to SnapDocs 150.00</t>
  </si>
  <si>
    <t>Final Billing Est to County of Sac Utilities 250.00</t>
  </si>
  <si>
    <t>Prorata R.E. Taxes, 06/28/19 to 07/01/19, 3 days @ $7.3038 (est.) 21.91</t>
  </si>
  <si>
    <t>Title Charges</t>
  </si>
  <si>
    <t>Homeowners Policy of Title Insurance to Old Republic Title Company 1,604.00</t>
  </si>
  <si>
    <t>Recording Fees 225.00</t>
  </si>
  <si>
    <t>Affordable Housing Recording Fee to Sacramento County 225.00</t>
  </si>
  <si>
    <t>County Transfer Tax to County of Sacramento 577.50</t>
  </si>
  <si>
    <t>Property Taxes</t>
  </si>
  <si>
    <t>Color Key</t>
  </si>
  <si>
    <t xml:space="preserve">Yellow </t>
  </si>
  <si>
    <t>Draw Requested</t>
  </si>
  <si>
    <t>Green</t>
  </si>
  <si>
    <t>Draw Paid</t>
  </si>
  <si>
    <t>Blue</t>
  </si>
  <si>
    <t>Not completed yet</t>
  </si>
  <si>
    <t>Red</t>
  </si>
  <si>
    <t>Not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</si>
</sst>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"/>
    <numFmt numFmtId="165" formatCode="&quot;$&quot;#,##0.00"/>
    <numFmt numFmtId="166" formatCode="mmm yyyy"/>
    <numFmt numFmtId="167" formatCode="&quot;$&quot;#,##0"/>
    <numFmt numFmtId="168" formatCode="m/d/yyyy"/>
  </numFmts>
  <fonts count="13">
    <font>
      <sz val="10.0"/>
      <color rgb="FF000000"/>
      <name val="Arial"/>
    </font>
    <font>
      <b/>
      <sz val="14.0"/>
      <color rgb="FF000000"/>
      <name val="Calibri"/>
    </font>
    <font>
      <b/>
      <name val="Calibri"/>
    </font>
    <font>
      <b/>
      <color rgb="FF000000"/>
      <name val="Calibri"/>
    </font>
    <font>
      <name val="Calibri"/>
    </font>
    <font>
      <color rgb="FF000000"/>
      <name val="Calibri"/>
    </font>
    <font>
      <sz val="10.0"/>
      <color rgb="FF000000"/>
      <name val="Calibri"/>
    </font>
    <font>
      <b/>
      <sz val="14.0"/>
      <name val="Calibri"/>
    </font>
    <font>
      <sz val="9.0"/>
      <color rgb="FF000000"/>
      <name val="Arial"/>
    </font>
    <font>
      <name val="Arial"/>
    </font>
    <font>
      <sz val="12.0"/>
      <color rgb="FF000000"/>
      <name val="Calibri"/>
    </font>
    <font>
      <b/>
    </font>
    <font/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DCDCDC"/>
        <bgColor rgb="FFDCDCD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Font="1"/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shrinkToFit="0" vertical="center" wrapText="1"/>
    </xf>
    <xf borderId="0" fillId="0" fontId="4" numFmtId="164" xfId="0" applyAlignment="1" applyFont="1" applyNumberFormat="1">
      <alignment horizontal="right" vertical="bottom"/>
    </xf>
    <xf borderId="0" fillId="2" fontId="4" numFmtId="165" xfId="0" applyAlignment="1" applyFill="1" applyFont="1" applyNumberFormat="1">
      <alignment horizontal="right" readingOrder="0" vertical="bottom"/>
    </xf>
    <xf borderId="0" fillId="0" fontId="4" numFmtId="165" xfId="0" applyAlignment="1" applyFont="1" applyNumberFormat="1">
      <alignment vertical="bottom"/>
    </xf>
    <xf borderId="0" fillId="0" fontId="4" numFmtId="165" xfId="0" applyAlignment="1" applyFont="1" applyNumberFormat="1">
      <alignment readingOrder="0" vertical="bottom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horizontal="right" vertical="bottom"/>
    </xf>
    <xf borderId="0" fillId="3" fontId="4" numFmtId="0" xfId="0" applyAlignment="1" applyFill="1" applyFont="1">
      <alignment readingOrder="0" vertical="bottom"/>
    </xf>
    <xf borderId="0" fillId="3" fontId="4" numFmtId="0" xfId="0" applyAlignment="1" applyFont="1">
      <alignment readingOrder="0" shrinkToFit="0" vertical="center" wrapText="1"/>
    </xf>
    <xf borderId="0" fillId="3" fontId="4" numFmtId="164" xfId="0" applyAlignment="1" applyFont="1" applyNumberFormat="1">
      <alignment horizontal="right" readingOrder="0" vertical="bottom"/>
    </xf>
    <xf borderId="0" fillId="4" fontId="4" numFmtId="0" xfId="0" applyAlignment="1" applyFill="1" applyFont="1">
      <alignment readingOrder="0" vertical="bottom"/>
    </xf>
    <xf borderId="0" fillId="4" fontId="4" numFmtId="0" xfId="0" applyAlignment="1" applyFont="1">
      <alignment readingOrder="0" shrinkToFit="0" vertical="center" wrapText="1"/>
    </xf>
    <xf borderId="0" fillId="4" fontId="4" numFmtId="164" xfId="0" applyAlignment="1" applyFont="1" applyNumberFormat="1">
      <alignment horizontal="right" readingOrder="0" vertical="bottom"/>
    </xf>
    <xf borderId="0" fillId="4" fontId="4" numFmtId="165" xfId="0" applyAlignment="1" applyFont="1" applyNumberFormat="1">
      <alignment horizontal="right" readingOrder="0" vertical="bottom"/>
    </xf>
    <xf borderId="0" fillId="5" fontId="4" numFmtId="0" xfId="0" applyAlignment="1" applyFill="1" applyFont="1">
      <alignment readingOrder="0" vertical="bottom"/>
    </xf>
    <xf borderId="0" fillId="5" fontId="4" numFmtId="165" xfId="0" applyAlignment="1" applyFont="1" applyNumberFormat="1">
      <alignment vertical="bottom"/>
    </xf>
    <xf borderId="0" fillId="4" fontId="4" numFmtId="0" xfId="0" applyAlignment="1" applyFont="1">
      <alignment shrinkToFit="0" vertical="center" wrapText="1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readingOrder="0" shrinkToFit="0" vertical="center" wrapText="1"/>
    </xf>
    <xf borderId="0" fillId="2" fontId="4" numFmtId="164" xfId="0" applyAlignment="1" applyFont="1" applyNumberFormat="1">
      <alignment horizontal="right" readingOrder="0" vertical="bottom"/>
    </xf>
    <xf borderId="0" fillId="2" fontId="4" numFmtId="0" xfId="0" applyAlignment="1" applyFont="1">
      <alignment readingOrder="0"/>
    </xf>
    <xf borderId="0" fillId="2" fontId="5" numFmtId="165" xfId="0" applyAlignment="1" applyFont="1" applyNumberFormat="1">
      <alignment horizontal="left" readingOrder="0"/>
    </xf>
    <xf borderId="0" fillId="0" fontId="4" numFmtId="165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readingOrder="0" shrinkToFit="0" vertical="bottom" wrapText="0"/>
    </xf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readingOrder="0" shrinkToFit="0" vertical="center" wrapText="1"/>
    </xf>
    <xf borderId="0" fillId="6" fontId="4" numFmtId="164" xfId="0" applyAlignment="1" applyFont="1" applyNumberFormat="1">
      <alignment horizontal="right" readingOrder="0" vertical="bottom"/>
    </xf>
    <xf borderId="0" fillId="6" fontId="4" numFmtId="165" xfId="0" applyAlignment="1" applyFont="1" applyNumberFormat="1">
      <alignment horizontal="right" readingOrder="0" vertical="bottom"/>
    </xf>
    <xf borderId="0" fillId="3" fontId="4" numFmtId="0" xfId="0" applyAlignment="1" applyFont="1">
      <alignment shrinkToFit="0" vertical="center" wrapText="1"/>
    </xf>
    <xf borderId="0" fillId="3" fontId="4" numFmtId="0" xfId="0" applyAlignment="1" applyFont="1">
      <alignment horizontal="right" readingOrder="0" vertical="bottom"/>
    </xf>
    <xf borderId="0" fillId="3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5" fontId="4" numFmtId="0" xfId="0" applyAlignment="1" applyFont="1">
      <alignment horizontal="right" readingOrder="0" vertical="bottom"/>
    </xf>
    <xf borderId="0" fillId="5" fontId="4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shrinkToFit="0" vertical="center" wrapText="1"/>
    </xf>
    <xf borderId="0" fillId="2" fontId="4" numFmtId="165" xfId="0" applyAlignment="1" applyFont="1" applyNumberFormat="1">
      <alignment shrinkToFit="0" vertical="center" wrapText="1"/>
    </xf>
    <xf borderId="0" fillId="0" fontId="7" numFmtId="0" xfId="0" applyAlignment="1" applyFon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0" fontId="8" numFmtId="165" xfId="0" applyAlignment="1" applyFont="1" applyNumberFormat="1">
      <alignment readingOrder="0"/>
    </xf>
    <xf borderId="0" fillId="0" fontId="9" numFmtId="0" xfId="0" applyAlignment="1" applyFont="1">
      <alignment vertical="bottom"/>
    </xf>
    <xf borderId="0" fillId="0" fontId="9" numFmtId="166" xfId="0" applyAlignment="1" applyFont="1" applyNumberFormat="1">
      <alignment readingOrder="0" vertical="bottom"/>
    </xf>
    <xf borderId="0" fillId="0" fontId="9" numFmtId="0" xfId="0" applyAlignment="1" applyFont="1">
      <alignment vertical="bottom"/>
    </xf>
    <xf borderId="0" fillId="0" fontId="9" numFmtId="165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0" numFmtId="165" xfId="0" applyAlignment="1" applyFont="1" applyNumberFormat="1">
      <alignment horizontal="right" vertical="bottom"/>
    </xf>
    <xf borderId="0" fillId="0" fontId="10" numFmtId="167" xfId="0" applyAlignment="1" applyFont="1" applyNumberFormat="1">
      <alignment horizontal="right" vertical="bottom"/>
    </xf>
    <xf borderId="0" fillId="0" fontId="4" numFmtId="168" xfId="0" applyAlignment="1" applyFont="1" applyNumberFormat="1">
      <alignment horizontal="right" vertical="bottom"/>
    </xf>
    <xf borderId="0" fillId="7" fontId="4" numFmtId="0" xfId="0" applyAlignment="1" applyFill="1" applyFont="1">
      <alignment vertical="bottom"/>
    </xf>
    <xf borderId="0" fillId="7" fontId="4" numFmtId="0" xfId="0" applyAlignment="1" applyFont="1">
      <alignment shrinkToFit="0" vertical="center" wrapText="1"/>
    </xf>
    <xf borderId="0" fillId="0" fontId="11" numFmtId="0" xfId="0" applyAlignment="1" applyFont="1">
      <alignment readingOrder="0"/>
    </xf>
    <xf borderId="0" fillId="0" fontId="12" numFmtId="165" xfId="0" applyFont="1" applyNumberFormat="1"/>
    <xf borderId="1" fillId="8" fontId="11" numFmtId="0" xfId="0" applyAlignment="1" applyBorder="1" applyFill="1" applyFont="1">
      <alignment readingOrder="0"/>
    </xf>
    <xf borderId="2" fillId="8" fontId="11" numFmtId="165" xfId="0" applyAlignment="1" applyBorder="1" applyFont="1" applyNumberFormat="1">
      <alignment readingOrder="0"/>
    </xf>
    <xf borderId="0" fillId="0" fontId="12" numFmtId="0" xfId="0" applyAlignment="1" applyFont="1">
      <alignment readingOrder="0"/>
    </xf>
    <xf borderId="0" fillId="0" fontId="12" numFmtId="165" xfId="0" applyAlignment="1" applyFont="1" applyNumberFormat="1">
      <alignment readingOrder="0"/>
    </xf>
    <xf borderId="1" fillId="0" fontId="12" numFmtId="0" xfId="0" applyAlignment="1" applyBorder="1" applyFont="1">
      <alignment readingOrder="0"/>
    </xf>
    <xf borderId="2" fillId="0" fontId="12" numFmtId="165" xfId="0" applyAlignment="1" applyBorder="1" applyFont="1" applyNumberFormat="1">
      <alignment readingOrder="0"/>
    </xf>
    <xf borderId="2" fillId="0" fontId="12" numFmtId="165" xfId="0" applyBorder="1" applyFont="1" applyNumberFormat="1"/>
    <xf borderId="1" fillId="0" fontId="12" numFmtId="0" xfId="0" applyBorder="1" applyFont="1"/>
    <xf borderId="1" fillId="0" fontId="11" numFmtId="0" xfId="0" applyAlignment="1" applyBorder="1" applyFont="1">
      <alignment readingOrder="0"/>
    </xf>
    <xf borderId="1" fillId="0" fontId="12" numFmtId="165" xfId="0" applyBorder="1" applyFont="1" applyNumberFormat="1"/>
    <xf borderId="1" fillId="9" fontId="11" numFmtId="0" xfId="0" applyAlignment="1" applyBorder="1" applyFill="1" applyFont="1">
      <alignment readingOrder="0"/>
    </xf>
    <xf borderId="1" fillId="9" fontId="12" numFmtId="0" xfId="0" applyBorder="1" applyFont="1"/>
    <xf borderId="1" fillId="0" fontId="12" numFmtId="165" xfId="0" applyAlignment="1" applyBorder="1" applyFont="1" applyNumberFormat="1">
      <alignment readingOrder="0"/>
    </xf>
    <xf borderId="0" fillId="5" fontId="9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4" fontId="9" numFmtId="0" xfId="0" applyAlignment="1" applyFont="1">
      <alignment vertical="bottom"/>
    </xf>
    <xf borderId="3" fillId="4" fontId="9" numFmtId="0" xfId="0" applyAlignment="1" applyBorder="1" applyFont="1">
      <alignment shrinkToFit="0" vertical="bottom" wrapText="0"/>
    </xf>
    <xf borderId="0" fillId="3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0.25"/>
    <col customWidth="1" min="3" max="3" width="9.25"/>
    <col customWidth="1" min="4" max="4" width="9.13"/>
    <col customWidth="1" min="5" max="5" width="7.5"/>
    <col customWidth="1" min="6" max="6" width="23.0"/>
    <col customWidth="1" min="7" max="7" width="8.75"/>
    <col customWidth="1" min="9" max="9" width="19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5"/>
      <c r="Z1" s="5"/>
    </row>
    <row r="2">
      <c r="A2" s="6" t="s">
        <v>2</v>
      </c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5"/>
    </row>
    <row r="3">
      <c r="A3" s="7" t="s">
        <v>8</v>
      </c>
      <c r="B3" s="8"/>
      <c r="C3" s="9"/>
      <c r="D3" s="10">
        <v>2570.0</v>
      </c>
      <c r="E3" s="7" t="s">
        <v>9</v>
      </c>
      <c r="F3" s="4"/>
      <c r="G3" s="11">
        <f>sum(D3:D6,D9:D10,D12:D14,D16:D18,D20:D24,D26:D28)</f>
        <v>36514.37</v>
      </c>
      <c r="H3" s="4"/>
      <c r="I3" s="7" t="s">
        <v>10</v>
      </c>
      <c r="J3" s="12">
        <f>sum(D3,D5,D13,D16,D18)</f>
        <v>5225</v>
      </c>
      <c r="K3" s="11">
        <f>J3-2350</f>
        <v>2875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5"/>
      <c r="Z3" s="5"/>
    </row>
    <row r="4">
      <c r="A4" s="7" t="s">
        <v>11</v>
      </c>
      <c r="B4" s="13" t="s">
        <v>12</v>
      </c>
      <c r="C4" s="14">
        <v>42962.0</v>
      </c>
      <c r="D4" s="10">
        <v>1973.71</v>
      </c>
      <c r="E4" s="7" t="s">
        <v>9</v>
      </c>
      <c r="F4" s="4"/>
      <c r="G4" s="15">
        <f>sum(D7,D15,D19,D29:D33,D35,D37,D40:D41)</f>
        <v>10365.45</v>
      </c>
      <c r="H4" s="4"/>
      <c r="I4" s="7" t="s">
        <v>13</v>
      </c>
      <c r="J4" s="11">
        <f>sum(D24)</f>
        <v>12977.96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5"/>
      <c r="Y4" s="5"/>
      <c r="Z4" s="5"/>
    </row>
    <row r="5">
      <c r="A5" s="7" t="s">
        <v>8</v>
      </c>
      <c r="B5" s="13" t="s">
        <v>14</v>
      </c>
      <c r="C5" s="14">
        <v>42963.0</v>
      </c>
      <c r="D5" s="10">
        <v>600.0</v>
      </c>
      <c r="E5" s="7" t="s">
        <v>9</v>
      </c>
      <c r="F5" s="4"/>
      <c r="G5" s="15">
        <f>sum(D8,D11,D25,D34,D36,D38,D42)</f>
        <v>16019.16</v>
      </c>
      <c r="H5" s="4"/>
      <c r="I5" s="7" t="s">
        <v>15</v>
      </c>
      <c r="J5" s="11">
        <f>sum(D9,D10,D12,D17,D20,D21,D26,D28)</f>
        <v>5225.07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  <c r="Y5" s="5"/>
      <c r="Z5" s="5"/>
    </row>
    <row r="6">
      <c r="A6" s="7" t="s">
        <v>11</v>
      </c>
      <c r="B6" s="13" t="s">
        <v>16</v>
      </c>
      <c r="C6" s="14">
        <v>42964.0</v>
      </c>
      <c r="D6" s="10">
        <v>6950.0</v>
      </c>
      <c r="E6" s="7" t="s">
        <v>17</v>
      </c>
      <c r="F6" s="7" t="s">
        <v>18</v>
      </c>
      <c r="G6" s="15"/>
      <c r="H6" s="4"/>
      <c r="I6" s="7" t="s">
        <v>19</v>
      </c>
      <c r="J6" s="11">
        <f>sum(D14,D22,D23,D27)</f>
        <v>4162.63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5"/>
      <c r="Y6" s="5"/>
      <c r="Z6" s="5"/>
    </row>
    <row r="7">
      <c r="A7" s="16" t="s">
        <v>20</v>
      </c>
      <c r="B7" s="17" t="s">
        <v>21</v>
      </c>
      <c r="C7" s="18">
        <v>42964.0</v>
      </c>
      <c r="D7" s="10">
        <v>100.0</v>
      </c>
      <c r="E7" s="16" t="s">
        <v>17</v>
      </c>
      <c r="F7" s="4"/>
      <c r="G7" s="15"/>
      <c r="H7" s="4"/>
      <c r="I7" s="7" t="s">
        <v>22</v>
      </c>
      <c r="J7" s="11">
        <f>sum(D4,D6,)</f>
        <v>8923.71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5"/>
      <c r="Y7" s="5"/>
      <c r="Z7" s="5"/>
    </row>
    <row r="8">
      <c r="A8" s="19" t="s">
        <v>23</v>
      </c>
      <c r="B8" s="20" t="s">
        <v>24</v>
      </c>
      <c r="C8" s="21">
        <v>42965.0</v>
      </c>
      <c r="D8" s="22">
        <v>496.96</v>
      </c>
      <c r="E8" s="19" t="s">
        <v>17</v>
      </c>
      <c r="F8" s="4"/>
      <c r="G8" s="15"/>
      <c r="H8" s="4"/>
      <c r="I8" s="23" t="s">
        <v>25</v>
      </c>
      <c r="J8" s="24">
        <f>sum(J3:J7)</f>
        <v>36514.37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5"/>
      <c r="Z8" s="5"/>
    </row>
    <row r="9">
      <c r="A9" s="7" t="s">
        <v>26</v>
      </c>
      <c r="B9" s="13" t="s">
        <v>27</v>
      </c>
      <c r="C9" s="14">
        <v>42977.0</v>
      </c>
      <c r="D9" s="10">
        <v>630.04</v>
      </c>
      <c r="E9" s="7" t="s">
        <v>17</v>
      </c>
      <c r="F9" s="4"/>
      <c r="G9" s="15"/>
      <c r="H9" s="4"/>
      <c r="I9" s="4"/>
      <c r="J9" s="7">
        <v>35277.0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5"/>
      <c r="Y9" s="5"/>
      <c r="Z9" s="5"/>
    </row>
    <row r="10">
      <c r="A10" s="7" t="s">
        <v>26</v>
      </c>
      <c r="B10" s="13" t="s">
        <v>27</v>
      </c>
      <c r="C10" s="14">
        <v>42969.0</v>
      </c>
      <c r="D10" s="10">
        <v>382.81</v>
      </c>
      <c r="E10" s="7" t="s">
        <v>17</v>
      </c>
      <c r="F10" s="4"/>
      <c r="G10" s="15"/>
      <c r="H10" s="4"/>
      <c r="I10" s="4"/>
      <c r="J10" s="7" t="s">
        <v>28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  <c r="Y10" s="5"/>
      <c r="Z10" s="5"/>
    </row>
    <row r="11">
      <c r="A11" s="19" t="s">
        <v>29</v>
      </c>
      <c r="B11" s="25"/>
      <c r="C11" s="21">
        <v>42974.0</v>
      </c>
      <c r="D11" s="22">
        <v>1200.0</v>
      </c>
      <c r="E11" s="19" t="s">
        <v>9</v>
      </c>
      <c r="F11" s="4"/>
      <c r="G11" s="1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5"/>
      <c r="Y11" s="5"/>
      <c r="Z11" s="5"/>
    </row>
    <row r="12">
      <c r="A12" s="7" t="s">
        <v>30</v>
      </c>
      <c r="B12" s="13" t="s">
        <v>27</v>
      </c>
      <c r="C12" s="14">
        <v>42977.0</v>
      </c>
      <c r="D12" s="10">
        <v>630.04</v>
      </c>
      <c r="E12" s="7" t="s">
        <v>17</v>
      </c>
      <c r="F12" s="4"/>
      <c r="G12" s="15"/>
      <c r="H12" s="4"/>
      <c r="I12" s="7" t="s">
        <v>31</v>
      </c>
      <c r="J12" s="11">
        <f>D19+D32+900</f>
        <v>2382.93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5"/>
      <c r="Y12" s="5"/>
      <c r="Z12" s="5"/>
    </row>
    <row r="13">
      <c r="A13" s="7" t="s">
        <v>32</v>
      </c>
      <c r="B13" s="7" t="s">
        <v>33</v>
      </c>
      <c r="C13" s="14">
        <v>42974.0</v>
      </c>
      <c r="D13" s="10">
        <v>320.0</v>
      </c>
      <c r="E13" s="7" t="s">
        <v>17</v>
      </c>
      <c r="F13" s="4"/>
      <c r="G13" s="15"/>
      <c r="H13" s="4"/>
      <c r="I13" s="7" t="s">
        <v>34</v>
      </c>
      <c r="J13" s="11">
        <f>sum(D7+D15+D19+D29+D32+D31+D33+D35+D37)</f>
        <v>8401.09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5"/>
      <c r="Y13" s="5"/>
      <c r="Z13" s="5"/>
    </row>
    <row r="14">
      <c r="A14" s="7" t="s">
        <v>35</v>
      </c>
      <c r="B14" s="13" t="s">
        <v>36</v>
      </c>
      <c r="C14" s="14">
        <v>42977.0</v>
      </c>
      <c r="D14" s="10">
        <v>621.93</v>
      </c>
      <c r="E14" s="7" t="s">
        <v>9</v>
      </c>
      <c r="F14" s="4"/>
      <c r="G14" s="15"/>
      <c r="H14" s="4"/>
      <c r="I14" s="7" t="s">
        <v>37</v>
      </c>
      <c r="J14" s="11">
        <f>D15+D29+D30</f>
        <v>3254.36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5"/>
      <c r="Z14" s="5"/>
    </row>
    <row r="15">
      <c r="A15" s="16" t="s">
        <v>38</v>
      </c>
      <c r="B15" s="17" t="s">
        <v>39</v>
      </c>
      <c r="C15" s="18">
        <v>42977.0</v>
      </c>
      <c r="D15" s="10">
        <v>470.0</v>
      </c>
      <c r="E15" s="16" t="s">
        <v>9</v>
      </c>
      <c r="F15" s="4"/>
      <c r="G15" s="1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5"/>
      <c r="Y15" s="5"/>
      <c r="Z15" s="5"/>
    </row>
    <row r="16">
      <c r="A16" s="7" t="s">
        <v>8</v>
      </c>
      <c r="B16" s="13" t="s">
        <v>14</v>
      </c>
      <c r="C16" s="14">
        <v>42977.0</v>
      </c>
      <c r="D16" s="10">
        <v>1560.0</v>
      </c>
      <c r="E16" s="7" t="s">
        <v>9</v>
      </c>
      <c r="F16" s="4"/>
      <c r="G16" s="1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5"/>
      <c r="Y16" s="5"/>
      <c r="Z16" s="5"/>
    </row>
    <row r="17">
      <c r="A17" s="7" t="s">
        <v>30</v>
      </c>
      <c r="B17" s="13" t="s">
        <v>27</v>
      </c>
      <c r="C17" s="14">
        <v>42978.0</v>
      </c>
      <c r="D17" s="10">
        <v>120.21</v>
      </c>
      <c r="E17" s="7" t="s">
        <v>17</v>
      </c>
      <c r="F17" s="4"/>
      <c r="G17" s="15"/>
      <c r="H17" s="4"/>
      <c r="I17" s="7" t="s">
        <v>40</v>
      </c>
      <c r="J17" s="11">
        <f>D15+D29+D30+D7</f>
        <v>3354.36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5"/>
      <c r="Y17" s="5"/>
      <c r="Z17" s="5"/>
    </row>
    <row r="18">
      <c r="A18" s="7" t="s">
        <v>33</v>
      </c>
      <c r="B18" s="13" t="s">
        <v>32</v>
      </c>
      <c r="C18" s="14">
        <v>42977.0</v>
      </c>
      <c r="D18" s="10">
        <v>175.0</v>
      </c>
      <c r="E18" s="7" t="s">
        <v>17</v>
      </c>
      <c r="F18" s="4"/>
      <c r="G18" s="15"/>
      <c r="H18" s="4"/>
      <c r="I18" s="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5"/>
      <c r="Y18" s="5"/>
      <c r="Z18" s="5"/>
    </row>
    <row r="19">
      <c r="A19" s="16" t="s">
        <v>41</v>
      </c>
      <c r="B19" s="17" t="s">
        <v>42</v>
      </c>
      <c r="C19" s="18">
        <v>42978.0</v>
      </c>
      <c r="D19" s="10">
        <v>900.0</v>
      </c>
      <c r="E19" s="16" t="s">
        <v>17</v>
      </c>
      <c r="F19" s="7" t="s">
        <v>43</v>
      </c>
      <c r="G19" s="15"/>
      <c r="H19" s="4"/>
      <c r="I19" s="7" t="s">
        <v>31</v>
      </c>
      <c r="J19" s="11">
        <f>D32+D19+D40+D41</f>
        <v>1891.09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5"/>
      <c r="Y19" s="5"/>
      <c r="Z19" s="5"/>
    </row>
    <row r="20">
      <c r="A20" s="7" t="s">
        <v>44</v>
      </c>
      <c r="B20" s="13" t="s">
        <v>45</v>
      </c>
      <c r="C20" s="14">
        <v>43343.0</v>
      </c>
      <c r="D20" s="10">
        <v>1500.0</v>
      </c>
      <c r="E20" s="7" t="s">
        <v>17</v>
      </c>
      <c r="F20" s="4"/>
      <c r="G20" s="15"/>
      <c r="H20" s="4"/>
      <c r="I20" s="7" t="s">
        <v>46</v>
      </c>
      <c r="J20" s="11">
        <f>D31+D33</f>
        <v>420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5"/>
      <c r="Y20" s="5"/>
      <c r="Z20" s="5"/>
    </row>
    <row r="21">
      <c r="A21" s="7" t="s">
        <v>47</v>
      </c>
      <c r="B21" s="13" t="s">
        <v>27</v>
      </c>
      <c r="C21" s="14">
        <v>42982.0</v>
      </c>
      <c r="D21" s="10">
        <v>291.46</v>
      </c>
      <c r="E21" s="7" t="s">
        <v>17</v>
      </c>
      <c r="F21" s="4"/>
      <c r="G21" s="15"/>
      <c r="H21" s="4"/>
      <c r="I21" s="7" t="s">
        <v>48</v>
      </c>
      <c r="J21" s="11">
        <f>D35+D37</f>
        <v>4700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5"/>
      <c r="Y21" s="5"/>
      <c r="Z21" s="5"/>
    </row>
    <row r="22">
      <c r="A22" s="7" t="s">
        <v>49</v>
      </c>
      <c r="B22" s="13" t="s">
        <v>50</v>
      </c>
      <c r="C22" s="14">
        <v>42983.0</v>
      </c>
      <c r="D22" s="10">
        <v>400.0</v>
      </c>
      <c r="E22" s="7" t="s">
        <v>17</v>
      </c>
      <c r="F22" s="7"/>
      <c r="G22" s="15"/>
      <c r="H22" s="4"/>
      <c r="I22" s="23" t="s">
        <v>51</v>
      </c>
      <c r="J22" s="24">
        <f>sum(J17:J21)</f>
        <v>10365.45</v>
      </c>
      <c r="K22" s="11">
        <f>J22-4200</f>
        <v>6165.45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5"/>
      <c r="Y22" s="5"/>
      <c r="Z22" s="5"/>
    </row>
    <row r="23">
      <c r="A23" s="7" t="s">
        <v>49</v>
      </c>
      <c r="B23" s="13" t="s">
        <v>52</v>
      </c>
      <c r="C23" s="14">
        <v>42986.0</v>
      </c>
      <c r="D23" s="10">
        <v>3031.0</v>
      </c>
      <c r="E23" s="7" t="s">
        <v>17</v>
      </c>
      <c r="F23" s="4"/>
      <c r="G23" s="15"/>
      <c r="H23" s="4"/>
      <c r="I23" s="7" t="s">
        <v>17</v>
      </c>
      <c r="J23" s="11">
        <f>D7+D19+D31+D32+D33+D41</f>
        <v>2213.13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5"/>
      <c r="Y23" s="5"/>
      <c r="Z23" s="5"/>
    </row>
    <row r="24">
      <c r="A24" s="7" t="s">
        <v>53</v>
      </c>
      <c r="B24" s="13" t="s">
        <v>54</v>
      </c>
      <c r="C24" s="14">
        <v>42987.0</v>
      </c>
      <c r="D24" s="10">
        <v>12977.96</v>
      </c>
      <c r="E24" s="7" t="s">
        <v>9</v>
      </c>
      <c r="F24" s="4"/>
      <c r="G24" s="15"/>
      <c r="H24" s="4"/>
      <c r="I24" s="7" t="s">
        <v>9</v>
      </c>
      <c r="J24" s="11">
        <f>D29+D30+D35+D37+D40+D15</f>
        <v>8152.32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5"/>
      <c r="Y24" s="5"/>
      <c r="Z24" s="5"/>
    </row>
    <row r="25">
      <c r="A25" s="19" t="s">
        <v>55</v>
      </c>
      <c r="B25" s="20" t="s">
        <v>56</v>
      </c>
      <c r="C25" s="21">
        <v>42955.0</v>
      </c>
      <c r="D25" s="22">
        <v>2034.02</v>
      </c>
      <c r="E25" s="19" t="s">
        <v>9</v>
      </c>
      <c r="F25" s="4"/>
      <c r="G25" s="1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5"/>
      <c r="Y25" s="5"/>
      <c r="Z25" s="5"/>
    </row>
    <row r="26">
      <c r="A26" s="7" t="s">
        <v>27</v>
      </c>
      <c r="B26" s="13" t="s">
        <v>57</v>
      </c>
      <c r="C26" s="14">
        <v>42989.0</v>
      </c>
      <c r="D26" s="10">
        <v>170.51</v>
      </c>
      <c r="E26" s="7" t="s">
        <v>58</v>
      </c>
      <c r="F26" s="4"/>
      <c r="G26" s="15"/>
      <c r="H26" s="4"/>
      <c r="I26" s="7" t="s">
        <v>59</v>
      </c>
      <c r="J26" s="7">
        <v>9934.0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5"/>
      <c r="Y26" s="5"/>
      <c r="Z26" s="5"/>
    </row>
    <row r="27">
      <c r="A27" s="7" t="s">
        <v>60</v>
      </c>
      <c r="B27" s="13" t="s">
        <v>61</v>
      </c>
      <c r="C27" s="14">
        <v>42989.0</v>
      </c>
      <c r="D27" s="10">
        <v>109.7</v>
      </c>
      <c r="E27" s="7" t="s">
        <v>17</v>
      </c>
      <c r="F27" s="4"/>
      <c r="G27" s="1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5"/>
      <c r="Y27" s="5"/>
      <c r="Z27" s="5"/>
    </row>
    <row r="28">
      <c r="A28" s="7" t="s">
        <v>62</v>
      </c>
      <c r="B28" s="13" t="s">
        <v>42</v>
      </c>
      <c r="C28" s="14">
        <v>42991.0</v>
      </c>
      <c r="D28" s="10">
        <v>1500.0</v>
      </c>
      <c r="E28" s="7" t="s">
        <v>17</v>
      </c>
      <c r="F28" s="4"/>
      <c r="G28" s="15"/>
      <c r="H28" s="4"/>
      <c r="I28" s="7" t="s">
        <v>63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5"/>
      <c r="Z28" s="5"/>
    </row>
    <row r="29">
      <c r="A29" s="26" t="s">
        <v>64</v>
      </c>
      <c r="B29" s="27" t="s">
        <v>65</v>
      </c>
      <c r="C29" s="28">
        <v>42991.0</v>
      </c>
      <c r="D29" s="10">
        <v>1228.16</v>
      </c>
      <c r="E29" s="26" t="s">
        <v>9</v>
      </c>
      <c r="F29" s="7"/>
      <c r="G29" s="1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5"/>
      <c r="Z29" s="5"/>
    </row>
    <row r="30">
      <c r="A30" s="26" t="s">
        <v>64</v>
      </c>
      <c r="B30" s="27" t="s">
        <v>65</v>
      </c>
      <c r="C30" s="28">
        <v>43059.0</v>
      </c>
      <c r="D30" s="10">
        <v>1556.2</v>
      </c>
      <c r="E30" s="26" t="s">
        <v>9</v>
      </c>
      <c r="F30" s="7"/>
      <c r="G30" s="1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5"/>
      <c r="Y30" s="5"/>
      <c r="Z30" s="5"/>
    </row>
    <row r="31">
      <c r="A31" s="26" t="s">
        <v>66</v>
      </c>
      <c r="B31" s="27" t="s">
        <v>49</v>
      </c>
      <c r="C31" s="28">
        <v>43031.0</v>
      </c>
      <c r="D31" s="10">
        <v>120.0</v>
      </c>
      <c r="E31" s="26" t="s">
        <v>17</v>
      </c>
      <c r="F31" s="7"/>
      <c r="G31" s="1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5"/>
      <c r="Y31" s="5"/>
      <c r="Z31" s="5"/>
    </row>
    <row r="32">
      <c r="A32" s="26" t="s">
        <v>67</v>
      </c>
      <c r="B32" s="27" t="s">
        <v>27</v>
      </c>
      <c r="C32" s="28">
        <v>43038.0</v>
      </c>
      <c r="D32" s="10">
        <v>582.93</v>
      </c>
      <c r="E32" s="26" t="s">
        <v>17</v>
      </c>
      <c r="F32" s="7"/>
      <c r="G32" s="1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5"/>
      <c r="Y32" s="5"/>
      <c r="Z32" s="5"/>
    </row>
    <row r="33">
      <c r="A33" s="26" t="s">
        <v>66</v>
      </c>
      <c r="B33" s="27" t="s">
        <v>49</v>
      </c>
      <c r="C33" s="28">
        <v>43038.0</v>
      </c>
      <c r="D33" s="10">
        <v>300.0</v>
      </c>
      <c r="E33" s="26" t="s">
        <v>17</v>
      </c>
      <c r="F33" s="7"/>
      <c r="G33" s="1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5"/>
      <c r="Z33" s="5"/>
    </row>
    <row r="34">
      <c r="A34" s="7" t="s">
        <v>68</v>
      </c>
      <c r="B34" s="13" t="s">
        <v>69</v>
      </c>
      <c r="C34" s="14">
        <v>43028.0</v>
      </c>
      <c r="D34" s="22">
        <v>6874.74</v>
      </c>
      <c r="E34" s="7" t="s">
        <v>9</v>
      </c>
      <c r="F34" s="7"/>
      <c r="G34" s="1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5"/>
      <c r="Y34" s="5"/>
      <c r="Z34" s="5"/>
    </row>
    <row r="35">
      <c r="A35" s="26" t="s">
        <v>70</v>
      </c>
      <c r="B35" s="29" t="s">
        <v>71</v>
      </c>
      <c r="C35" s="28">
        <v>43040.0</v>
      </c>
      <c r="D35" s="30">
        <v>4200.0</v>
      </c>
      <c r="E35" s="26" t="s">
        <v>9</v>
      </c>
      <c r="F35" s="7"/>
      <c r="G35" s="1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5"/>
      <c r="Y35" s="5"/>
      <c r="Z35" s="5"/>
    </row>
    <row r="36">
      <c r="A36" s="7" t="s">
        <v>72</v>
      </c>
      <c r="B36" s="13" t="s">
        <v>73</v>
      </c>
      <c r="C36" s="14">
        <v>43049.0</v>
      </c>
      <c r="D36" s="22">
        <v>7.31</v>
      </c>
      <c r="E36" s="7" t="s">
        <v>17</v>
      </c>
      <c r="F36" s="7"/>
      <c r="G36" s="1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5"/>
      <c r="Y36" s="5"/>
      <c r="Z36" s="5"/>
    </row>
    <row r="37">
      <c r="A37" s="26" t="s">
        <v>74</v>
      </c>
      <c r="B37" s="27" t="s">
        <v>75</v>
      </c>
      <c r="C37" s="28">
        <v>43056.0</v>
      </c>
      <c r="D37" s="10">
        <v>500.0</v>
      </c>
      <c r="E37" s="26" t="s">
        <v>9</v>
      </c>
      <c r="F37" s="7"/>
      <c r="G37" s="1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5"/>
      <c r="Y37" s="5"/>
      <c r="Z37" s="5"/>
    </row>
    <row r="38">
      <c r="A38" s="7" t="s">
        <v>76</v>
      </c>
      <c r="B38" s="13" t="s">
        <v>77</v>
      </c>
      <c r="C38" s="14"/>
      <c r="D38" s="22">
        <v>1906.13</v>
      </c>
      <c r="E38" s="7" t="s">
        <v>9</v>
      </c>
      <c r="F38" s="7" t="s">
        <v>78</v>
      </c>
      <c r="G38" s="1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5"/>
      <c r="Z38" s="5"/>
    </row>
    <row r="39">
      <c r="A39" s="7" t="s">
        <v>56</v>
      </c>
      <c r="B39" s="13" t="s">
        <v>79</v>
      </c>
      <c r="C39" s="14"/>
      <c r="D39" s="22">
        <v>37.89</v>
      </c>
      <c r="E39" s="7" t="s">
        <v>9</v>
      </c>
      <c r="F39" s="7" t="s">
        <v>80</v>
      </c>
      <c r="G39" s="1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5"/>
      <c r="Z39" s="5"/>
    </row>
    <row r="40">
      <c r="A40" s="26" t="s">
        <v>67</v>
      </c>
      <c r="B40" s="27" t="s">
        <v>27</v>
      </c>
      <c r="C40" s="28">
        <v>43044.0</v>
      </c>
      <c r="D40" s="10">
        <v>197.96</v>
      </c>
      <c r="E40" s="26" t="s">
        <v>9</v>
      </c>
      <c r="F40" s="7"/>
      <c r="G40" s="1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5"/>
      <c r="Z40" s="5"/>
    </row>
    <row r="41">
      <c r="A41" s="26" t="s">
        <v>67</v>
      </c>
      <c r="B41" s="27" t="s">
        <v>27</v>
      </c>
      <c r="C41" s="28"/>
      <c r="D41" s="10">
        <v>210.2</v>
      </c>
      <c r="E41" s="26" t="s">
        <v>17</v>
      </c>
      <c r="F41" s="7"/>
      <c r="G41" s="1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5"/>
      <c r="Z41" s="5"/>
    </row>
    <row r="42">
      <c r="A42" s="7" t="s">
        <v>81</v>
      </c>
      <c r="B42" s="13" t="s">
        <v>82</v>
      </c>
      <c r="C42" s="14">
        <v>43069.0</v>
      </c>
      <c r="D42" s="31">
        <v>3500.0</v>
      </c>
      <c r="E42" s="7" t="s">
        <v>9</v>
      </c>
      <c r="F42" s="7" t="s">
        <v>83</v>
      </c>
      <c r="G42" s="1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5"/>
      <c r="Z42" s="5"/>
    </row>
    <row r="43">
      <c r="A43" s="7" t="s">
        <v>45</v>
      </c>
      <c r="B43" s="13" t="s">
        <v>42</v>
      </c>
      <c r="C43" s="14"/>
      <c r="D43" s="31">
        <v>1000.0</v>
      </c>
      <c r="E43" s="7" t="s">
        <v>9</v>
      </c>
      <c r="F43" s="7"/>
      <c r="G43" s="1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5"/>
      <c r="Z43" s="5"/>
    </row>
    <row r="44">
      <c r="A44" s="7" t="s">
        <v>31</v>
      </c>
      <c r="B44" s="13" t="s">
        <v>42</v>
      </c>
      <c r="C44" s="14"/>
      <c r="D44" s="31">
        <v>1100.0</v>
      </c>
      <c r="E44" s="7" t="s">
        <v>9</v>
      </c>
      <c r="F44" s="7"/>
      <c r="G44" s="1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5"/>
      <c r="Z44" s="5"/>
    </row>
    <row r="45">
      <c r="A45" s="7" t="s">
        <v>84</v>
      </c>
      <c r="B45" s="13" t="s">
        <v>85</v>
      </c>
      <c r="C45" s="14"/>
      <c r="D45" s="31">
        <v>4000.0</v>
      </c>
      <c r="E45" s="7" t="s">
        <v>9</v>
      </c>
      <c r="F45" s="7"/>
      <c r="G45" s="1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5"/>
      <c r="Z45" s="5"/>
    </row>
    <row r="46">
      <c r="A46" s="7" t="s">
        <v>86</v>
      </c>
      <c r="B46" s="13" t="s">
        <v>17</v>
      </c>
      <c r="C46" s="14"/>
      <c r="D46" s="31">
        <v>800.0</v>
      </c>
      <c r="E46" s="7" t="s">
        <v>9</v>
      </c>
      <c r="F46" s="7"/>
      <c r="G46" s="1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5"/>
      <c r="Z46" s="5"/>
    </row>
    <row r="47">
      <c r="A47" s="7" t="s">
        <v>87</v>
      </c>
      <c r="B47" s="13" t="s">
        <v>17</v>
      </c>
      <c r="C47" s="14"/>
      <c r="D47" s="31">
        <v>2000.0</v>
      </c>
      <c r="E47" s="7" t="s">
        <v>88</v>
      </c>
      <c r="F47" s="7"/>
      <c r="G47" s="1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5"/>
      <c r="Z47" s="5"/>
    </row>
    <row r="48">
      <c r="A48" s="7" t="s">
        <v>89</v>
      </c>
      <c r="B48" s="13" t="s">
        <v>17</v>
      </c>
      <c r="C48" s="14"/>
      <c r="D48" s="31">
        <v>3220.0</v>
      </c>
      <c r="E48" s="7" t="s">
        <v>88</v>
      </c>
      <c r="F48" s="7"/>
      <c r="G48" s="1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5"/>
      <c r="Z48" s="5"/>
    </row>
    <row r="49">
      <c r="A49" s="7" t="s">
        <v>90</v>
      </c>
      <c r="B49" s="13" t="s">
        <v>91</v>
      </c>
      <c r="C49" s="14"/>
      <c r="D49" s="31">
        <v>300.0</v>
      </c>
      <c r="E49" s="7" t="s">
        <v>58</v>
      </c>
      <c r="F49" s="7"/>
      <c r="G49" s="1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5"/>
      <c r="Z49" s="5"/>
    </row>
    <row r="50">
      <c r="A50" s="7" t="s">
        <v>92</v>
      </c>
      <c r="B50" s="13" t="s">
        <v>93</v>
      </c>
      <c r="C50" s="14"/>
      <c r="D50" s="31">
        <v>608.78</v>
      </c>
      <c r="E50" s="7" t="s">
        <v>17</v>
      </c>
      <c r="F50" s="7"/>
      <c r="G50" s="1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5"/>
      <c r="Z50" s="5"/>
    </row>
    <row r="51">
      <c r="A51" s="7" t="s">
        <v>94</v>
      </c>
      <c r="B51" s="13" t="s">
        <v>95</v>
      </c>
      <c r="C51" s="14"/>
      <c r="D51" s="31">
        <v>278.0</v>
      </c>
      <c r="E51" s="7" t="s">
        <v>17</v>
      </c>
      <c r="F51" s="7"/>
      <c r="G51" s="1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5"/>
      <c r="Z51" s="5"/>
    </row>
    <row r="52">
      <c r="A52" s="7" t="s">
        <v>96</v>
      </c>
      <c r="B52" s="13" t="s">
        <v>97</v>
      </c>
      <c r="C52" s="14"/>
      <c r="D52" s="31">
        <v>2000.0</v>
      </c>
      <c r="E52" s="7" t="s">
        <v>17</v>
      </c>
      <c r="F52" s="7"/>
      <c r="G52" s="1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5"/>
      <c r="Z52" s="5"/>
    </row>
    <row r="53">
      <c r="A53" s="7" t="s">
        <v>98</v>
      </c>
      <c r="B53" s="13" t="s">
        <v>27</v>
      </c>
      <c r="C53" s="14"/>
      <c r="D53" s="31">
        <v>1800.0</v>
      </c>
      <c r="E53" s="7" t="s">
        <v>17</v>
      </c>
      <c r="F53" s="7"/>
      <c r="G53" s="1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5"/>
      <c r="Z53" s="5"/>
    </row>
    <row r="54">
      <c r="A54" s="7" t="s">
        <v>99</v>
      </c>
      <c r="B54" s="13" t="s">
        <v>27</v>
      </c>
      <c r="C54" s="14"/>
      <c r="D54" s="31">
        <v>550.0</v>
      </c>
      <c r="E54" s="7" t="s">
        <v>17</v>
      </c>
      <c r="F54" s="7"/>
      <c r="G54" s="1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5"/>
      <c r="Z54" s="5"/>
    </row>
    <row r="55">
      <c r="A55" s="7" t="s">
        <v>100</v>
      </c>
      <c r="B55" s="13" t="s">
        <v>101</v>
      </c>
      <c r="C55" s="14"/>
      <c r="D55" s="31">
        <v>375.0</v>
      </c>
      <c r="E55" s="7" t="s">
        <v>17</v>
      </c>
      <c r="F55" s="7"/>
      <c r="G55" s="1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5"/>
      <c r="Z55" s="5"/>
    </row>
    <row r="56">
      <c r="A56" s="7" t="s">
        <v>102</v>
      </c>
      <c r="B56" s="13" t="s">
        <v>103</v>
      </c>
      <c r="C56" s="14"/>
      <c r="D56" s="31">
        <v>400.0</v>
      </c>
      <c r="E56" s="7" t="s">
        <v>104</v>
      </c>
      <c r="F56" s="7" t="s">
        <v>105</v>
      </c>
      <c r="G56" s="1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5"/>
      <c r="Z56" s="5"/>
    </row>
    <row r="57">
      <c r="A57" s="7" t="s">
        <v>102</v>
      </c>
      <c r="B57" s="13" t="s">
        <v>103</v>
      </c>
      <c r="C57" s="14"/>
      <c r="D57" s="31">
        <v>920.25</v>
      </c>
      <c r="E57" s="7"/>
      <c r="F57" s="7"/>
      <c r="G57" s="1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5"/>
      <c r="Z57" s="5"/>
    </row>
    <row r="58">
      <c r="A58" s="7" t="s">
        <v>106</v>
      </c>
      <c r="B58" s="13" t="s">
        <v>27</v>
      </c>
      <c r="C58" s="14"/>
      <c r="D58" s="31">
        <v>134.7</v>
      </c>
      <c r="E58" s="7" t="s">
        <v>17</v>
      </c>
      <c r="F58" s="7"/>
      <c r="G58" s="1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/>
      <c r="Y58" s="5"/>
      <c r="Z58" s="5"/>
    </row>
    <row r="59">
      <c r="A59" s="7" t="s">
        <v>107</v>
      </c>
      <c r="B59" s="13"/>
      <c r="C59" s="14"/>
      <c r="D59" s="31">
        <v>3186.45</v>
      </c>
      <c r="E59" s="7" t="s">
        <v>9</v>
      </c>
      <c r="F59" s="7"/>
      <c r="G59" s="1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5"/>
      <c r="Y59" s="5"/>
      <c r="Z59" s="5"/>
    </row>
    <row r="60">
      <c r="A60" s="7" t="s">
        <v>108</v>
      </c>
      <c r="B60" s="13" t="s">
        <v>27</v>
      </c>
      <c r="C60" s="14"/>
      <c r="D60" s="31">
        <v>230.0</v>
      </c>
      <c r="E60" s="7" t="s">
        <v>109</v>
      </c>
      <c r="F60" s="7" t="s">
        <v>110</v>
      </c>
      <c r="G60" s="1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5"/>
      <c r="Y60" s="5"/>
      <c r="Z60" s="5"/>
    </row>
    <row r="61">
      <c r="A61" s="7" t="s">
        <v>111</v>
      </c>
      <c r="B61" s="13" t="s">
        <v>27</v>
      </c>
      <c r="C61" s="14"/>
      <c r="D61" s="31">
        <v>384.21</v>
      </c>
      <c r="E61" s="7" t="s">
        <v>17</v>
      </c>
      <c r="F61" s="7"/>
      <c r="G61" s="1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5"/>
      <c r="Y61" s="5"/>
      <c r="Z61" s="5"/>
    </row>
    <row r="62">
      <c r="A62" s="7" t="s">
        <v>112</v>
      </c>
      <c r="B62" s="13" t="s">
        <v>27</v>
      </c>
      <c r="C62" s="14"/>
      <c r="D62" s="31">
        <v>145.48</v>
      </c>
      <c r="E62" s="7" t="s">
        <v>17</v>
      </c>
      <c r="F62" s="7"/>
      <c r="G62" s="1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5"/>
      <c r="Z62" s="5"/>
    </row>
    <row r="63">
      <c r="A63" s="7" t="s">
        <v>113</v>
      </c>
      <c r="B63" s="13" t="s">
        <v>27</v>
      </c>
      <c r="C63" s="14"/>
      <c r="D63" s="31">
        <v>77.02</v>
      </c>
      <c r="E63" s="7" t="s">
        <v>17</v>
      </c>
      <c r="F63" s="7"/>
      <c r="G63" s="1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5"/>
      <c r="Y63" s="5"/>
      <c r="Z63" s="5"/>
    </row>
    <row r="64">
      <c r="A64" s="7" t="s">
        <v>106</v>
      </c>
      <c r="B64" s="13" t="s">
        <v>27</v>
      </c>
      <c r="C64" s="14"/>
      <c r="D64" s="31">
        <v>356.68</v>
      </c>
      <c r="E64" s="7" t="s">
        <v>17</v>
      </c>
      <c r="F64" s="7"/>
      <c r="G64" s="1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5"/>
      <c r="Z64" s="5"/>
    </row>
    <row r="65">
      <c r="A65" s="7" t="s">
        <v>114</v>
      </c>
      <c r="B65" s="13" t="s">
        <v>97</v>
      </c>
      <c r="C65" s="14"/>
      <c r="D65" s="31">
        <v>220.0</v>
      </c>
      <c r="E65" s="7" t="s">
        <v>17</v>
      </c>
      <c r="F65" s="7"/>
      <c r="G65" s="1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5"/>
      <c r="Z65" s="5"/>
    </row>
    <row r="66">
      <c r="A66" s="7" t="s">
        <v>115</v>
      </c>
      <c r="B66" s="13" t="s">
        <v>116</v>
      </c>
      <c r="C66" s="14"/>
      <c r="D66" s="31">
        <v>440.34</v>
      </c>
      <c r="E66" s="7" t="s">
        <v>17</v>
      </c>
      <c r="F66" s="7"/>
      <c r="G66" s="1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5"/>
      <c r="Z66" s="5"/>
    </row>
    <row r="67">
      <c r="A67" s="7" t="s">
        <v>117</v>
      </c>
      <c r="B67" s="13" t="s">
        <v>27</v>
      </c>
      <c r="C67" s="14"/>
      <c r="D67" s="31">
        <v>603.71</v>
      </c>
      <c r="E67" s="7" t="s">
        <v>17</v>
      </c>
      <c r="F67" s="7"/>
      <c r="G67" s="1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5"/>
      <c r="Z67" s="5"/>
    </row>
    <row r="68">
      <c r="A68" s="7" t="s">
        <v>118</v>
      </c>
      <c r="B68" s="13" t="s">
        <v>27</v>
      </c>
      <c r="C68" s="14"/>
      <c r="D68" s="31">
        <v>156.81</v>
      </c>
      <c r="E68" s="7" t="s">
        <v>17</v>
      </c>
      <c r="F68" s="7"/>
      <c r="G68" s="1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5"/>
      <c r="Z68" s="5"/>
    </row>
    <row r="69">
      <c r="A69" s="7" t="s">
        <v>119</v>
      </c>
      <c r="B69" s="13" t="s">
        <v>27</v>
      </c>
      <c r="C69" s="14"/>
      <c r="D69" s="31">
        <v>384.21</v>
      </c>
      <c r="E69" s="7" t="s">
        <v>17</v>
      </c>
      <c r="F69" s="7"/>
      <c r="G69" s="1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5"/>
      <c r="Z69" s="5"/>
    </row>
    <row r="70">
      <c r="A70" s="7" t="s">
        <v>120</v>
      </c>
      <c r="B70" s="13" t="s">
        <v>27</v>
      </c>
      <c r="C70" s="14"/>
      <c r="D70" s="31">
        <v>25.93</v>
      </c>
      <c r="E70" s="7" t="s">
        <v>17</v>
      </c>
      <c r="F70" s="7"/>
      <c r="G70" s="1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5"/>
      <c r="Y70" s="5"/>
      <c r="Z70" s="5"/>
    </row>
    <row r="71">
      <c r="A71" s="7" t="s">
        <v>119</v>
      </c>
      <c r="B71" s="13" t="s">
        <v>27</v>
      </c>
      <c r="C71" s="14"/>
      <c r="D71" s="31">
        <v>105.86</v>
      </c>
      <c r="E71" s="7" t="s">
        <v>17</v>
      </c>
      <c r="F71" s="7"/>
      <c r="G71" s="1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5"/>
      <c r="Y71" s="5"/>
      <c r="Z71" s="5"/>
    </row>
    <row r="72">
      <c r="A72" s="7" t="s">
        <v>121</v>
      </c>
      <c r="B72" s="13" t="s">
        <v>27</v>
      </c>
      <c r="C72" s="14"/>
      <c r="D72" s="31">
        <v>1089.69</v>
      </c>
      <c r="E72" s="7" t="s">
        <v>17</v>
      </c>
      <c r="F72" s="7"/>
      <c r="G72" s="1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5"/>
      <c r="Y72" s="5"/>
      <c r="Z72" s="5"/>
    </row>
    <row r="73">
      <c r="A73" s="7" t="s">
        <v>122</v>
      </c>
      <c r="B73" s="13" t="s">
        <v>27</v>
      </c>
      <c r="C73" s="14"/>
      <c r="D73" s="31">
        <v>237.18</v>
      </c>
      <c r="E73" s="7" t="s">
        <v>17</v>
      </c>
      <c r="F73" s="7"/>
      <c r="G73" s="1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5"/>
      <c r="Y73" s="5"/>
      <c r="Z73" s="5"/>
    </row>
    <row r="74">
      <c r="A74" s="7" t="s">
        <v>123</v>
      </c>
      <c r="B74" s="13" t="s">
        <v>27</v>
      </c>
      <c r="C74" s="14"/>
      <c r="D74" s="31">
        <v>449.44</v>
      </c>
      <c r="E74" s="7" t="s">
        <v>17</v>
      </c>
      <c r="F74" s="7"/>
      <c r="G74" s="1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5"/>
      <c r="Y74" s="5"/>
      <c r="Z74" s="5"/>
    </row>
    <row r="75">
      <c r="A75" s="7" t="s">
        <v>124</v>
      </c>
      <c r="B75" s="13" t="s">
        <v>27</v>
      </c>
      <c r="C75" s="14"/>
      <c r="D75" s="31">
        <v>28.18</v>
      </c>
      <c r="E75" s="7" t="s">
        <v>17</v>
      </c>
      <c r="F75" s="7"/>
      <c r="G75" s="1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5"/>
      <c r="Y75" s="5"/>
      <c r="Z75" s="5"/>
    </row>
    <row r="76">
      <c r="A76" s="7" t="s">
        <v>119</v>
      </c>
      <c r="B76" s="13" t="s">
        <v>27</v>
      </c>
      <c r="C76" s="14"/>
      <c r="D76" s="31">
        <v>41.57</v>
      </c>
      <c r="E76" s="7" t="s">
        <v>17</v>
      </c>
      <c r="F76" s="7"/>
      <c r="G76" s="1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5"/>
      <c r="Y76" s="5"/>
      <c r="Z76" s="5"/>
    </row>
    <row r="77">
      <c r="A77" s="7" t="s">
        <v>119</v>
      </c>
      <c r="B77" s="13" t="s">
        <v>27</v>
      </c>
      <c r="C77" s="14"/>
      <c r="D77" s="31">
        <v>447.87</v>
      </c>
      <c r="E77" s="7" t="s">
        <v>17</v>
      </c>
      <c r="F77" s="7"/>
      <c r="G77" s="1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5"/>
      <c r="Y77" s="5"/>
      <c r="Z77" s="5"/>
    </row>
    <row r="78">
      <c r="A78" s="7" t="s">
        <v>125</v>
      </c>
      <c r="B78" s="13" t="s">
        <v>27</v>
      </c>
      <c r="C78" s="14"/>
      <c r="D78" s="31">
        <v>168.96</v>
      </c>
      <c r="E78" s="7" t="s">
        <v>17</v>
      </c>
      <c r="F78" s="7"/>
      <c r="G78" s="1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5"/>
      <c r="Y78" s="5"/>
      <c r="Z78" s="5"/>
    </row>
    <row r="79">
      <c r="A79" s="7" t="s">
        <v>126</v>
      </c>
      <c r="B79" s="13" t="s">
        <v>27</v>
      </c>
      <c r="C79" s="14"/>
      <c r="D79" s="31">
        <v>27.94</v>
      </c>
      <c r="E79" s="7" t="s">
        <v>17</v>
      </c>
      <c r="F79" s="7"/>
      <c r="G79" s="1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5"/>
      <c r="Y79" s="5"/>
      <c r="Z79" s="5"/>
    </row>
    <row r="80">
      <c r="A80" s="7" t="s">
        <v>127</v>
      </c>
      <c r="B80" s="13" t="s">
        <v>27</v>
      </c>
      <c r="C80" s="14"/>
      <c r="D80" s="31">
        <v>87.84</v>
      </c>
      <c r="E80" s="7" t="s">
        <v>17</v>
      </c>
      <c r="F80" s="7"/>
      <c r="G80" s="1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5"/>
      <c r="Z80" s="5"/>
    </row>
    <row r="81">
      <c r="A81" s="7" t="s">
        <v>126</v>
      </c>
      <c r="B81" s="13" t="s">
        <v>27</v>
      </c>
      <c r="C81" s="14"/>
      <c r="D81" s="31">
        <v>40.8</v>
      </c>
      <c r="E81" s="7" t="s">
        <v>17</v>
      </c>
      <c r="F81" s="7"/>
      <c r="G81" s="1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5"/>
      <c r="Y81" s="5"/>
      <c r="Z81" s="5"/>
    </row>
    <row r="82">
      <c r="A82" s="7" t="s">
        <v>128</v>
      </c>
      <c r="B82" s="13" t="s">
        <v>27</v>
      </c>
      <c r="C82" s="14"/>
      <c r="D82" s="31">
        <v>629.37</v>
      </c>
      <c r="E82" s="7" t="s">
        <v>17</v>
      </c>
      <c r="F82" s="7"/>
      <c r="G82" s="1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5"/>
      <c r="Y82" s="5"/>
      <c r="Z82" s="5"/>
    </row>
    <row r="83">
      <c r="A83" s="7" t="s">
        <v>126</v>
      </c>
      <c r="B83" s="13" t="s">
        <v>27</v>
      </c>
      <c r="C83" s="14"/>
      <c r="D83" s="31">
        <v>69.67</v>
      </c>
      <c r="E83" s="7" t="s">
        <v>17</v>
      </c>
      <c r="F83" s="7"/>
      <c r="G83" s="1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5"/>
      <c r="Z83" s="5"/>
    </row>
    <row r="84">
      <c r="A84" s="7" t="s">
        <v>126</v>
      </c>
      <c r="B84" s="13" t="s">
        <v>27</v>
      </c>
      <c r="C84" s="14"/>
      <c r="D84" s="31">
        <v>78.87</v>
      </c>
      <c r="E84" s="7" t="s">
        <v>17</v>
      </c>
      <c r="F84" s="7"/>
      <c r="G84" s="1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5"/>
      <c r="Y84" s="5"/>
      <c r="Z84" s="5"/>
    </row>
    <row r="85">
      <c r="A85" s="7" t="s">
        <v>129</v>
      </c>
      <c r="B85" s="13" t="s">
        <v>27</v>
      </c>
      <c r="C85" s="14"/>
      <c r="D85" s="31">
        <v>75.32</v>
      </c>
      <c r="E85" s="7" t="s">
        <v>17</v>
      </c>
      <c r="F85" s="7"/>
      <c r="G85" s="1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5"/>
      <c r="Y85" s="5"/>
      <c r="Z85" s="5"/>
    </row>
    <row r="86">
      <c r="A86" s="7" t="s">
        <v>126</v>
      </c>
      <c r="B86" s="13" t="s">
        <v>27</v>
      </c>
      <c r="C86" s="14"/>
      <c r="D86" s="31">
        <v>29.4</v>
      </c>
      <c r="E86" s="7" t="s">
        <v>17</v>
      </c>
      <c r="F86" s="7" t="s">
        <v>130</v>
      </c>
      <c r="G86" s="15">
        <f>sum(D89,D88,D87,D86,D84,D83,D81,D79,D77,D76,D71,D70,D69,D68,D67,D61)</f>
        <v>3888.85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5"/>
      <c r="Y86" s="5"/>
      <c r="Z86" s="5"/>
    </row>
    <row r="87">
      <c r="A87" s="7" t="s">
        <v>126</v>
      </c>
      <c r="B87" s="13" t="s">
        <v>131</v>
      </c>
      <c r="C87" s="14"/>
      <c r="D87" s="31">
        <v>592.0</v>
      </c>
      <c r="E87" s="7" t="s">
        <v>9</v>
      </c>
      <c r="F87" s="7" t="s">
        <v>132</v>
      </c>
      <c r="G87" s="15">
        <f>5000-G86</f>
        <v>1111.15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5"/>
      <c r="Z87" s="5"/>
    </row>
    <row r="88">
      <c r="A88" s="7" t="s">
        <v>126</v>
      </c>
      <c r="B88" s="13" t="s">
        <v>131</v>
      </c>
      <c r="C88" s="14"/>
      <c r="D88" s="31">
        <v>400.0</v>
      </c>
      <c r="E88" s="7" t="s">
        <v>9</v>
      </c>
      <c r="F88" s="7"/>
      <c r="G88" s="1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5"/>
      <c r="Z88" s="5"/>
    </row>
    <row r="89">
      <c r="A89" s="7" t="s">
        <v>126</v>
      </c>
      <c r="B89" s="13" t="s">
        <v>27</v>
      </c>
      <c r="C89" s="14"/>
      <c r="D89" s="31">
        <v>500.0</v>
      </c>
      <c r="E89" s="7"/>
      <c r="F89" s="7"/>
      <c r="G89" s="1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5"/>
      <c r="Y89" s="5"/>
      <c r="Z89" s="5"/>
    </row>
    <row r="90">
      <c r="A90" s="7" t="s">
        <v>133</v>
      </c>
      <c r="B90" s="13" t="s">
        <v>27</v>
      </c>
      <c r="C90" s="14"/>
      <c r="D90" s="31">
        <v>113.31</v>
      </c>
      <c r="E90" s="7" t="s">
        <v>17</v>
      </c>
      <c r="F90" s="7"/>
      <c r="G90" s="1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  <c r="Y90" s="5"/>
      <c r="Z90" s="5"/>
    </row>
    <row r="91">
      <c r="A91" s="7" t="s">
        <v>134</v>
      </c>
      <c r="B91" s="13" t="s">
        <v>27</v>
      </c>
      <c r="C91" s="14"/>
      <c r="D91" s="31">
        <v>155.68</v>
      </c>
      <c r="E91" s="7" t="s">
        <v>17</v>
      </c>
      <c r="F91" s="7"/>
      <c r="G91" s="1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5"/>
      <c r="Y91" s="5"/>
      <c r="Z91" s="5"/>
    </row>
    <row r="92">
      <c r="A92" s="7" t="s">
        <v>134</v>
      </c>
      <c r="B92" s="13" t="s">
        <v>27</v>
      </c>
      <c r="C92" s="14"/>
      <c r="D92" s="31">
        <v>289.55</v>
      </c>
      <c r="E92" s="7" t="s">
        <v>17</v>
      </c>
      <c r="F92" s="7"/>
      <c r="G92" s="1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5"/>
      <c r="Y92" s="5"/>
      <c r="Z92" s="5"/>
    </row>
    <row r="93">
      <c r="A93" s="7" t="s">
        <v>135</v>
      </c>
      <c r="B93" s="13" t="s">
        <v>27</v>
      </c>
      <c r="C93" s="14"/>
      <c r="D93" s="31">
        <v>435.08</v>
      </c>
      <c r="E93" s="7" t="s">
        <v>17</v>
      </c>
      <c r="F93" s="7"/>
      <c r="G93" s="1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5"/>
      <c r="Y93" s="5"/>
      <c r="Z93" s="5"/>
    </row>
    <row r="94">
      <c r="A94" s="7" t="s">
        <v>136</v>
      </c>
      <c r="B94" s="13" t="s">
        <v>137</v>
      </c>
      <c r="C94" s="14"/>
      <c r="D94" s="31">
        <v>716.19</v>
      </c>
      <c r="E94" s="7" t="s">
        <v>17</v>
      </c>
      <c r="F94" s="7"/>
      <c r="G94" s="1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/>
      <c r="Y94" s="5"/>
      <c r="Z94" s="5"/>
    </row>
    <row r="95">
      <c r="A95" s="7" t="s">
        <v>138</v>
      </c>
      <c r="B95" s="13" t="s">
        <v>139</v>
      </c>
      <c r="C95" s="14"/>
      <c r="D95" s="31">
        <v>261.4</v>
      </c>
      <c r="E95" s="7" t="s">
        <v>17</v>
      </c>
      <c r="F95" s="7"/>
      <c r="G95" s="1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5"/>
      <c r="Y95" s="5"/>
      <c r="Z95" s="5"/>
    </row>
    <row r="96">
      <c r="A96" s="7" t="s">
        <v>140</v>
      </c>
      <c r="B96" s="13" t="s">
        <v>141</v>
      </c>
      <c r="C96" s="14"/>
      <c r="D96" s="31">
        <v>300.0</v>
      </c>
      <c r="E96" s="7" t="s">
        <v>17</v>
      </c>
      <c r="F96" s="7"/>
      <c r="G96" s="1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5"/>
      <c r="Y96" s="5"/>
      <c r="Z96" s="5"/>
    </row>
    <row r="97">
      <c r="A97" s="7" t="s">
        <v>133</v>
      </c>
      <c r="B97" s="13" t="s">
        <v>142</v>
      </c>
      <c r="C97" s="14"/>
      <c r="D97" s="31">
        <v>47.17</v>
      </c>
      <c r="E97" s="7" t="s">
        <v>17</v>
      </c>
      <c r="F97" s="7"/>
      <c r="G97" s="1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5"/>
      <c r="Z97" s="5"/>
    </row>
    <row r="98">
      <c r="A98" s="7" t="s">
        <v>143</v>
      </c>
      <c r="B98" s="13" t="s">
        <v>144</v>
      </c>
      <c r="C98" s="14"/>
      <c r="D98" s="31">
        <v>300.0</v>
      </c>
      <c r="E98" s="7" t="s">
        <v>17</v>
      </c>
      <c r="F98" s="7"/>
      <c r="G98" s="1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5"/>
      <c r="Y98" s="5"/>
      <c r="Z98" s="5"/>
    </row>
    <row r="99">
      <c r="A99" s="7" t="s">
        <v>145</v>
      </c>
      <c r="B99" s="13" t="s">
        <v>137</v>
      </c>
      <c r="C99" s="14"/>
      <c r="D99" s="31">
        <v>176.77</v>
      </c>
      <c r="E99" s="7" t="s">
        <v>17</v>
      </c>
      <c r="F99" s="7"/>
      <c r="G99" s="1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5"/>
      <c r="Y99" s="5"/>
      <c r="Z99" s="5"/>
    </row>
    <row r="100">
      <c r="A100" s="7" t="s">
        <v>146</v>
      </c>
      <c r="B100" s="13" t="s">
        <v>147</v>
      </c>
      <c r="C100" s="14"/>
      <c r="D100" s="31">
        <v>419.38</v>
      </c>
      <c r="E100" s="7" t="s">
        <v>17</v>
      </c>
      <c r="F100" s="7"/>
      <c r="G100" s="1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5"/>
      <c r="Y100" s="5"/>
      <c r="Z100" s="5"/>
    </row>
    <row r="101">
      <c r="A101" s="7" t="s">
        <v>145</v>
      </c>
      <c r="B101" s="13" t="s">
        <v>139</v>
      </c>
      <c r="C101" s="14"/>
      <c r="D101" s="31">
        <v>160.57</v>
      </c>
      <c r="E101" s="7" t="s">
        <v>17</v>
      </c>
      <c r="F101" s="7"/>
      <c r="G101" s="1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5"/>
      <c r="Y101" s="5"/>
      <c r="Z101" s="5"/>
    </row>
    <row r="102">
      <c r="A102" s="7" t="s">
        <v>145</v>
      </c>
      <c r="B102" s="13" t="s">
        <v>27</v>
      </c>
      <c r="C102" s="14"/>
      <c r="D102" s="31">
        <v>94.74</v>
      </c>
      <c r="E102" s="7" t="s">
        <v>17</v>
      </c>
      <c r="F102" s="7"/>
      <c r="G102" s="1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5"/>
      <c r="Y102" s="5"/>
      <c r="Z102" s="5"/>
    </row>
    <row r="103">
      <c r="A103" s="7" t="s">
        <v>148</v>
      </c>
      <c r="B103" s="13" t="s">
        <v>149</v>
      </c>
      <c r="C103" s="14"/>
      <c r="D103" s="31">
        <v>178.41</v>
      </c>
      <c r="E103" s="7" t="s">
        <v>17</v>
      </c>
      <c r="F103" s="7"/>
      <c r="G103" s="1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5"/>
      <c r="Y103" s="5"/>
      <c r="Z103" s="5"/>
    </row>
    <row r="104">
      <c r="A104" s="7" t="s">
        <v>150</v>
      </c>
      <c r="B104" s="13" t="s">
        <v>27</v>
      </c>
      <c r="C104" s="14"/>
      <c r="D104" s="31">
        <v>129.41</v>
      </c>
      <c r="E104" s="7" t="s">
        <v>17</v>
      </c>
      <c r="F104" s="7"/>
      <c r="G104" s="1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5"/>
      <c r="Y104" s="5"/>
      <c r="Z104" s="5"/>
    </row>
    <row r="105">
      <c r="A105" s="7" t="s">
        <v>151</v>
      </c>
      <c r="B105" s="13" t="s">
        <v>152</v>
      </c>
      <c r="C105" s="14"/>
      <c r="D105" s="31">
        <v>500.0</v>
      </c>
      <c r="E105" s="7" t="s">
        <v>17</v>
      </c>
      <c r="F105" s="7"/>
      <c r="G105" s="1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5"/>
      <c r="Y105" s="5"/>
      <c r="Z105" s="5"/>
    </row>
    <row r="106">
      <c r="A106" s="7" t="s">
        <v>153</v>
      </c>
      <c r="B106" s="13" t="s">
        <v>27</v>
      </c>
      <c r="C106" s="14"/>
      <c r="D106" s="31">
        <v>1015.09</v>
      </c>
      <c r="E106" s="7" t="s">
        <v>17</v>
      </c>
      <c r="F106" s="7"/>
      <c r="G106" s="1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5"/>
      <c r="Y106" s="5"/>
      <c r="Z106" s="5"/>
    </row>
    <row r="107">
      <c r="A107" s="7" t="s">
        <v>154</v>
      </c>
      <c r="B107" s="13" t="s">
        <v>137</v>
      </c>
      <c r="C107" s="14"/>
      <c r="D107" s="31">
        <v>127.31</v>
      </c>
      <c r="E107" s="7" t="s">
        <v>17</v>
      </c>
      <c r="F107" s="7"/>
      <c r="G107" s="1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5"/>
      <c r="Y107" s="5"/>
      <c r="Z107" s="5"/>
    </row>
    <row r="108">
      <c r="A108" s="7" t="s">
        <v>155</v>
      </c>
      <c r="B108" s="13" t="s">
        <v>156</v>
      </c>
      <c r="C108" s="14"/>
      <c r="D108" s="31">
        <v>63.65</v>
      </c>
      <c r="E108" s="7" t="s">
        <v>17</v>
      </c>
      <c r="F108" s="7"/>
      <c r="G108" s="1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5"/>
      <c r="Y108" s="5"/>
      <c r="Z108" s="5"/>
    </row>
    <row r="109">
      <c r="A109" s="7" t="s">
        <v>157</v>
      </c>
      <c r="B109" s="13" t="s">
        <v>27</v>
      </c>
      <c r="C109" s="14"/>
      <c r="D109" s="31">
        <v>35.52</v>
      </c>
      <c r="E109" s="7" t="s">
        <v>17</v>
      </c>
      <c r="F109" s="7"/>
      <c r="G109" s="1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5"/>
      <c r="Y109" s="5"/>
      <c r="Z109" s="5"/>
    </row>
    <row r="110">
      <c r="A110" s="7" t="s">
        <v>158</v>
      </c>
      <c r="B110" s="13" t="s">
        <v>27</v>
      </c>
      <c r="C110" s="14"/>
      <c r="D110" s="31">
        <v>36.54</v>
      </c>
      <c r="E110" s="7" t="s">
        <v>17</v>
      </c>
      <c r="F110" s="7"/>
      <c r="G110" s="1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5"/>
      <c r="Y110" s="5"/>
      <c r="Z110" s="5"/>
    </row>
    <row r="111">
      <c r="A111" s="7" t="s">
        <v>159</v>
      </c>
      <c r="B111" s="13" t="s">
        <v>27</v>
      </c>
      <c r="C111" s="14"/>
      <c r="D111" s="31">
        <v>234.83</v>
      </c>
      <c r="E111" s="7" t="s">
        <v>17</v>
      </c>
      <c r="F111" s="7"/>
      <c r="G111" s="1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5"/>
      <c r="Y111" s="5"/>
      <c r="Z111" s="5"/>
    </row>
    <row r="112">
      <c r="A112" s="7" t="s">
        <v>158</v>
      </c>
      <c r="B112" s="13" t="s">
        <v>27</v>
      </c>
      <c r="C112" s="14"/>
      <c r="D112" s="31">
        <v>44.4</v>
      </c>
      <c r="E112" s="7" t="s">
        <v>17</v>
      </c>
      <c r="F112" s="7"/>
      <c r="G112" s="1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5"/>
      <c r="Y112" s="5"/>
      <c r="Z112" s="5"/>
    </row>
    <row r="113">
      <c r="A113" s="7" t="s">
        <v>160</v>
      </c>
      <c r="B113" s="13" t="s">
        <v>137</v>
      </c>
      <c r="C113" s="14"/>
      <c r="D113" s="31">
        <v>51.47</v>
      </c>
      <c r="E113" s="7" t="s">
        <v>17</v>
      </c>
      <c r="F113" s="7"/>
      <c r="G113" s="1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5"/>
      <c r="Y113" s="5"/>
      <c r="Z113" s="5"/>
    </row>
    <row r="114">
      <c r="A114" s="7" t="s">
        <v>134</v>
      </c>
      <c r="B114" s="13" t="s">
        <v>27</v>
      </c>
      <c r="C114" s="14"/>
      <c r="D114" s="31">
        <v>30.81</v>
      </c>
      <c r="E114" s="7" t="s">
        <v>17</v>
      </c>
      <c r="F114" s="7"/>
      <c r="G114" s="1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5"/>
      <c r="Y114" s="5"/>
      <c r="Z114" s="5"/>
    </row>
    <row r="115">
      <c r="A115" s="7" t="s">
        <v>161</v>
      </c>
      <c r="B115" s="13" t="s">
        <v>137</v>
      </c>
      <c r="C115" s="14"/>
      <c r="D115" s="31">
        <v>183.06</v>
      </c>
      <c r="E115" s="7" t="s">
        <v>17</v>
      </c>
      <c r="F115" s="7"/>
      <c r="G115" s="1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5"/>
      <c r="Y115" s="5"/>
      <c r="Z115" s="5"/>
    </row>
    <row r="116">
      <c r="A116" s="7" t="s">
        <v>145</v>
      </c>
      <c r="B116" s="13" t="s">
        <v>137</v>
      </c>
      <c r="C116" s="14"/>
      <c r="D116" s="31">
        <v>388.43</v>
      </c>
      <c r="E116" s="7" t="s">
        <v>17</v>
      </c>
      <c r="F116" s="7"/>
      <c r="G116" s="1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5"/>
      <c r="Y116" s="5"/>
      <c r="Z116" s="5"/>
    </row>
    <row r="117">
      <c r="A117" s="7" t="s">
        <v>162</v>
      </c>
      <c r="B117" s="13" t="s">
        <v>27</v>
      </c>
      <c r="C117" s="14"/>
      <c r="D117" s="31">
        <v>20.27</v>
      </c>
      <c r="E117" s="7" t="s">
        <v>17</v>
      </c>
      <c r="F117" s="7"/>
      <c r="G117" s="1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5"/>
      <c r="Y117" s="5"/>
      <c r="Z117" s="5"/>
    </row>
    <row r="118">
      <c r="A118" s="7" t="s">
        <v>163</v>
      </c>
      <c r="B118" s="13" t="s">
        <v>27</v>
      </c>
      <c r="C118" s="14"/>
      <c r="D118" s="31">
        <v>59.37</v>
      </c>
      <c r="E118" s="7" t="s">
        <v>17</v>
      </c>
      <c r="F118" s="7"/>
      <c r="G118" s="1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5"/>
      <c r="Z118" s="5"/>
    </row>
    <row r="119">
      <c r="A119" s="7" t="s">
        <v>164</v>
      </c>
      <c r="B119" s="13" t="s">
        <v>27</v>
      </c>
      <c r="C119" s="14"/>
      <c r="D119" s="31">
        <v>51.35</v>
      </c>
      <c r="E119" s="7" t="s">
        <v>17</v>
      </c>
      <c r="F119" s="7"/>
      <c r="G119" s="1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5"/>
      <c r="Y119" s="5"/>
      <c r="Z119" s="5"/>
    </row>
    <row r="120">
      <c r="A120" s="7" t="s">
        <v>165</v>
      </c>
      <c r="B120" s="13" t="s">
        <v>27</v>
      </c>
      <c r="C120" s="14"/>
      <c r="D120" s="31">
        <v>120.08</v>
      </c>
      <c r="E120" s="7" t="s">
        <v>17</v>
      </c>
      <c r="F120" s="7"/>
      <c r="G120" s="1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5"/>
      <c r="Y120" s="5"/>
      <c r="Z120" s="5"/>
    </row>
    <row r="121">
      <c r="A121" s="7" t="s">
        <v>166</v>
      </c>
      <c r="B121" s="13" t="s">
        <v>27</v>
      </c>
      <c r="C121" s="14"/>
      <c r="D121" s="31">
        <v>33.08</v>
      </c>
      <c r="E121" s="7" t="s">
        <v>17</v>
      </c>
      <c r="F121" s="7"/>
      <c r="G121" s="1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5"/>
      <c r="Y121" s="5"/>
      <c r="Z121" s="5"/>
    </row>
    <row r="122">
      <c r="A122" s="7" t="s">
        <v>167</v>
      </c>
      <c r="B122" s="13" t="s">
        <v>139</v>
      </c>
      <c r="C122" s="14"/>
      <c r="D122" s="31">
        <v>32.3</v>
      </c>
      <c r="E122" s="7" t="s">
        <v>17</v>
      </c>
      <c r="F122" s="7"/>
      <c r="G122" s="1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5"/>
      <c r="Z122" s="5"/>
    </row>
    <row r="123">
      <c r="A123" s="7" t="s">
        <v>167</v>
      </c>
      <c r="B123" s="13" t="s">
        <v>139</v>
      </c>
      <c r="C123" s="14"/>
      <c r="D123" s="31">
        <v>46.86</v>
      </c>
      <c r="E123" s="7" t="s">
        <v>17</v>
      </c>
      <c r="F123" s="7"/>
      <c r="G123" s="1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5"/>
      <c r="Y123" s="5"/>
      <c r="Z123" s="5"/>
    </row>
    <row r="124">
      <c r="A124" s="7" t="s">
        <v>168</v>
      </c>
      <c r="B124" s="13" t="s">
        <v>137</v>
      </c>
      <c r="C124" s="14"/>
      <c r="D124" s="31">
        <v>353.22</v>
      </c>
      <c r="E124" s="7" t="s">
        <v>17</v>
      </c>
      <c r="F124" s="7"/>
      <c r="G124" s="1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5"/>
      <c r="Z124" s="5"/>
    </row>
    <row r="125">
      <c r="A125" s="7" t="s">
        <v>145</v>
      </c>
      <c r="B125" s="13" t="s">
        <v>137</v>
      </c>
      <c r="C125" s="14"/>
      <c r="D125" s="31">
        <v>167.94</v>
      </c>
      <c r="E125" s="7" t="s">
        <v>17</v>
      </c>
      <c r="F125" s="7"/>
      <c r="G125" s="1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5"/>
      <c r="Z125" s="5"/>
    </row>
    <row r="126">
      <c r="A126" s="7" t="s">
        <v>169</v>
      </c>
      <c r="B126" s="13" t="s">
        <v>170</v>
      </c>
      <c r="C126" s="14"/>
      <c r="D126" s="31">
        <v>17.5</v>
      </c>
      <c r="E126" s="7" t="s">
        <v>17</v>
      </c>
      <c r="F126" s="7"/>
      <c r="G126" s="1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5"/>
      <c r="Y126" s="5"/>
      <c r="Z126" s="5"/>
    </row>
    <row r="127">
      <c r="A127" s="7" t="s">
        <v>171</v>
      </c>
      <c r="B127" s="13" t="s">
        <v>149</v>
      </c>
      <c r="C127" s="14"/>
      <c r="D127" s="31">
        <v>19.24</v>
      </c>
      <c r="E127" s="7" t="s">
        <v>17</v>
      </c>
      <c r="F127" s="7"/>
      <c r="G127" s="31" t="s">
        <v>172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5"/>
      <c r="Z127" s="5"/>
    </row>
    <row r="128">
      <c r="A128" s="7" t="s">
        <v>173</v>
      </c>
      <c r="B128" s="13" t="s">
        <v>139</v>
      </c>
      <c r="C128" s="14"/>
      <c r="D128" s="31">
        <v>106.67</v>
      </c>
      <c r="E128" s="7" t="s">
        <v>17</v>
      </c>
      <c r="F128" s="7"/>
      <c r="G128" s="15">
        <v>25205.0</v>
      </c>
      <c r="H128" s="32">
        <v>43181.0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5"/>
      <c r="Z128" s="5"/>
    </row>
    <row r="129">
      <c r="A129" s="7" t="s">
        <v>145</v>
      </c>
      <c r="B129" s="13" t="s">
        <v>27</v>
      </c>
      <c r="C129" s="14"/>
      <c r="D129" s="31">
        <v>202.98</v>
      </c>
      <c r="E129" s="7" t="s">
        <v>17</v>
      </c>
      <c r="F129" s="7"/>
      <c r="G129" s="15">
        <v>12904.0</v>
      </c>
      <c r="H129" s="32">
        <v>43133.0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5"/>
      <c r="Z129" s="5"/>
    </row>
    <row r="130">
      <c r="A130" s="7" t="s">
        <v>145</v>
      </c>
      <c r="B130" s="13" t="s">
        <v>27</v>
      </c>
      <c r="C130" s="14"/>
      <c r="D130" s="31">
        <v>172.73</v>
      </c>
      <c r="E130" s="7" t="s">
        <v>17</v>
      </c>
      <c r="F130" s="7"/>
      <c r="G130" s="15">
        <v>5407.0</v>
      </c>
      <c r="H130" s="32">
        <v>43118.0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5"/>
      <c r="Z130" s="5"/>
    </row>
    <row r="131">
      <c r="A131" s="7" t="s">
        <v>169</v>
      </c>
      <c r="B131" s="13" t="s">
        <v>170</v>
      </c>
      <c r="C131" s="14"/>
      <c r="D131" s="31">
        <v>14.0</v>
      </c>
      <c r="E131" s="7" t="s">
        <v>17</v>
      </c>
      <c r="F131" s="7"/>
      <c r="G131" s="15">
        <v>12128.0</v>
      </c>
      <c r="H131" s="32">
        <v>43097.0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5"/>
      <c r="Y131" s="5"/>
      <c r="Z131" s="5"/>
    </row>
    <row r="132">
      <c r="A132" s="7" t="s">
        <v>174</v>
      </c>
      <c r="B132" s="13" t="s">
        <v>175</v>
      </c>
      <c r="C132" s="14"/>
      <c r="D132" s="31">
        <v>600.0</v>
      </c>
      <c r="E132" s="7" t="s">
        <v>17</v>
      </c>
      <c r="F132" s="7"/>
      <c r="G132" s="15">
        <v>35277.0</v>
      </c>
      <c r="H132" s="32">
        <v>43011.0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5"/>
      <c r="Z132" s="5"/>
    </row>
    <row r="133">
      <c r="A133" s="7" t="s">
        <v>176</v>
      </c>
      <c r="B133" s="13" t="s">
        <v>177</v>
      </c>
      <c r="C133" s="14"/>
      <c r="D133" s="31">
        <v>85.79</v>
      </c>
      <c r="E133" s="7" t="s">
        <v>17</v>
      </c>
      <c r="F133" s="7"/>
      <c r="G133" s="31">
        <v>9648.0</v>
      </c>
      <c r="H133" s="32">
        <v>43066.0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5"/>
      <c r="Z133" s="5"/>
    </row>
    <row r="134">
      <c r="A134" s="7" t="s">
        <v>178</v>
      </c>
      <c r="B134" s="13" t="s">
        <v>149</v>
      </c>
      <c r="C134" s="14"/>
      <c r="D134" s="31">
        <v>205.57</v>
      </c>
      <c r="E134" s="7" t="s">
        <v>17</v>
      </c>
      <c r="F134" s="7"/>
      <c r="G134" s="15">
        <f>sum(G128:G133)</f>
        <v>100569</v>
      </c>
      <c r="H134" s="7" t="s">
        <v>179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5"/>
      <c r="Z134" s="5"/>
    </row>
    <row r="135">
      <c r="A135" s="7" t="s">
        <v>180</v>
      </c>
      <c r="B135" s="13" t="s">
        <v>181</v>
      </c>
      <c r="C135" s="14"/>
      <c r="D135" s="31">
        <v>200.0</v>
      </c>
      <c r="E135" s="7" t="s">
        <v>17</v>
      </c>
      <c r="F135" s="7"/>
      <c r="G135" s="15">
        <f>D157-G134</f>
        <v>7533.22</v>
      </c>
      <c r="H135" s="7" t="s">
        <v>182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5"/>
      <c r="Y135" s="5"/>
      <c r="Z135" s="5"/>
    </row>
    <row r="136">
      <c r="A136" s="7" t="s">
        <v>145</v>
      </c>
      <c r="B136" s="13" t="s">
        <v>137</v>
      </c>
      <c r="C136" s="14"/>
      <c r="D136" s="31">
        <v>69.6</v>
      </c>
      <c r="E136" s="7" t="s">
        <v>17</v>
      </c>
      <c r="F136" s="7"/>
      <c r="G136" s="1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5"/>
      <c r="Z136" s="5"/>
    </row>
    <row r="137">
      <c r="A137" s="7" t="s">
        <v>183</v>
      </c>
      <c r="B137" s="13" t="s">
        <v>184</v>
      </c>
      <c r="C137" s="14"/>
      <c r="D137" s="31">
        <v>175.15</v>
      </c>
      <c r="E137" s="7" t="s">
        <v>17</v>
      </c>
      <c r="F137" s="7"/>
      <c r="G137" s="1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5"/>
      <c r="Y137" s="5"/>
      <c r="Z137" s="5"/>
    </row>
    <row r="138">
      <c r="A138" s="7" t="s">
        <v>155</v>
      </c>
      <c r="B138" s="13" t="s">
        <v>185</v>
      </c>
      <c r="C138" s="14"/>
      <c r="D138" s="31">
        <v>21.66</v>
      </c>
      <c r="E138" s="7" t="s">
        <v>17</v>
      </c>
      <c r="F138" s="7"/>
      <c r="G138" s="1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5"/>
      <c r="Y138" s="5"/>
      <c r="Z138" s="5"/>
    </row>
    <row r="139">
      <c r="A139" s="7" t="s">
        <v>186</v>
      </c>
      <c r="B139" s="13" t="s">
        <v>181</v>
      </c>
      <c r="C139" s="14"/>
      <c r="D139" s="31">
        <v>200.0</v>
      </c>
      <c r="E139" s="7" t="s">
        <v>17</v>
      </c>
      <c r="F139" s="7"/>
      <c r="G139" s="1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5"/>
      <c r="Y139" s="5"/>
      <c r="Z139" s="5"/>
    </row>
    <row r="140">
      <c r="A140" s="7" t="s">
        <v>187</v>
      </c>
      <c r="B140" s="13" t="s">
        <v>181</v>
      </c>
      <c r="C140" s="14"/>
      <c r="D140" s="31">
        <v>260.0</v>
      </c>
      <c r="E140" s="7" t="s">
        <v>17</v>
      </c>
      <c r="F140" s="7"/>
      <c r="G140" s="1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5"/>
      <c r="Y140" s="5"/>
      <c r="Z140" s="5"/>
    </row>
    <row r="141">
      <c r="A141" s="7" t="s">
        <v>188</v>
      </c>
      <c r="B141" s="13" t="s">
        <v>142</v>
      </c>
      <c r="C141" s="14"/>
      <c r="D141" s="31">
        <v>47.71</v>
      </c>
      <c r="E141" s="7" t="s">
        <v>17</v>
      </c>
      <c r="F141" s="7"/>
      <c r="G141" s="15"/>
      <c r="H141" s="4"/>
      <c r="I141" s="4"/>
      <c r="J141" s="4"/>
      <c r="K141" s="7" t="s">
        <v>189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5"/>
      <c r="Y141" s="5"/>
      <c r="Z141" s="5"/>
    </row>
    <row r="142">
      <c r="A142" s="7" t="s">
        <v>190</v>
      </c>
      <c r="B142" s="13" t="s">
        <v>175</v>
      </c>
      <c r="C142" s="14"/>
      <c r="D142" s="31">
        <v>800.0</v>
      </c>
      <c r="E142" s="7" t="s">
        <v>17</v>
      </c>
      <c r="F142" s="7"/>
      <c r="G142" s="15"/>
      <c r="H142" s="4"/>
      <c r="I142" s="4"/>
      <c r="J142" s="4"/>
      <c r="K142" s="11">
        <f>D157</f>
        <v>108102.22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5"/>
      <c r="Y142" s="5"/>
      <c r="Z142" s="5"/>
    </row>
    <row r="143">
      <c r="A143" s="7" t="s">
        <v>191</v>
      </c>
      <c r="B143" s="13" t="s">
        <v>192</v>
      </c>
      <c r="C143" s="14"/>
      <c r="D143" s="31">
        <v>120.0</v>
      </c>
      <c r="E143" s="7" t="s">
        <v>17</v>
      </c>
      <c r="F143" s="7" t="s">
        <v>193</v>
      </c>
      <c r="G143" s="15">
        <f>sum(D90:D143,D86,D85,D84,D60:D83,D58,D55,D49:D54,D46,D41,D36,D33,D32,D31,D28,D27,D26,D23,D22,D21,D20,D19,D18,D17,D13,D12,D10,D9,D8,D7,D6,D145,D144,)</f>
        <v>44648.84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5"/>
      <c r="Y143" s="5"/>
      <c r="Z143" s="5"/>
    </row>
    <row r="144">
      <c r="A144" s="33" t="s">
        <v>194</v>
      </c>
      <c r="B144" s="34" t="s">
        <v>195</v>
      </c>
      <c r="C144" s="35"/>
      <c r="D144" s="36">
        <v>1200.0</v>
      </c>
      <c r="E144" s="7" t="s">
        <v>196</v>
      </c>
      <c r="F144" s="7" t="s">
        <v>9</v>
      </c>
      <c r="G144" s="15">
        <f>sum(D87,D88,D59,D56,D45,D44,D43,D42,D40,D39,D38,D37,D35,D34,D30,D29,D25,D24,D16,D15,D14,D11,D4,D3,D5)</f>
        <v>54687.15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5"/>
      <c r="Y144" s="5"/>
      <c r="Z144" s="5"/>
    </row>
    <row r="145">
      <c r="A145" s="7" t="s">
        <v>197</v>
      </c>
      <c r="B145" s="13"/>
      <c r="C145" s="14"/>
      <c r="D145" s="31">
        <v>350.0</v>
      </c>
      <c r="E145" s="7" t="s">
        <v>58</v>
      </c>
      <c r="F145" s="7"/>
      <c r="G145" s="31" t="s">
        <v>198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5"/>
      <c r="Y145" s="5"/>
      <c r="Z145" s="5"/>
    </row>
    <row r="146">
      <c r="A146" s="7" t="s">
        <v>199</v>
      </c>
      <c r="B146" s="13" t="s">
        <v>200</v>
      </c>
      <c r="C146" s="14"/>
      <c r="D146" s="31">
        <v>1500.0</v>
      </c>
      <c r="E146" s="7" t="s">
        <v>201</v>
      </c>
      <c r="F146" s="7"/>
      <c r="G146" s="31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5"/>
      <c r="Z146" s="5"/>
    </row>
    <row r="147">
      <c r="A147" s="7" t="s">
        <v>202</v>
      </c>
      <c r="B147" s="13"/>
      <c r="C147" s="14"/>
      <c r="D147" s="31">
        <v>625.98</v>
      </c>
      <c r="E147" s="7" t="s">
        <v>201</v>
      </c>
      <c r="F147" s="7"/>
      <c r="G147" s="31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5"/>
      <c r="Y147" s="5"/>
      <c r="Z147" s="5"/>
    </row>
    <row r="148">
      <c r="A148" s="7" t="s">
        <v>203</v>
      </c>
      <c r="B148" s="13"/>
      <c r="C148" s="14"/>
      <c r="D148" s="31" t="s">
        <v>204</v>
      </c>
      <c r="E148" s="7"/>
      <c r="F148" s="7"/>
      <c r="G148" s="31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5"/>
      <c r="Y148" s="5"/>
      <c r="Z148" s="5"/>
    </row>
    <row r="149">
      <c r="A149" s="7" t="s">
        <v>205</v>
      </c>
      <c r="B149" s="13" t="s">
        <v>73</v>
      </c>
      <c r="C149" s="14"/>
      <c r="D149" s="31">
        <v>450.84</v>
      </c>
      <c r="E149" s="7" t="s">
        <v>9</v>
      </c>
      <c r="F149" s="7"/>
      <c r="G149" s="31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5"/>
      <c r="Y149" s="5"/>
      <c r="Z149" s="5"/>
    </row>
    <row r="150">
      <c r="A150" s="7" t="s">
        <v>206</v>
      </c>
      <c r="B150" s="13"/>
      <c r="C150" s="14"/>
      <c r="D150" s="31">
        <v>700.0</v>
      </c>
      <c r="E150" s="7" t="s">
        <v>9</v>
      </c>
      <c r="F150" s="7"/>
      <c r="G150" s="31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5"/>
      <c r="Z150" s="5"/>
    </row>
    <row r="151">
      <c r="A151" s="7" t="s">
        <v>207</v>
      </c>
      <c r="B151" s="13"/>
      <c r="C151" s="14"/>
      <c r="D151" s="31">
        <v>800.0</v>
      </c>
      <c r="E151" s="7" t="s">
        <v>9</v>
      </c>
      <c r="F151" s="7"/>
      <c r="G151" s="31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5"/>
      <c r="Z151" s="5"/>
    </row>
    <row r="152">
      <c r="A152" s="7" t="s">
        <v>208</v>
      </c>
      <c r="B152" s="13" t="s">
        <v>209</v>
      </c>
      <c r="C152" s="14"/>
      <c r="D152" s="31">
        <v>200.0</v>
      </c>
      <c r="E152" s="7" t="s">
        <v>9</v>
      </c>
      <c r="F152" s="7"/>
      <c r="G152" s="31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5"/>
      <c r="Z152" s="5"/>
    </row>
    <row r="153">
      <c r="A153" s="7"/>
      <c r="B153" s="13"/>
      <c r="C153" s="14"/>
      <c r="D153" s="31"/>
      <c r="E153" s="7"/>
      <c r="F153" s="7"/>
      <c r="G153" s="31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5"/>
      <c r="Z153" s="5"/>
    </row>
    <row r="154">
      <c r="A154" s="7"/>
      <c r="B154" s="13"/>
      <c r="C154" s="14"/>
      <c r="D154" s="31"/>
      <c r="E154" s="7"/>
      <c r="F154" s="7"/>
      <c r="G154" s="31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5"/>
      <c r="Y154" s="5"/>
      <c r="Z154" s="5"/>
    </row>
    <row r="155">
      <c r="A155" s="7"/>
      <c r="B155" s="13"/>
      <c r="C155" s="14"/>
      <c r="D155" s="31"/>
      <c r="E155" s="7"/>
      <c r="F155" s="7"/>
      <c r="G155" s="31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5"/>
      <c r="Y155" s="5"/>
      <c r="Z155" s="5"/>
    </row>
    <row r="156">
      <c r="A156" s="7"/>
      <c r="B156" s="13"/>
      <c r="C156" s="14"/>
      <c r="D156" s="31"/>
      <c r="E156" s="7"/>
      <c r="F156" s="7"/>
      <c r="G156" s="31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5"/>
      <c r="Y156" s="5"/>
      <c r="Z156" s="5"/>
    </row>
    <row r="157">
      <c r="A157" s="7"/>
      <c r="B157" s="13"/>
      <c r="C157" s="14"/>
      <c r="D157" s="31">
        <f>sum(D3:D147)</f>
        <v>108102.22</v>
      </c>
      <c r="E157" s="7"/>
      <c r="F157" s="7" t="s">
        <v>210</v>
      </c>
      <c r="G157" s="31">
        <v>5000.0</v>
      </c>
      <c r="H157" s="4"/>
      <c r="I157" s="7" t="s">
        <v>211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5"/>
      <c r="Y157" s="5"/>
      <c r="Z157" s="5"/>
    </row>
    <row r="158">
      <c r="A158" s="7"/>
      <c r="B158" s="13"/>
      <c r="C158" s="14"/>
      <c r="D158" s="31"/>
      <c r="E158" s="7"/>
      <c r="F158" s="7" t="s">
        <v>212</v>
      </c>
      <c r="G158" s="15"/>
      <c r="H158" s="4"/>
      <c r="I158" s="7">
        <v>33288.47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5"/>
      <c r="Y158" s="5"/>
      <c r="Z158" s="5"/>
    </row>
    <row r="159">
      <c r="A159" s="7"/>
      <c r="B159" s="13"/>
      <c r="C159" s="14"/>
      <c r="D159" s="31"/>
      <c r="E159" s="7"/>
      <c r="F159" s="7"/>
      <c r="G159" s="15"/>
      <c r="H159" s="4"/>
      <c r="I159" s="7">
        <v>15000.0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5"/>
      <c r="Y159" s="5"/>
      <c r="Z159" s="5"/>
    </row>
    <row r="160">
      <c r="A160" s="7"/>
      <c r="B160" s="13"/>
      <c r="C160" s="14"/>
      <c r="D160" s="31"/>
      <c r="E160" s="7"/>
      <c r="F160" s="7"/>
      <c r="G160" s="15"/>
      <c r="H160" s="4"/>
      <c r="I160" s="4">
        <f>SUM(I158:I159)</f>
        <v>48288.47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5"/>
      <c r="Y160" s="5"/>
      <c r="Z160" s="5"/>
    </row>
    <row r="161">
      <c r="A161" s="16" t="s">
        <v>213</v>
      </c>
      <c r="B161" s="37"/>
      <c r="C161" s="38"/>
      <c r="D161" s="39">
        <f>sum(D29:D33,D19,D15,D7,D35)</f>
        <v>9457.29</v>
      </c>
      <c r="E161" s="4"/>
      <c r="F161" s="4"/>
      <c r="G161" s="1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5"/>
      <c r="Y161" s="5"/>
      <c r="Z161" s="5"/>
    </row>
    <row r="162">
      <c r="A162" s="7" t="s">
        <v>214</v>
      </c>
      <c r="B162" s="8"/>
      <c r="C162" s="40"/>
      <c r="D162" s="15">
        <f>D25+D11+D8</f>
        <v>3730.98</v>
      </c>
      <c r="E162" s="4"/>
      <c r="F162" s="4"/>
      <c r="G162" s="1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5"/>
      <c r="Y162" s="5"/>
      <c r="Z162" s="5"/>
    </row>
    <row r="163">
      <c r="A163" s="4"/>
      <c r="B163" s="8"/>
      <c r="C163" s="40" t="s">
        <v>215</v>
      </c>
      <c r="D163" s="15">
        <f>SUM(D3:D160)</f>
        <v>218355.28</v>
      </c>
      <c r="E163" s="4"/>
      <c r="F163" s="4"/>
      <c r="G163" s="1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5"/>
      <c r="Y163" s="5"/>
      <c r="Z163" s="5"/>
    </row>
    <row r="164">
      <c r="A164" s="7" t="s">
        <v>216</v>
      </c>
      <c r="B164" s="8"/>
      <c r="C164" s="41" t="s">
        <v>217</v>
      </c>
      <c r="D164" s="42">
        <f>sum(D3:D6,D9:D10,D12:D14,D16:D18,D20:D24,D26:D28)</f>
        <v>36514.37</v>
      </c>
      <c r="E164" s="4"/>
      <c r="F164" s="7" t="s">
        <v>218</v>
      </c>
      <c r="G164" s="15">
        <f>sum(D106,D105,D104,D103,D102,D101,D100,D99,D98,D97,D96,D95,D94,D93,D92,D91,D90,D86,D85,D84,D83,D82,D81,D80,D79,D78,D77,D76,D75,D74,D73,D72,D71,D70,D69,D68,D67,D66,D65,D64,D63,D62,D61,D60,D58,D55,D54,D53,D52,D51,D50,D49,D46,D41,D36,D33,D32,D31,D28,D27,D26,D23,D22,D21,D20,D19,D18,D17,D13,D12,D10,D9,D8,D7,D6)</f>
        <v>37699.75</v>
      </c>
      <c r="H164" s="4"/>
      <c r="I164" s="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5"/>
      <c r="Y164" s="5"/>
      <c r="Z164" s="5"/>
    </row>
    <row r="165">
      <c r="A165" s="24">
        <f>sum(D6,D9,D10,D12,D13,D17,D18,D20,D21,D22,D23,D26,D27,D28)</f>
        <v>16210.77</v>
      </c>
      <c r="B165" s="43">
        <f>A165-D167</f>
        <v>15592.085</v>
      </c>
      <c r="C165" s="40"/>
      <c r="D165" s="31">
        <v>35277.0</v>
      </c>
      <c r="E165" s="4"/>
      <c r="F165" s="7"/>
      <c r="G165" s="11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5"/>
      <c r="Y165" s="5"/>
      <c r="Z165" s="5"/>
    </row>
    <row r="166">
      <c r="A166" s="7" t="s">
        <v>219</v>
      </c>
      <c r="B166" s="8"/>
      <c r="C166" s="9"/>
      <c r="D166" s="15">
        <f>D164-D165</f>
        <v>1237.37</v>
      </c>
      <c r="E166" s="4"/>
      <c r="F166" s="7"/>
      <c r="G166" s="1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5"/>
      <c r="Y166" s="5"/>
      <c r="Z166" s="5"/>
    </row>
    <row r="167">
      <c r="A167" s="24">
        <f>sum(D4,D5,D14,D16,D24,D3)</f>
        <v>20303.6</v>
      </c>
      <c r="B167" s="43">
        <f>A167-D167</f>
        <v>19684.915</v>
      </c>
      <c r="C167" s="9"/>
      <c r="D167" s="15">
        <f>D166/2</f>
        <v>618.685</v>
      </c>
      <c r="E167" s="4"/>
      <c r="F167" s="7" t="s">
        <v>220</v>
      </c>
      <c r="G167" s="12">
        <v>14355.0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5"/>
      <c r="Y167" s="5"/>
      <c r="Z167" s="5"/>
    </row>
    <row r="168">
      <c r="A168" s="11">
        <f>SUM(A165:A167)</f>
        <v>36514.37</v>
      </c>
      <c r="B168" s="8"/>
      <c r="C168" s="9"/>
      <c r="D168" s="15"/>
      <c r="E168" s="4"/>
      <c r="F168" s="7" t="s">
        <v>221</v>
      </c>
      <c r="G168" s="15">
        <f>SUM(G167,G166)</f>
        <v>14355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5"/>
      <c r="Y168" s="5"/>
      <c r="Z168" s="5"/>
    </row>
    <row r="169">
      <c r="A169" s="26" t="s">
        <v>222</v>
      </c>
      <c r="B169" s="44">
        <f>G164-8532</f>
        <v>29167.75</v>
      </c>
      <c r="C169" s="9"/>
      <c r="D169" s="15"/>
      <c r="E169" s="4"/>
      <c r="F169" s="7" t="s">
        <v>223</v>
      </c>
      <c r="G169" s="31">
        <v>4140.17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5"/>
      <c r="Y169" s="5"/>
      <c r="Z169" s="5"/>
    </row>
    <row r="170">
      <c r="A170" s="7" t="s">
        <v>224</v>
      </c>
      <c r="B170" s="43">
        <f>A167-8532.66</f>
        <v>11770.94</v>
      </c>
      <c r="C170" s="9"/>
      <c r="D170" s="15"/>
      <c r="E170" s="4"/>
      <c r="F170" s="7" t="s">
        <v>215</v>
      </c>
      <c r="G170" s="15">
        <f>G164-8500+G167+G169</f>
        <v>47694.92</v>
      </c>
      <c r="H170" s="11">
        <f>G170-G167</f>
        <v>33339.92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5"/>
      <c r="Y170" s="5"/>
      <c r="Z170" s="5"/>
    </row>
    <row r="171">
      <c r="A171" s="4"/>
      <c r="B171" s="8"/>
      <c r="C171" s="9"/>
      <c r="D171" s="15"/>
      <c r="E171" s="4"/>
      <c r="F171" s="4"/>
      <c r="G171" s="1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5"/>
      <c r="Y171" s="5"/>
      <c r="Z171" s="5"/>
    </row>
    <row r="172">
      <c r="A172" s="45" t="s">
        <v>225</v>
      </c>
      <c r="B172" s="8"/>
      <c r="C172" s="9"/>
      <c r="D172" s="15"/>
      <c r="E172" s="4"/>
      <c r="F172" s="4"/>
      <c r="G172" s="1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5"/>
      <c r="Z172" s="5"/>
    </row>
    <row r="173">
      <c r="A173" s="6" t="s">
        <v>226</v>
      </c>
      <c r="B173" s="2" t="s">
        <v>3</v>
      </c>
      <c r="C173" s="3" t="s">
        <v>4</v>
      </c>
      <c r="D173" s="3" t="s">
        <v>5</v>
      </c>
      <c r="E173" s="3" t="s">
        <v>6</v>
      </c>
      <c r="F173" s="3" t="s">
        <v>7</v>
      </c>
      <c r="G173" s="1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5"/>
      <c r="Y173" s="5"/>
      <c r="Z173" s="5"/>
    </row>
    <row r="174">
      <c r="A174" s="7" t="s">
        <v>227</v>
      </c>
      <c r="B174" s="8"/>
      <c r="C174" s="9"/>
      <c r="D174" s="31">
        <v>20835.05</v>
      </c>
      <c r="E174" s="7" t="s">
        <v>9</v>
      </c>
      <c r="F174" s="4"/>
      <c r="G174" s="1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5"/>
      <c r="Z174" s="5"/>
    </row>
    <row r="175">
      <c r="A175" s="7" t="s">
        <v>227</v>
      </c>
      <c r="B175" s="8"/>
      <c r="C175" s="9"/>
      <c r="D175" s="31"/>
      <c r="E175" s="7" t="s">
        <v>17</v>
      </c>
      <c r="F175" s="7">
        <v>25000.0</v>
      </c>
      <c r="G175" s="1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5"/>
      <c r="Y175" s="5"/>
      <c r="Z175" s="5"/>
    </row>
    <row r="176">
      <c r="A176" s="7" t="s">
        <v>228</v>
      </c>
      <c r="B176" s="13" t="s">
        <v>229</v>
      </c>
      <c r="C176" s="14">
        <v>43061.0</v>
      </c>
      <c r="D176" s="31">
        <v>76.81</v>
      </c>
      <c r="E176" s="7" t="s">
        <v>9</v>
      </c>
      <c r="F176" s="4"/>
      <c r="G176" s="1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5"/>
      <c r="Z176" s="5"/>
    </row>
    <row r="177">
      <c r="A177" s="7" t="s">
        <v>230</v>
      </c>
      <c r="B177" s="13" t="s">
        <v>231</v>
      </c>
      <c r="C177" s="9"/>
      <c r="D177" s="31">
        <v>3022.25</v>
      </c>
      <c r="E177" s="7" t="s">
        <v>9</v>
      </c>
      <c r="F177" s="4"/>
      <c r="G177" s="1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5"/>
      <c r="Z177" s="5"/>
    </row>
    <row r="178">
      <c r="A178" s="7" t="s">
        <v>230</v>
      </c>
      <c r="B178" s="13" t="s">
        <v>232</v>
      </c>
      <c r="C178" s="9"/>
      <c r="D178" s="31">
        <v>3022.25</v>
      </c>
      <c r="E178" s="7" t="s">
        <v>9</v>
      </c>
      <c r="F178" s="4"/>
      <c r="G178" s="1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5"/>
      <c r="Y178" s="5"/>
      <c r="Z178" s="5"/>
    </row>
    <row r="179">
      <c r="A179" s="7" t="s">
        <v>230</v>
      </c>
      <c r="B179" s="13" t="s">
        <v>233</v>
      </c>
      <c r="C179" s="9"/>
      <c r="D179" s="31">
        <v>3022.25</v>
      </c>
      <c r="E179" s="7" t="s">
        <v>9</v>
      </c>
      <c r="F179" s="4"/>
      <c r="G179" s="1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5"/>
      <c r="Y179" s="5"/>
      <c r="Z179" s="5"/>
    </row>
    <row r="180">
      <c r="A180" s="7" t="s">
        <v>234</v>
      </c>
      <c r="B180" s="13" t="s">
        <v>235</v>
      </c>
      <c r="C180" s="46">
        <v>43070.0</v>
      </c>
      <c r="D180" s="31">
        <v>1565.87</v>
      </c>
      <c r="E180" s="7" t="s">
        <v>9</v>
      </c>
      <c r="F180" s="4"/>
      <c r="G180" s="1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5"/>
      <c r="Y180" s="5"/>
      <c r="Z180" s="5"/>
    </row>
    <row r="181">
      <c r="A181" s="7" t="s">
        <v>236</v>
      </c>
      <c r="B181" s="13" t="s">
        <v>237</v>
      </c>
      <c r="C181" s="9"/>
      <c r="D181" s="31">
        <v>253.51</v>
      </c>
      <c r="E181" s="7" t="s">
        <v>9</v>
      </c>
      <c r="F181" s="4"/>
      <c r="G181" s="1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5"/>
      <c r="Z181" s="5"/>
    </row>
    <row r="182">
      <c r="A182" s="7" t="s">
        <v>236</v>
      </c>
      <c r="B182" s="13" t="s">
        <v>238</v>
      </c>
      <c r="C182" s="9"/>
      <c r="D182" s="31">
        <v>173.27</v>
      </c>
      <c r="E182" s="7" t="s">
        <v>9</v>
      </c>
      <c r="F182" s="4"/>
      <c r="G182" s="1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5"/>
      <c r="Y182" s="5"/>
      <c r="Z182" s="5"/>
    </row>
    <row r="183">
      <c r="A183" s="7" t="s">
        <v>236</v>
      </c>
      <c r="B183" s="13" t="s">
        <v>239</v>
      </c>
      <c r="C183" s="9"/>
      <c r="D183" s="31">
        <v>193.72</v>
      </c>
      <c r="E183" s="7" t="s">
        <v>9</v>
      </c>
      <c r="F183" s="4"/>
      <c r="G183" s="1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5"/>
      <c r="Z183" s="5"/>
    </row>
    <row r="184">
      <c r="A184" s="7" t="s">
        <v>230</v>
      </c>
      <c r="B184" s="13" t="s">
        <v>238</v>
      </c>
      <c r="C184" s="9"/>
      <c r="D184" s="31">
        <v>3022.25</v>
      </c>
      <c r="E184" s="7" t="s">
        <v>9</v>
      </c>
      <c r="F184" s="4"/>
      <c r="G184" s="1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5"/>
      <c r="Y184" s="5"/>
      <c r="Z184" s="5"/>
    </row>
    <row r="185">
      <c r="A185" s="7" t="s">
        <v>230</v>
      </c>
      <c r="B185" s="13" t="s">
        <v>239</v>
      </c>
      <c r="C185" s="4"/>
      <c r="D185" s="31">
        <v>3022.25</v>
      </c>
      <c r="E185" s="7" t="s">
        <v>9</v>
      </c>
      <c r="F185" s="4"/>
      <c r="G185" s="1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5"/>
      <c r="Y185" s="5"/>
      <c r="Z185" s="5"/>
    </row>
    <row r="186">
      <c r="A186" s="7" t="s">
        <v>240</v>
      </c>
      <c r="B186" s="8"/>
      <c r="C186" s="46">
        <v>43146.0</v>
      </c>
      <c r="D186" s="47">
        <v>220.23</v>
      </c>
      <c r="E186" s="7" t="s">
        <v>9</v>
      </c>
      <c r="F186" s="4"/>
      <c r="G186" s="1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5"/>
      <c r="Y186" s="5"/>
      <c r="Z186" s="5"/>
    </row>
    <row r="187">
      <c r="A187" s="7" t="s">
        <v>230</v>
      </c>
      <c r="B187" s="13" t="s">
        <v>241</v>
      </c>
      <c r="C187" s="9"/>
      <c r="D187" s="31">
        <v>3022.25</v>
      </c>
      <c r="E187" s="7" t="s">
        <v>9</v>
      </c>
      <c r="F187" s="4"/>
      <c r="G187" s="1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5"/>
      <c r="Y187" s="5"/>
      <c r="Z187" s="5"/>
    </row>
    <row r="188">
      <c r="A188" s="7" t="s">
        <v>230</v>
      </c>
      <c r="B188" s="13" t="s">
        <v>242</v>
      </c>
      <c r="C188" s="9"/>
      <c r="D188" s="31">
        <v>3022.25</v>
      </c>
      <c r="E188" s="7" t="s">
        <v>9</v>
      </c>
      <c r="F188" s="4"/>
      <c r="G188" s="1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5"/>
      <c r="Z188" s="5"/>
    </row>
    <row r="189">
      <c r="A189" s="7" t="s">
        <v>230</v>
      </c>
      <c r="B189" s="13" t="s">
        <v>243</v>
      </c>
      <c r="C189" s="9"/>
      <c r="D189" s="31">
        <v>3022.25</v>
      </c>
      <c r="E189" s="7" t="s">
        <v>9</v>
      </c>
      <c r="F189" s="4"/>
      <c r="G189" s="1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5"/>
      <c r="Y189" s="5"/>
      <c r="Z189" s="5"/>
    </row>
    <row r="190">
      <c r="A190" s="7" t="s">
        <v>230</v>
      </c>
      <c r="B190" s="13" t="s">
        <v>244</v>
      </c>
      <c r="C190" s="9"/>
      <c r="D190" s="31">
        <v>3022.25</v>
      </c>
      <c r="E190" s="7" t="s">
        <v>9</v>
      </c>
      <c r="F190" s="4"/>
      <c r="G190" s="1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5"/>
      <c r="Y190" s="5"/>
      <c r="Z190" s="5"/>
    </row>
    <row r="191">
      <c r="A191" s="7" t="s">
        <v>234</v>
      </c>
      <c r="B191" s="8"/>
      <c r="C191" s="9"/>
      <c r="D191" s="31">
        <v>1713.88</v>
      </c>
      <c r="E191" s="7" t="s">
        <v>9</v>
      </c>
      <c r="F191" s="4"/>
      <c r="G191" s="1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5"/>
      <c r="Y191" s="5"/>
      <c r="Z191" s="5"/>
    </row>
    <row r="192">
      <c r="A192" s="7" t="s">
        <v>240</v>
      </c>
      <c r="B192" s="8"/>
      <c r="C192" s="46">
        <v>43254.0</v>
      </c>
      <c r="D192" s="31">
        <v>206.82</v>
      </c>
      <c r="E192" s="7" t="s">
        <v>9</v>
      </c>
      <c r="F192" s="4"/>
      <c r="G192" s="1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5"/>
      <c r="Y192" s="5"/>
      <c r="Z192" s="5"/>
    </row>
    <row r="193">
      <c r="A193" s="7" t="s">
        <v>228</v>
      </c>
      <c r="B193" s="8"/>
      <c r="C193" s="46">
        <v>43256.0</v>
      </c>
      <c r="D193" s="31">
        <v>149.25</v>
      </c>
      <c r="E193" s="7" t="s">
        <v>9</v>
      </c>
      <c r="F193" s="4"/>
      <c r="G193" s="1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5"/>
      <c r="Y193" s="5"/>
      <c r="Z193" s="5"/>
    </row>
    <row r="194">
      <c r="A194" s="7" t="s">
        <v>228</v>
      </c>
      <c r="B194" s="8"/>
      <c r="C194" s="46">
        <v>43194.0</v>
      </c>
      <c r="D194" s="31">
        <v>119.85</v>
      </c>
      <c r="E194" s="7" t="s">
        <v>9</v>
      </c>
      <c r="F194" s="4"/>
      <c r="G194" s="1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5"/>
      <c r="Y194" s="5"/>
      <c r="Z194" s="5"/>
    </row>
    <row r="195">
      <c r="A195" s="7" t="s">
        <v>228</v>
      </c>
      <c r="B195" s="8"/>
      <c r="C195" s="46">
        <v>43136.0</v>
      </c>
      <c r="D195" s="31">
        <v>84.2</v>
      </c>
      <c r="E195" s="7" t="s">
        <v>9</v>
      </c>
      <c r="F195" s="4"/>
      <c r="G195" s="1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5"/>
      <c r="Y195" s="5"/>
      <c r="Z195" s="5"/>
    </row>
    <row r="196">
      <c r="A196" s="7" t="s">
        <v>228</v>
      </c>
      <c r="B196" s="8"/>
      <c r="C196" s="46">
        <v>43090.0</v>
      </c>
      <c r="D196" s="31">
        <v>76.81</v>
      </c>
      <c r="E196" s="7" t="s">
        <v>9</v>
      </c>
      <c r="F196" s="4"/>
      <c r="G196" s="1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5"/>
      <c r="Y196" s="5"/>
      <c r="Z196" s="5"/>
    </row>
    <row r="197">
      <c r="A197" s="7" t="s">
        <v>228</v>
      </c>
      <c r="B197" s="8"/>
      <c r="C197" s="46">
        <v>43061.0</v>
      </c>
      <c r="D197" s="31">
        <v>76.81</v>
      </c>
      <c r="E197" s="7" t="s">
        <v>9</v>
      </c>
      <c r="F197" s="4"/>
      <c r="G197" s="1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5"/>
      <c r="Y197" s="5"/>
      <c r="Z197" s="5"/>
    </row>
    <row r="198">
      <c r="A198" s="7" t="s">
        <v>236</v>
      </c>
      <c r="B198" s="8"/>
      <c r="C198" s="46">
        <v>43238.0</v>
      </c>
      <c r="D198" s="31">
        <v>173.27</v>
      </c>
      <c r="E198" s="7" t="s">
        <v>9</v>
      </c>
      <c r="F198" s="4"/>
      <c r="G198" s="1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5"/>
      <c r="Y198" s="5"/>
      <c r="Z198" s="5"/>
    </row>
    <row r="199">
      <c r="A199" s="7" t="s">
        <v>236</v>
      </c>
      <c r="B199" s="8"/>
      <c r="C199" s="46">
        <v>43256.0</v>
      </c>
      <c r="D199" s="31">
        <v>178.22</v>
      </c>
      <c r="E199" s="7" t="s">
        <v>9</v>
      </c>
      <c r="F199" s="4"/>
      <c r="G199" s="1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5"/>
      <c r="Y199" s="5"/>
      <c r="Z199" s="5"/>
    </row>
    <row r="200">
      <c r="A200" s="7" t="s">
        <v>230</v>
      </c>
      <c r="B200" s="13" t="s">
        <v>245</v>
      </c>
      <c r="C200" s="9"/>
      <c r="D200" s="31">
        <v>3022.25</v>
      </c>
      <c r="E200" s="7" t="s">
        <v>9</v>
      </c>
      <c r="F200" s="4"/>
      <c r="G200" s="1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</row>
    <row r="201">
      <c r="A201" s="7" t="s">
        <v>230</v>
      </c>
      <c r="B201" s="13" t="s">
        <v>246</v>
      </c>
      <c r="C201" s="9"/>
      <c r="D201" s="31">
        <v>3022.25</v>
      </c>
      <c r="E201" s="7" t="s">
        <v>9</v>
      </c>
      <c r="F201" s="4"/>
      <c r="G201" s="1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</row>
    <row r="202">
      <c r="A202" s="7" t="s">
        <v>230</v>
      </c>
      <c r="B202" s="13" t="s">
        <v>247</v>
      </c>
      <c r="C202" s="9"/>
      <c r="D202" s="31">
        <v>3022.25</v>
      </c>
      <c r="E202" s="7" t="s">
        <v>9</v>
      </c>
      <c r="F202" s="4"/>
      <c r="G202" s="1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</row>
    <row r="203">
      <c r="A203" s="7" t="s">
        <v>230</v>
      </c>
      <c r="B203" s="13" t="s">
        <v>231</v>
      </c>
      <c r="C203" s="46"/>
      <c r="D203" s="31">
        <v>3022.25</v>
      </c>
      <c r="E203" s="7" t="s">
        <v>9</v>
      </c>
      <c r="F203" s="4"/>
      <c r="G203" s="1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</row>
    <row r="204">
      <c r="A204" s="7" t="s">
        <v>230</v>
      </c>
      <c r="B204" s="13" t="s">
        <v>232</v>
      </c>
      <c r="C204" s="46"/>
      <c r="D204" s="31">
        <v>3022.25</v>
      </c>
      <c r="E204" s="7" t="s">
        <v>9</v>
      </c>
      <c r="F204" s="4"/>
      <c r="G204" s="1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</row>
    <row r="205">
      <c r="A205" s="13" t="s">
        <v>248</v>
      </c>
      <c r="B205" s="13" t="s">
        <v>249</v>
      </c>
      <c r="C205" s="46">
        <v>43447.0</v>
      </c>
      <c r="D205" s="31">
        <v>5952.91</v>
      </c>
      <c r="E205" s="7" t="s">
        <v>9</v>
      </c>
      <c r="F205" s="4"/>
      <c r="G205" s="1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</row>
    <row r="206">
      <c r="A206" s="7" t="s">
        <v>250</v>
      </c>
      <c r="B206" s="13" t="s">
        <v>233</v>
      </c>
      <c r="C206" s="46">
        <v>43447.0</v>
      </c>
      <c r="D206" s="31">
        <v>5890.0</v>
      </c>
      <c r="E206" s="7" t="s">
        <v>9</v>
      </c>
      <c r="F206" s="7" t="s">
        <v>251</v>
      </c>
      <c r="G206" s="1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</row>
    <row r="207">
      <c r="A207" s="7" t="s">
        <v>234</v>
      </c>
      <c r="B207" s="13" t="s">
        <v>233</v>
      </c>
      <c r="C207" s="46">
        <v>43447.0</v>
      </c>
      <c r="D207" s="31">
        <v>1772.29</v>
      </c>
      <c r="E207" s="7" t="s">
        <v>9</v>
      </c>
      <c r="F207" s="4"/>
      <c r="G207" s="1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</row>
    <row r="208">
      <c r="A208" s="7" t="s">
        <v>252</v>
      </c>
      <c r="B208" s="8"/>
      <c r="C208" s="46">
        <v>43447.0</v>
      </c>
      <c r="D208" s="31">
        <v>1561.65</v>
      </c>
      <c r="E208" s="7" t="s">
        <v>9</v>
      </c>
      <c r="F208" s="4"/>
      <c r="G208" s="1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</row>
    <row r="209">
      <c r="A209" s="7" t="s">
        <v>253</v>
      </c>
      <c r="B209" s="8"/>
      <c r="C209" s="46">
        <v>43447.0</v>
      </c>
      <c r="D209" s="31">
        <v>175.0</v>
      </c>
      <c r="E209" s="7" t="s">
        <v>9</v>
      </c>
      <c r="F209" s="4"/>
      <c r="G209" s="1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</row>
    <row r="210">
      <c r="A210" s="7" t="s">
        <v>254</v>
      </c>
      <c r="B210" s="8"/>
      <c r="C210" s="46">
        <v>43447.0</v>
      </c>
      <c r="D210" s="31">
        <v>25.0</v>
      </c>
      <c r="E210" s="7" t="s">
        <v>9</v>
      </c>
      <c r="F210" s="4"/>
      <c r="G210" s="1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</row>
    <row r="211">
      <c r="A211" s="7" t="s">
        <v>255</v>
      </c>
      <c r="B211" s="8"/>
      <c r="C211" s="46">
        <v>43447.0</v>
      </c>
      <c r="D211" s="31">
        <v>540.0</v>
      </c>
      <c r="E211" s="7" t="s">
        <v>9</v>
      </c>
      <c r="F211" s="4"/>
      <c r="G211" s="1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</row>
    <row r="212">
      <c r="A212" s="7" t="s">
        <v>256</v>
      </c>
      <c r="B212" s="8"/>
      <c r="C212" s="46">
        <v>43447.0</v>
      </c>
      <c r="D212" s="31">
        <v>845.6</v>
      </c>
      <c r="E212" s="7" t="s">
        <v>9</v>
      </c>
      <c r="F212" s="4"/>
      <c r="G212" s="1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</row>
    <row r="213">
      <c r="A213" s="7" t="s">
        <v>257</v>
      </c>
      <c r="B213" s="8"/>
      <c r="C213" s="46">
        <v>43447.0</v>
      </c>
      <c r="D213" s="31">
        <v>18.45</v>
      </c>
      <c r="E213" s="7" t="s">
        <v>9</v>
      </c>
      <c r="F213" s="4"/>
      <c r="G213" s="1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</row>
    <row r="214">
      <c r="A214" s="7" t="s">
        <v>258</v>
      </c>
      <c r="B214" s="8"/>
      <c r="C214" s="46">
        <v>43447.0</v>
      </c>
      <c r="D214" s="31">
        <v>225.0</v>
      </c>
      <c r="E214" s="7" t="s">
        <v>9</v>
      </c>
      <c r="F214" s="4"/>
      <c r="G214" s="1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</row>
    <row r="215">
      <c r="A215" s="7" t="s">
        <v>258</v>
      </c>
      <c r="B215" s="8"/>
      <c r="C215" s="46">
        <v>43447.0</v>
      </c>
      <c r="D215" s="31">
        <v>95.0</v>
      </c>
      <c r="E215" s="7" t="s">
        <v>9</v>
      </c>
      <c r="F215" s="4"/>
      <c r="G215" s="1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</row>
    <row r="216">
      <c r="A216" s="7" t="s">
        <v>258</v>
      </c>
      <c r="B216" s="8"/>
      <c r="C216" s="46">
        <v>43447.0</v>
      </c>
      <c r="D216" s="31">
        <v>30.0</v>
      </c>
      <c r="E216" s="7" t="s">
        <v>9</v>
      </c>
      <c r="F216" s="4"/>
      <c r="G216" s="1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</row>
    <row r="217">
      <c r="A217" s="48" t="s">
        <v>228</v>
      </c>
      <c r="B217" s="49">
        <v>43466.0</v>
      </c>
      <c r="C217" s="50"/>
      <c r="D217" s="51">
        <v>176.0</v>
      </c>
      <c r="E217" s="50" t="s">
        <v>9</v>
      </c>
      <c r="F217" s="4"/>
      <c r="G217" s="1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</row>
    <row r="218">
      <c r="A218" s="7" t="s">
        <v>259</v>
      </c>
      <c r="B218" s="13" t="s">
        <v>238</v>
      </c>
      <c r="C218" s="4"/>
      <c r="D218" s="31">
        <v>3200.0</v>
      </c>
      <c r="E218" s="7" t="s">
        <v>260</v>
      </c>
      <c r="F218" s="4"/>
      <c r="G218" s="1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</row>
    <row r="219">
      <c r="A219" s="7" t="s">
        <v>259</v>
      </c>
      <c r="B219" s="13" t="s">
        <v>239</v>
      </c>
      <c r="C219" s="4"/>
      <c r="D219" s="31">
        <v>3200.0</v>
      </c>
      <c r="E219" s="7" t="s">
        <v>260</v>
      </c>
      <c r="F219" s="4"/>
      <c r="G219" s="1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</row>
    <row r="220">
      <c r="A220" s="7" t="s">
        <v>259</v>
      </c>
      <c r="B220" s="13" t="s">
        <v>261</v>
      </c>
      <c r="C220" s="4"/>
      <c r="D220" s="31">
        <v>3200.0</v>
      </c>
      <c r="E220" s="7" t="s">
        <v>260</v>
      </c>
      <c r="F220" s="4"/>
      <c r="G220" s="1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</row>
    <row r="221">
      <c r="A221" s="7" t="s">
        <v>259</v>
      </c>
      <c r="B221" s="13" t="s">
        <v>262</v>
      </c>
      <c r="C221" s="4"/>
      <c r="D221" s="31">
        <v>3200.0</v>
      </c>
      <c r="E221" s="7" t="s">
        <v>260</v>
      </c>
      <c r="F221" s="4"/>
      <c r="G221" s="15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</row>
    <row r="222">
      <c r="A222" s="7" t="s">
        <v>259</v>
      </c>
      <c r="B222" s="13" t="s">
        <v>243</v>
      </c>
      <c r="C222" s="4"/>
      <c r="D222" s="31">
        <v>3200.0</v>
      </c>
      <c r="E222" s="7" t="s">
        <v>260</v>
      </c>
      <c r="F222" s="4"/>
      <c r="G222" s="15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</row>
    <row r="223">
      <c r="A223" s="7" t="s">
        <v>259</v>
      </c>
      <c r="B223" s="13" t="s">
        <v>244</v>
      </c>
      <c r="C223" s="4"/>
      <c r="D223" s="31">
        <v>3200.0</v>
      </c>
      <c r="E223" s="7" t="s">
        <v>260</v>
      </c>
      <c r="F223" s="4"/>
      <c r="G223" s="15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</row>
    <row r="224">
      <c r="A224" s="7" t="s">
        <v>259</v>
      </c>
      <c r="B224" s="13" t="s">
        <v>245</v>
      </c>
      <c r="C224" s="4"/>
      <c r="D224" s="31">
        <v>3200.0</v>
      </c>
      <c r="E224" s="7" t="s">
        <v>260</v>
      </c>
      <c r="F224" s="4"/>
      <c r="G224" s="15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</row>
    <row r="225">
      <c r="A225" s="7" t="s">
        <v>259</v>
      </c>
      <c r="B225" s="13" t="s">
        <v>263</v>
      </c>
      <c r="C225" s="4"/>
      <c r="D225" s="31">
        <v>3200.0</v>
      </c>
      <c r="E225" s="7" t="s">
        <v>260</v>
      </c>
      <c r="F225" s="4"/>
      <c r="G225" s="15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</row>
    <row r="226">
      <c r="A226" s="7" t="s">
        <v>259</v>
      </c>
      <c r="B226" s="13" t="s">
        <v>247</v>
      </c>
      <c r="C226" s="4"/>
      <c r="D226" s="31">
        <v>3390.0</v>
      </c>
      <c r="E226" s="7" t="s">
        <v>260</v>
      </c>
      <c r="F226" s="4"/>
      <c r="G226" s="15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</row>
    <row r="227">
      <c r="A227" s="7" t="s">
        <v>228</v>
      </c>
      <c r="B227" s="13" t="s">
        <v>263</v>
      </c>
      <c r="C227" s="4"/>
      <c r="D227" s="31">
        <v>200.0</v>
      </c>
      <c r="E227" s="7" t="s">
        <v>260</v>
      </c>
      <c r="F227" s="4"/>
      <c r="G227" s="1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</row>
    <row r="228">
      <c r="A228" s="7" t="s">
        <v>264</v>
      </c>
      <c r="B228" s="13" t="s">
        <v>265</v>
      </c>
      <c r="C228" s="4"/>
      <c r="D228" s="31">
        <v>142.0</v>
      </c>
      <c r="E228" s="4"/>
      <c r="F228" s="4"/>
      <c r="G228" s="1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</row>
    <row r="229">
      <c r="A229" s="7" t="s">
        <v>259</v>
      </c>
      <c r="B229" s="13" t="s">
        <v>231</v>
      </c>
      <c r="C229" s="4"/>
      <c r="D229" s="31">
        <v>3390.0</v>
      </c>
      <c r="E229" s="4"/>
      <c r="F229" s="4"/>
      <c r="G229" s="1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</row>
    <row r="230">
      <c r="A230" s="7" t="s">
        <v>259</v>
      </c>
      <c r="B230" s="13" t="s">
        <v>232</v>
      </c>
      <c r="C230" s="4"/>
      <c r="D230" s="31">
        <v>3390.0</v>
      </c>
      <c r="E230" s="4"/>
      <c r="F230" s="4"/>
      <c r="G230" s="1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</row>
    <row r="231">
      <c r="A231" s="7" t="s">
        <v>259</v>
      </c>
      <c r="B231" s="13" t="s">
        <v>233</v>
      </c>
      <c r="C231" s="4"/>
      <c r="D231" s="31">
        <v>3390.0</v>
      </c>
      <c r="E231" s="4"/>
      <c r="F231" s="4"/>
      <c r="G231" s="1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</row>
    <row r="232">
      <c r="A232" s="7" t="s">
        <v>259</v>
      </c>
      <c r="B232" s="13" t="s">
        <v>238</v>
      </c>
      <c r="C232" s="4"/>
      <c r="D232" s="31">
        <v>3390.0</v>
      </c>
      <c r="E232" s="4"/>
      <c r="F232" s="4"/>
      <c r="G232" s="1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</row>
    <row r="233">
      <c r="A233" s="7" t="s">
        <v>259</v>
      </c>
      <c r="B233" s="13" t="s">
        <v>239</v>
      </c>
      <c r="C233" s="4"/>
      <c r="D233" s="31">
        <v>3390.0</v>
      </c>
      <c r="E233" s="4"/>
      <c r="F233" s="4"/>
      <c r="G233" s="1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</row>
    <row r="234">
      <c r="A234" s="7" t="s">
        <v>240</v>
      </c>
      <c r="B234" s="13" t="s">
        <v>266</v>
      </c>
      <c r="C234" s="4"/>
      <c r="D234" s="31">
        <v>2400.0</v>
      </c>
      <c r="E234" s="4"/>
      <c r="F234" s="4"/>
      <c r="G234" s="1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</row>
    <row r="235">
      <c r="A235" s="7" t="s">
        <v>264</v>
      </c>
      <c r="B235" s="13" t="s">
        <v>267</v>
      </c>
      <c r="C235" s="4"/>
      <c r="D235" s="31">
        <v>700.0</v>
      </c>
      <c r="E235" s="4"/>
      <c r="F235" s="4"/>
      <c r="G235" s="1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</row>
    <row r="236">
      <c r="A236" s="7"/>
      <c r="B236" s="8"/>
      <c r="C236" s="4"/>
      <c r="D236" s="15"/>
      <c r="E236" s="4"/>
      <c r="F236" s="4"/>
      <c r="G236" s="1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</row>
    <row r="237">
      <c r="A237" s="7"/>
      <c r="B237" s="8"/>
      <c r="C237" s="4"/>
      <c r="D237" s="15"/>
      <c r="E237" s="4"/>
      <c r="F237" s="4"/>
      <c r="G237" s="1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</row>
    <row r="238">
      <c r="A238" s="7" t="s">
        <v>268</v>
      </c>
      <c r="B238" s="8"/>
      <c r="C238" s="4"/>
      <c r="D238" s="15">
        <f>SUM(D176:D237)</f>
        <v>114262.92</v>
      </c>
      <c r="E238" s="4"/>
      <c r="F238" s="4"/>
      <c r="G238" s="1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</row>
    <row r="239">
      <c r="A239" s="4"/>
      <c r="B239" s="8"/>
      <c r="C239" s="4"/>
      <c r="D239" s="15"/>
      <c r="E239" s="4"/>
      <c r="F239" s="4"/>
      <c r="G239" s="1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</row>
    <row r="240">
      <c r="A240" s="4"/>
      <c r="B240" s="8"/>
      <c r="C240" s="4"/>
      <c r="D240" s="15"/>
      <c r="E240" s="4"/>
      <c r="F240" s="4"/>
      <c r="G240" s="1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</row>
    <row r="241">
      <c r="A241" s="52"/>
      <c r="B241" s="8"/>
      <c r="C241" s="4"/>
      <c r="D241" s="53"/>
      <c r="E241" s="4"/>
      <c r="F241" s="4"/>
      <c r="G241" s="11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</row>
    <row r="242">
      <c r="A242" s="52"/>
      <c r="B242" s="8"/>
      <c r="C242" s="4"/>
      <c r="D242" s="54"/>
      <c r="E242" s="4"/>
      <c r="F242" s="4"/>
      <c r="G242" s="5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</row>
    <row r="243">
      <c r="A243" s="52"/>
      <c r="B243" s="8"/>
      <c r="C243" s="4"/>
      <c r="D243" s="54"/>
      <c r="E243" s="4"/>
      <c r="F243" s="4"/>
      <c r="G243" s="5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</row>
    <row r="244">
      <c r="A244" s="52"/>
      <c r="B244" s="8"/>
      <c r="C244" s="4"/>
      <c r="D244" s="54"/>
      <c r="E244" s="4"/>
      <c r="F244" s="4"/>
      <c r="G244" s="5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</row>
    <row r="245">
      <c r="A245" s="52"/>
      <c r="B245" s="8"/>
      <c r="C245" s="4"/>
      <c r="D245" s="54"/>
      <c r="E245" s="4"/>
      <c r="F245" s="4"/>
      <c r="G245" s="5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</row>
    <row r="246">
      <c r="A246" s="52"/>
      <c r="B246" s="8"/>
      <c r="C246" s="4"/>
      <c r="D246" s="54"/>
      <c r="E246" s="4"/>
      <c r="F246" s="4"/>
      <c r="G246" s="5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</row>
    <row r="247">
      <c r="A247" s="52"/>
      <c r="B247" s="8"/>
      <c r="C247" s="4"/>
      <c r="D247" s="54"/>
      <c r="E247" s="4"/>
      <c r="F247" s="4"/>
      <c r="G247" s="5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</row>
    <row r="248">
      <c r="A248" s="52"/>
      <c r="B248" s="8"/>
      <c r="C248" s="4"/>
      <c r="D248" s="54"/>
      <c r="E248" s="4"/>
      <c r="F248" s="4"/>
      <c r="G248" s="5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</row>
    <row r="249">
      <c r="A249" s="52"/>
      <c r="B249" s="8"/>
      <c r="C249" s="4"/>
      <c r="D249" s="54"/>
      <c r="E249" s="4"/>
      <c r="F249" s="4"/>
      <c r="G249" s="5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</row>
    <row r="250">
      <c r="A250" s="52"/>
      <c r="B250" s="8"/>
      <c r="C250" s="4"/>
      <c r="D250" s="53"/>
      <c r="E250" s="4"/>
      <c r="F250" s="4"/>
      <c r="G250" s="5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</row>
    <row r="251">
      <c r="A251" s="52"/>
      <c r="B251" s="8"/>
      <c r="C251" s="4"/>
      <c r="D251" s="53"/>
      <c r="E251" s="4"/>
      <c r="F251" s="4"/>
      <c r="G251" s="5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</row>
    <row r="252">
      <c r="A252" s="52"/>
      <c r="B252" s="8"/>
      <c r="C252" s="4"/>
      <c r="D252" s="53"/>
      <c r="E252" s="4"/>
      <c r="F252" s="4"/>
      <c r="G252" s="5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</row>
    <row r="253">
      <c r="A253" s="52"/>
      <c r="B253" s="8"/>
      <c r="C253" s="4"/>
      <c r="D253" s="53"/>
      <c r="E253" s="4"/>
      <c r="F253" s="4"/>
      <c r="G253" s="5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</row>
    <row r="254">
      <c r="A254" s="52"/>
      <c r="B254" s="8"/>
      <c r="C254" s="4"/>
      <c r="D254" s="53"/>
      <c r="E254" s="4"/>
      <c r="F254" s="4"/>
      <c r="G254" s="5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</row>
    <row r="255">
      <c r="A255" s="52"/>
      <c r="B255" s="8"/>
      <c r="C255" s="4"/>
      <c r="D255" s="53"/>
      <c r="E255" s="4"/>
      <c r="F255" s="4"/>
      <c r="G255" s="5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</row>
    <row r="256">
      <c r="A256" s="52"/>
      <c r="B256" s="8"/>
      <c r="C256" s="4"/>
      <c r="D256" s="54"/>
      <c r="E256" s="4"/>
      <c r="F256" s="4"/>
      <c r="G256" s="11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</row>
    <row r="257">
      <c r="A257" s="4"/>
      <c r="B257" s="8"/>
      <c r="C257" s="4"/>
      <c r="D257" s="15"/>
      <c r="E257" s="4"/>
      <c r="F257" s="4"/>
      <c r="G257" s="1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</row>
    <row r="258">
      <c r="A258" s="4"/>
      <c r="B258" s="8"/>
      <c r="C258" s="9"/>
      <c r="D258" s="15"/>
      <c r="E258" s="4"/>
      <c r="F258" s="4"/>
      <c r="G258" s="1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</row>
    <row r="259">
      <c r="A259" s="4"/>
      <c r="B259" s="8"/>
      <c r="C259" s="9"/>
      <c r="D259" s="15"/>
      <c r="E259" s="4"/>
      <c r="F259" s="4"/>
      <c r="G259" s="1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</row>
    <row r="260">
      <c r="A260" s="4"/>
      <c r="B260" s="8"/>
      <c r="C260" s="9"/>
      <c r="D260" s="15"/>
      <c r="E260" s="4"/>
      <c r="F260" s="4"/>
      <c r="G260" s="1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</row>
    <row r="261">
      <c r="A261" s="4"/>
      <c r="B261" s="8"/>
      <c r="C261" s="9"/>
      <c r="D261" s="15"/>
      <c r="E261" s="4"/>
      <c r="F261" s="4"/>
      <c r="G261" s="1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</row>
    <row r="262">
      <c r="A262" s="4"/>
      <c r="B262" s="8"/>
      <c r="C262" s="9"/>
      <c r="D262" s="15"/>
      <c r="E262" s="4"/>
      <c r="F262" s="4"/>
      <c r="G262" s="1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</row>
    <row r="263">
      <c r="A263" s="4"/>
      <c r="B263" s="43"/>
      <c r="C263" s="9"/>
      <c r="D263" s="15"/>
      <c r="E263" s="4"/>
      <c r="F263" s="4"/>
      <c r="G263" s="1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</row>
    <row r="264">
      <c r="A264" s="4"/>
      <c r="B264" s="8"/>
      <c r="C264" s="9"/>
      <c r="D264" s="15"/>
      <c r="E264" s="4"/>
      <c r="F264" s="4"/>
      <c r="G264" s="1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</row>
    <row r="265">
      <c r="A265" s="4"/>
      <c r="B265" s="8"/>
      <c r="C265" s="4"/>
      <c r="D265" s="15"/>
      <c r="E265" s="4"/>
      <c r="F265" s="4"/>
      <c r="G265" s="11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</row>
    <row r="266">
      <c r="A266" s="4"/>
      <c r="B266" s="8"/>
      <c r="C266" s="4"/>
      <c r="D266" s="11"/>
      <c r="E266" s="4"/>
      <c r="F266" s="4"/>
      <c r="G266" s="11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</row>
    <row r="267">
      <c r="A267" s="4"/>
      <c r="B267" s="8"/>
      <c r="C267" s="9"/>
      <c r="D267" s="15"/>
      <c r="E267" s="4"/>
      <c r="F267" s="4"/>
      <c r="G267" s="1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</row>
    <row r="268">
      <c r="A268" s="4"/>
      <c r="B268" s="8"/>
      <c r="C268" s="9"/>
      <c r="D268" s="15"/>
      <c r="E268" s="4"/>
      <c r="F268" s="4"/>
      <c r="G268" s="1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</row>
    <row r="269">
      <c r="A269" s="4"/>
      <c r="B269" s="8"/>
      <c r="C269" s="9"/>
      <c r="D269" s="15"/>
      <c r="E269" s="4"/>
      <c r="F269" s="4"/>
      <c r="G269" s="1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</row>
    <row r="270">
      <c r="A270" s="4"/>
      <c r="B270" s="8"/>
      <c r="C270" s="9"/>
      <c r="D270" s="15"/>
      <c r="E270" s="4"/>
      <c r="F270" s="4"/>
      <c r="G270" s="1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</row>
    <row r="271">
      <c r="A271" s="4"/>
      <c r="B271" s="8"/>
      <c r="C271" s="9"/>
      <c r="D271" s="15"/>
      <c r="E271" s="4"/>
      <c r="F271" s="4"/>
      <c r="G271" s="1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</row>
    <row r="272">
      <c r="A272" s="4"/>
      <c r="B272" s="8"/>
      <c r="C272" s="9"/>
      <c r="D272" s="15"/>
      <c r="E272" s="4"/>
      <c r="F272" s="4"/>
      <c r="G272" s="1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</row>
    <row r="273">
      <c r="A273" s="4"/>
      <c r="B273" s="8"/>
      <c r="C273" s="9"/>
      <c r="D273" s="15"/>
      <c r="E273" s="4"/>
      <c r="F273" s="4"/>
      <c r="G273" s="1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</row>
    <row r="274">
      <c r="A274" s="4"/>
      <c r="B274" s="8"/>
      <c r="C274" s="9"/>
      <c r="D274" s="15"/>
      <c r="E274" s="4"/>
      <c r="F274" s="4"/>
      <c r="G274" s="1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</row>
    <row r="275">
      <c r="A275" s="4"/>
      <c r="B275" s="8"/>
      <c r="C275" s="9"/>
      <c r="D275" s="15"/>
      <c r="E275" s="4"/>
      <c r="F275" s="4"/>
      <c r="G275" s="1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</row>
    <row r="276">
      <c r="A276" s="4"/>
      <c r="B276" s="8"/>
      <c r="C276" s="55"/>
      <c r="D276" s="15"/>
      <c r="E276" s="4"/>
      <c r="F276" s="4"/>
      <c r="G276" s="1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</row>
    <row r="277">
      <c r="A277" s="4"/>
      <c r="B277" s="8"/>
      <c r="C277" s="9"/>
      <c r="D277" s="15"/>
      <c r="E277" s="4"/>
      <c r="F277" s="4"/>
      <c r="G277" s="1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</row>
    <row r="278">
      <c r="A278" s="4"/>
      <c r="B278" s="8"/>
      <c r="C278" s="9"/>
      <c r="D278" s="15"/>
      <c r="E278" s="4"/>
      <c r="F278" s="4"/>
      <c r="G278" s="1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</row>
    <row r="279">
      <c r="A279" s="4"/>
      <c r="B279" s="8"/>
      <c r="C279" s="9"/>
      <c r="D279" s="15"/>
      <c r="E279" s="4"/>
      <c r="F279" s="4"/>
      <c r="G279" s="1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</row>
    <row r="280">
      <c r="A280" s="4"/>
      <c r="B280" s="8"/>
      <c r="C280" s="9"/>
      <c r="D280" s="15"/>
      <c r="E280" s="4"/>
      <c r="F280" s="4"/>
      <c r="G280" s="1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</row>
    <row r="281">
      <c r="A281" s="4"/>
      <c r="B281" s="8"/>
      <c r="C281" s="9"/>
      <c r="D281" s="15"/>
      <c r="E281" s="4"/>
      <c r="F281" s="4"/>
      <c r="G281" s="1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</row>
    <row r="282">
      <c r="A282" s="4"/>
      <c r="B282" s="8"/>
      <c r="C282" s="9"/>
      <c r="D282" s="15"/>
      <c r="E282" s="4"/>
      <c r="F282" s="4"/>
      <c r="G282" s="1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</row>
    <row r="283">
      <c r="A283" s="4"/>
      <c r="B283" s="8"/>
      <c r="C283" s="9"/>
      <c r="D283" s="15"/>
      <c r="E283" s="4"/>
      <c r="F283" s="4"/>
      <c r="G283" s="1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</row>
    <row r="284">
      <c r="A284" s="4"/>
      <c r="B284" s="8"/>
      <c r="C284" s="9"/>
      <c r="D284" s="15"/>
      <c r="E284" s="4"/>
      <c r="F284" s="4"/>
      <c r="G284" s="1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</row>
    <row r="285">
      <c r="A285" s="4"/>
      <c r="B285" s="8"/>
      <c r="C285" s="9"/>
      <c r="D285" s="15"/>
      <c r="E285" s="4"/>
      <c r="F285" s="4"/>
      <c r="G285" s="1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</row>
    <row r="286">
      <c r="A286" s="4"/>
      <c r="B286" s="8"/>
      <c r="C286" s="9"/>
      <c r="D286" s="15"/>
      <c r="E286" s="4"/>
      <c r="F286" s="4"/>
      <c r="G286" s="1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</row>
    <row r="287">
      <c r="A287" s="4"/>
      <c r="B287" s="8"/>
      <c r="C287" s="9"/>
      <c r="D287" s="15"/>
      <c r="E287" s="4"/>
      <c r="F287" s="4"/>
      <c r="G287" s="1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</row>
    <row r="288">
      <c r="A288" s="4"/>
      <c r="B288" s="8"/>
      <c r="C288" s="9"/>
      <c r="D288" s="15"/>
      <c r="E288" s="4"/>
      <c r="F288" s="4"/>
      <c r="G288" s="11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</row>
    <row r="289">
      <c r="A289" s="4"/>
      <c r="B289" s="8"/>
      <c r="C289" s="9"/>
      <c r="D289" s="15"/>
      <c r="E289" s="4"/>
      <c r="F289" s="4"/>
      <c r="G289" s="1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</row>
    <row r="290">
      <c r="A290" s="4"/>
      <c r="B290" s="8"/>
      <c r="C290" s="9"/>
      <c r="D290" s="15"/>
      <c r="E290" s="4"/>
      <c r="F290" s="4"/>
      <c r="G290" s="1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</row>
    <row r="291">
      <c r="A291" s="4"/>
      <c r="B291" s="8"/>
      <c r="C291" s="9"/>
      <c r="D291" s="15"/>
      <c r="E291" s="4"/>
      <c r="F291" s="4"/>
      <c r="G291" s="1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</row>
    <row r="292">
      <c r="A292" s="4"/>
      <c r="B292" s="8"/>
      <c r="C292" s="9"/>
      <c r="D292" s="15"/>
      <c r="E292" s="4"/>
      <c r="F292" s="4"/>
      <c r="G292" s="1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</row>
    <row r="293">
      <c r="A293" s="4"/>
      <c r="B293" s="8"/>
      <c r="C293" s="9"/>
      <c r="D293" s="15"/>
      <c r="E293" s="4"/>
      <c r="F293" s="4"/>
      <c r="G293" s="1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</row>
    <row r="294">
      <c r="A294" s="4"/>
      <c r="B294" s="8"/>
      <c r="C294" s="9"/>
      <c r="D294" s="15"/>
      <c r="E294" s="4"/>
      <c r="F294" s="4"/>
      <c r="G294" s="1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</row>
    <row r="295">
      <c r="A295" s="4"/>
      <c r="B295" s="8"/>
      <c r="C295" s="9"/>
      <c r="D295" s="15"/>
      <c r="E295" s="4"/>
      <c r="F295" s="4"/>
      <c r="G295" s="1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</row>
    <row r="296">
      <c r="A296" s="4"/>
      <c r="B296" s="8"/>
      <c r="C296" s="9"/>
      <c r="D296" s="15"/>
      <c r="E296" s="4"/>
      <c r="F296" s="4"/>
      <c r="G296" s="1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</row>
    <row r="297">
      <c r="A297" s="4"/>
      <c r="B297" s="8"/>
      <c r="C297" s="9"/>
      <c r="D297" s="15"/>
      <c r="E297" s="4"/>
      <c r="F297" s="4"/>
      <c r="G297" s="1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</row>
    <row r="298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"/>
      <c r="Y298" s="5"/>
      <c r="Z298" s="5"/>
    </row>
    <row r="299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"/>
      <c r="Y299" s="5"/>
      <c r="Z299" s="5"/>
    </row>
    <row r="300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"/>
      <c r="Y300" s="5"/>
      <c r="Z300" s="5"/>
    </row>
    <row r="301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"/>
      <c r="Y301" s="5"/>
      <c r="Z301" s="5"/>
    </row>
    <row r="30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"/>
      <c r="Y302" s="5"/>
      <c r="Z302" s="5"/>
    </row>
    <row r="303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"/>
      <c r="Y303" s="5"/>
      <c r="Z303" s="5"/>
    </row>
    <row r="304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"/>
      <c r="Y304" s="5"/>
      <c r="Z304" s="5"/>
    </row>
    <row r="305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"/>
      <c r="Y305" s="5"/>
      <c r="Z305" s="5"/>
    </row>
    <row r="306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"/>
      <c r="Y306" s="5"/>
      <c r="Z306" s="5"/>
    </row>
    <row r="307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"/>
      <c r="Y307" s="5"/>
      <c r="Z307" s="5"/>
    </row>
    <row r="308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"/>
      <c r="Y308" s="5"/>
      <c r="Z308" s="5"/>
    </row>
    <row r="309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"/>
      <c r="Y309" s="5"/>
      <c r="Z309" s="5"/>
    </row>
    <row r="310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"/>
      <c r="Y310" s="5"/>
      <c r="Z310" s="5"/>
    </row>
    <row r="311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"/>
      <c r="Y311" s="5"/>
      <c r="Z311" s="5"/>
    </row>
    <row r="31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"/>
      <c r="Y312" s="5"/>
      <c r="Z312" s="5"/>
    </row>
    <row r="313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"/>
      <c r="Y313" s="5"/>
      <c r="Z313" s="5"/>
    </row>
    <row r="314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"/>
      <c r="Y314" s="5"/>
      <c r="Z314" s="5"/>
    </row>
    <row r="315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"/>
      <c r="Y315" s="5"/>
      <c r="Z315" s="5"/>
    </row>
    <row r="316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"/>
      <c r="Y316" s="5"/>
      <c r="Z316" s="5"/>
    </row>
    <row r="317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"/>
      <c r="Y317" s="5"/>
      <c r="Z317" s="5"/>
    </row>
    <row r="318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"/>
      <c r="Y318" s="5"/>
      <c r="Z318" s="5"/>
    </row>
    <row r="319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"/>
      <c r="Y319" s="5"/>
      <c r="Z319" s="5"/>
    </row>
    <row r="320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"/>
      <c r="Y320" s="5"/>
      <c r="Z320" s="5"/>
    </row>
    <row r="321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"/>
      <c r="Y321" s="5"/>
      <c r="Z321" s="5"/>
    </row>
    <row r="32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"/>
      <c r="Y322" s="5"/>
      <c r="Z322" s="5"/>
    </row>
    <row r="323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"/>
      <c r="Y323" s="5"/>
      <c r="Z323" s="5"/>
    </row>
    <row r="324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"/>
      <c r="Y324" s="5"/>
      <c r="Z324" s="5"/>
    </row>
    <row r="325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"/>
      <c r="Y325" s="5"/>
      <c r="Z325" s="5"/>
    </row>
    <row r="326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"/>
      <c r="Y326" s="5"/>
      <c r="Z326" s="5"/>
    </row>
    <row r="327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"/>
      <c r="Y327" s="5"/>
      <c r="Z327" s="5"/>
    </row>
    <row r="328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"/>
      <c r="Y328" s="5"/>
      <c r="Z328" s="5"/>
    </row>
    <row r="329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"/>
      <c r="Y329" s="5"/>
      <c r="Z329" s="5"/>
    </row>
    <row r="330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"/>
      <c r="Y330" s="5"/>
      <c r="Z330" s="5"/>
    </row>
    <row r="331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"/>
      <c r="Y331" s="5"/>
      <c r="Z331" s="5"/>
    </row>
    <row r="33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"/>
      <c r="Y332" s="5"/>
      <c r="Z332" s="5"/>
    </row>
    <row r="333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"/>
      <c r="Y333" s="5"/>
      <c r="Z333" s="5"/>
    </row>
    <row r="334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"/>
      <c r="Y334" s="5"/>
      <c r="Z334" s="5"/>
    </row>
    <row r="335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"/>
      <c r="Y335" s="5"/>
      <c r="Z335" s="5"/>
    </row>
    <row r="336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"/>
      <c r="Y336" s="5"/>
      <c r="Z336" s="5"/>
    </row>
    <row r="337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"/>
      <c r="Y337" s="5"/>
      <c r="Z337" s="5"/>
    </row>
    <row r="338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"/>
      <c r="Y338" s="5"/>
      <c r="Z338" s="5"/>
    </row>
    <row r="339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"/>
      <c r="Y339" s="5"/>
      <c r="Z339" s="5"/>
    </row>
    <row r="340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"/>
      <c r="Y340" s="5"/>
      <c r="Z340" s="5"/>
    </row>
    <row r="341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"/>
      <c r="Y341" s="5"/>
      <c r="Z341" s="5"/>
    </row>
    <row r="34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"/>
      <c r="Y342" s="5"/>
      <c r="Z342" s="5"/>
    </row>
    <row r="343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"/>
      <c r="Y343" s="5"/>
      <c r="Z343" s="5"/>
    </row>
    <row r="344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"/>
      <c r="Y344" s="5"/>
      <c r="Z344" s="5"/>
    </row>
    <row r="345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"/>
      <c r="Y345" s="5"/>
      <c r="Z345" s="5"/>
    </row>
    <row r="346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"/>
      <c r="Y346" s="5"/>
      <c r="Z346" s="5"/>
    </row>
    <row r="347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"/>
      <c r="Y347" s="5"/>
      <c r="Z347" s="5"/>
    </row>
    <row r="348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"/>
      <c r="Y348" s="5"/>
      <c r="Z348" s="5"/>
    </row>
    <row r="349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"/>
      <c r="Y349" s="5"/>
      <c r="Z349" s="5"/>
    </row>
    <row r="350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"/>
      <c r="Y350" s="5"/>
      <c r="Z350" s="5"/>
    </row>
    <row r="351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"/>
      <c r="Y351" s="5"/>
      <c r="Z351" s="5"/>
    </row>
    <row r="35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"/>
      <c r="Y352" s="5"/>
      <c r="Z352" s="5"/>
    </row>
    <row r="353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"/>
      <c r="Y353" s="5"/>
      <c r="Z353" s="5"/>
    </row>
    <row r="354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"/>
      <c r="Y354" s="5"/>
      <c r="Z354" s="5"/>
    </row>
    <row r="355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"/>
      <c r="Y355" s="5"/>
      <c r="Z355" s="5"/>
    </row>
    <row r="356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"/>
      <c r="Y356" s="5"/>
      <c r="Z356" s="5"/>
    </row>
    <row r="357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"/>
      <c r="Y357" s="5"/>
      <c r="Z357" s="5"/>
    </row>
    <row r="358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"/>
      <c r="Y358" s="5"/>
      <c r="Z358" s="5"/>
    </row>
    <row r="359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"/>
      <c r="Y359" s="5"/>
      <c r="Z359" s="5"/>
    </row>
    <row r="360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"/>
      <c r="Y360" s="5"/>
      <c r="Z360" s="5"/>
    </row>
    <row r="361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"/>
      <c r="Y361" s="5"/>
      <c r="Z361" s="5"/>
    </row>
    <row r="36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"/>
      <c r="Y362" s="5"/>
      <c r="Z362" s="5"/>
    </row>
    <row r="363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"/>
      <c r="Y363" s="5"/>
      <c r="Z363" s="5"/>
    </row>
    <row r="364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"/>
      <c r="Y364" s="5"/>
      <c r="Z364" s="5"/>
    </row>
    <row r="365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"/>
      <c r="Y365" s="5"/>
      <c r="Z365" s="5"/>
    </row>
    <row r="366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"/>
      <c r="Y366" s="5"/>
      <c r="Z366" s="5"/>
    </row>
    <row r="367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"/>
      <c r="Y367" s="5"/>
      <c r="Z367" s="5"/>
    </row>
    <row r="368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"/>
      <c r="Y368" s="5"/>
      <c r="Z368" s="5"/>
    </row>
    <row r="369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"/>
      <c r="Y369" s="5"/>
      <c r="Z369" s="5"/>
    </row>
    <row r="370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"/>
      <c r="Y370" s="5"/>
      <c r="Z370" s="5"/>
    </row>
    <row r="371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"/>
      <c r="Y371" s="5"/>
      <c r="Z371" s="5"/>
    </row>
    <row r="37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"/>
      <c r="Y372" s="5"/>
      <c r="Z372" s="5"/>
    </row>
    <row r="373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"/>
      <c r="Y373" s="5"/>
      <c r="Z373" s="5"/>
    </row>
    <row r="374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"/>
      <c r="Y374" s="5"/>
      <c r="Z374" s="5"/>
    </row>
    <row r="375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"/>
      <c r="Y375" s="5"/>
      <c r="Z375" s="5"/>
    </row>
    <row r="376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"/>
      <c r="Y376" s="5"/>
      <c r="Z376" s="5"/>
    </row>
    <row r="377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"/>
      <c r="Y377" s="5"/>
      <c r="Z377" s="5"/>
    </row>
    <row r="378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"/>
      <c r="Y378" s="5"/>
      <c r="Z378" s="5"/>
    </row>
    <row r="379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"/>
      <c r="Y379" s="5"/>
      <c r="Z379" s="5"/>
    </row>
    <row r="380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"/>
      <c r="Y380" s="5"/>
      <c r="Z380" s="5"/>
    </row>
    <row r="381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"/>
      <c r="Y381" s="5"/>
      <c r="Z381" s="5"/>
    </row>
    <row r="38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"/>
      <c r="Y382" s="5"/>
      <c r="Z382" s="5"/>
    </row>
    <row r="383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"/>
      <c r="Y383" s="5"/>
      <c r="Z383" s="5"/>
    </row>
    <row r="384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"/>
      <c r="Y384" s="5"/>
      <c r="Z384" s="5"/>
    </row>
    <row r="385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"/>
      <c r="Y385" s="5"/>
      <c r="Z385" s="5"/>
    </row>
    <row r="386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"/>
      <c r="Y386" s="5"/>
      <c r="Z386" s="5"/>
    </row>
    <row r="387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"/>
      <c r="Y387" s="5"/>
      <c r="Z387" s="5"/>
    </row>
    <row r="388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"/>
      <c r="Y388" s="5"/>
      <c r="Z388" s="5"/>
    </row>
    <row r="389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"/>
      <c r="Y389" s="5"/>
      <c r="Z389" s="5"/>
    </row>
    <row r="390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"/>
      <c r="Y390" s="5"/>
      <c r="Z390" s="5"/>
    </row>
    <row r="391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"/>
      <c r="Y391" s="5"/>
      <c r="Z391" s="5"/>
    </row>
    <row r="39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"/>
      <c r="Y392" s="5"/>
      <c r="Z392" s="5"/>
    </row>
    <row r="393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"/>
      <c r="Y393" s="5"/>
      <c r="Z393" s="5"/>
    </row>
    <row r="394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"/>
      <c r="Y394" s="5"/>
      <c r="Z394" s="5"/>
    </row>
    <row r="395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"/>
      <c r="Y395" s="5"/>
      <c r="Z395" s="5"/>
    </row>
    <row r="396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"/>
      <c r="Y396" s="5"/>
      <c r="Z396" s="5"/>
    </row>
    <row r="397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"/>
      <c r="Y397" s="5"/>
      <c r="Z397" s="5"/>
    </row>
    <row r="398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"/>
      <c r="Y398" s="5"/>
      <c r="Z398" s="5"/>
    </row>
    <row r="399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"/>
      <c r="Y399" s="5"/>
      <c r="Z399" s="5"/>
    </row>
    <row r="400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"/>
      <c r="Y400" s="5"/>
      <c r="Z400" s="5"/>
    </row>
    <row r="401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"/>
      <c r="Y401" s="5"/>
      <c r="Z401" s="5"/>
    </row>
    <row r="40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"/>
      <c r="Y402" s="5"/>
      <c r="Z402" s="5"/>
    </row>
    <row r="403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"/>
      <c r="Y403" s="5"/>
      <c r="Z403" s="5"/>
    </row>
    <row r="404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"/>
      <c r="Y404" s="5"/>
      <c r="Z404" s="5"/>
    </row>
    <row r="405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"/>
      <c r="Y405" s="5"/>
      <c r="Z405" s="5"/>
    </row>
    <row r="406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"/>
      <c r="Y406" s="5"/>
      <c r="Z406" s="5"/>
    </row>
    <row r="407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"/>
      <c r="Y407" s="5"/>
      <c r="Z407" s="5"/>
    </row>
    <row r="408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"/>
      <c r="Y408" s="5"/>
      <c r="Z408" s="5"/>
    </row>
    <row r="409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"/>
      <c r="Y409" s="5"/>
      <c r="Z409" s="5"/>
    </row>
    <row r="410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"/>
      <c r="Y410" s="5"/>
      <c r="Z410" s="5"/>
    </row>
    <row r="411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"/>
      <c r="Y411" s="5"/>
      <c r="Z411" s="5"/>
    </row>
    <row r="41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"/>
      <c r="Y412" s="5"/>
      <c r="Z412" s="5"/>
    </row>
    <row r="413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"/>
      <c r="Y413" s="5"/>
      <c r="Z413" s="5"/>
    </row>
    <row r="414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"/>
      <c r="Y414" s="5"/>
      <c r="Z414" s="5"/>
    </row>
    <row r="415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"/>
      <c r="Y415" s="5"/>
      <c r="Z415" s="5"/>
    </row>
    <row r="416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"/>
      <c r="Y416" s="5"/>
      <c r="Z416" s="5"/>
    </row>
    <row r="417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"/>
      <c r="Y417" s="5"/>
      <c r="Z417" s="5"/>
    </row>
    <row r="418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"/>
      <c r="Y418" s="5"/>
      <c r="Z418" s="5"/>
    </row>
    <row r="419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"/>
      <c r="Y419" s="5"/>
      <c r="Z419" s="5"/>
    </row>
    <row r="420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"/>
      <c r="Y420" s="5"/>
      <c r="Z420" s="5"/>
    </row>
    <row r="421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"/>
      <c r="Y421" s="5"/>
      <c r="Z421" s="5"/>
    </row>
    <row r="42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"/>
      <c r="Y422" s="5"/>
      <c r="Z422" s="5"/>
    </row>
    <row r="423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"/>
      <c r="Y423" s="5"/>
      <c r="Z423" s="5"/>
    </row>
    <row r="424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"/>
      <c r="Y424" s="5"/>
      <c r="Z424" s="5"/>
    </row>
    <row r="425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"/>
      <c r="Y425" s="5"/>
      <c r="Z425" s="5"/>
    </row>
    <row r="426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"/>
      <c r="Y426" s="5"/>
      <c r="Z426" s="5"/>
    </row>
    <row r="427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"/>
      <c r="Y427" s="5"/>
      <c r="Z427" s="5"/>
    </row>
    <row r="428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"/>
      <c r="Y428" s="5"/>
      <c r="Z428" s="5"/>
    </row>
    <row r="429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"/>
      <c r="Y429" s="5"/>
      <c r="Z429" s="5"/>
    </row>
    <row r="430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"/>
      <c r="Y430" s="5"/>
      <c r="Z430" s="5"/>
    </row>
    <row r="431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"/>
      <c r="Y431" s="5"/>
      <c r="Z431" s="5"/>
    </row>
    <row r="43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"/>
      <c r="Y432" s="5"/>
      <c r="Z432" s="5"/>
    </row>
    <row r="433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"/>
      <c r="Y433" s="5"/>
      <c r="Z433" s="5"/>
    </row>
    <row r="434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"/>
      <c r="Y434" s="5"/>
      <c r="Z434" s="5"/>
    </row>
    <row r="435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"/>
      <c r="Y435" s="5"/>
      <c r="Z435" s="5"/>
    </row>
    <row r="436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"/>
      <c r="Y436" s="5"/>
      <c r="Z436" s="5"/>
    </row>
    <row r="437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"/>
      <c r="Y437" s="5"/>
      <c r="Z437" s="5"/>
    </row>
    <row r="438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"/>
      <c r="Y438" s="5"/>
      <c r="Z438" s="5"/>
    </row>
    <row r="439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"/>
      <c r="Y439" s="5"/>
      <c r="Z439" s="5"/>
    </row>
    <row r="440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"/>
      <c r="Y440" s="5"/>
      <c r="Z440" s="5"/>
    </row>
    <row r="441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"/>
      <c r="Y441" s="5"/>
      <c r="Z441" s="5"/>
    </row>
    <row r="44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"/>
      <c r="Y442" s="5"/>
      <c r="Z442" s="5"/>
    </row>
    <row r="443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"/>
      <c r="Y443" s="5"/>
      <c r="Z443" s="5"/>
    </row>
    <row r="444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"/>
      <c r="Y444" s="5"/>
      <c r="Z444" s="5"/>
    </row>
    <row r="445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"/>
      <c r="Y445" s="5"/>
      <c r="Z445" s="5"/>
    </row>
    <row r="446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"/>
      <c r="Y446" s="5"/>
      <c r="Z446" s="5"/>
    </row>
    <row r="447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"/>
      <c r="Y447" s="5"/>
      <c r="Z447" s="5"/>
    </row>
    <row r="448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"/>
      <c r="Y448" s="5"/>
      <c r="Z448" s="5"/>
    </row>
    <row r="449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"/>
      <c r="Y449" s="5"/>
      <c r="Z449" s="5"/>
    </row>
    <row r="450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"/>
      <c r="Y450" s="5"/>
      <c r="Z450" s="5"/>
    </row>
    <row r="451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"/>
      <c r="Y451" s="5"/>
      <c r="Z451" s="5"/>
    </row>
    <row r="45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"/>
      <c r="Y452" s="5"/>
      <c r="Z452" s="5"/>
    </row>
    <row r="453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"/>
      <c r="Y453" s="5"/>
      <c r="Z453" s="5"/>
    </row>
    <row r="454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"/>
      <c r="Y454" s="5"/>
      <c r="Z454" s="5"/>
    </row>
    <row r="455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"/>
      <c r="Y455" s="5"/>
      <c r="Z455" s="5"/>
    </row>
    <row r="456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"/>
      <c r="Y456" s="5"/>
      <c r="Z456" s="5"/>
    </row>
    <row r="457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"/>
      <c r="Y457" s="5"/>
      <c r="Z457" s="5"/>
    </row>
    <row r="458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"/>
      <c r="Y458" s="5"/>
      <c r="Z458" s="5"/>
    </row>
    <row r="459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"/>
      <c r="Y459" s="5"/>
      <c r="Z459" s="5"/>
    </row>
    <row r="460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"/>
      <c r="Y460" s="5"/>
      <c r="Z460" s="5"/>
    </row>
    <row r="461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"/>
      <c r="Y461" s="5"/>
      <c r="Z461" s="5"/>
    </row>
    <row r="46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"/>
      <c r="Y462" s="5"/>
      <c r="Z462" s="5"/>
    </row>
    <row r="463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"/>
      <c r="Y463" s="5"/>
      <c r="Z463" s="5"/>
    </row>
    <row r="464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"/>
      <c r="Y464" s="5"/>
      <c r="Z464" s="5"/>
    </row>
    <row r="465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"/>
      <c r="Y465" s="5"/>
      <c r="Z465" s="5"/>
    </row>
    <row r="466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"/>
      <c r="Y466" s="5"/>
      <c r="Z466" s="5"/>
    </row>
    <row r="467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"/>
      <c r="Y467" s="5"/>
      <c r="Z467" s="5"/>
    </row>
    <row r="468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"/>
      <c r="Y468" s="5"/>
      <c r="Z468" s="5"/>
    </row>
    <row r="469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"/>
      <c r="Y469" s="5"/>
      <c r="Z469" s="5"/>
    </row>
    <row r="470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"/>
      <c r="Y470" s="5"/>
      <c r="Z470" s="5"/>
    </row>
    <row r="471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"/>
      <c r="Y471" s="5"/>
      <c r="Z471" s="5"/>
    </row>
    <row r="47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"/>
      <c r="Y472" s="5"/>
      <c r="Z472" s="5"/>
    </row>
    <row r="473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"/>
      <c r="Y473" s="5"/>
      <c r="Z473" s="5"/>
    </row>
    <row r="474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"/>
      <c r="Y474" s="5"/>
      <c r="Z474" s="5"/>
    </row>
    <row r="475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"/>
      <c r="Y475" s="5"/>
      <c r="Z475" s="5"/>
    </row>
    <row r="476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"/>
      <c r="Y476" s="5"/>
      <c r="Z476" s="5"/>
    </row>
    <row r="477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"/>
      <c r="Y477" s="5"/>
      <c r="Z477" s="5"/>
    </row>
    <row r="478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"/>
      <c r="Y478" s="5"/>
      <c r="Z478" s="5"/>
    </row>
    <row r="479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"/>
      <c r="Y479" s="5"/>
      <c r="Z479" s="5"/>
    </row>
    <row r="480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"/>
      <c r="Y480" s="5"/>
      <c r="Z480" s="5"/>
    </row>
    <row r="481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"/>
      <c r="Y481" s="5"/>
      <c r="Z481" s="5"/>
    </row>
    <row r="48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"/>
      <c r="Y482" s="5"/>
      <c r="Z482" s="5"/>
    </row>
    <row r="483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"/>
      <c r="Y483" s="5"/>
      <c r="Z483" s="5"/>
    </row>
    <row r="484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"/>
      <c r="Y484" s="5"/>
      <c r="Z484" s="5"/>
    </row>
    <row r="485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"/>
      <c r="Y485" s="5"/>
      <c r="Z485" s="5"/>
    </row>
    <row r="486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"/>
      <c r="Y486" s="5"/>
      <c r="Z486" s="5"/>
    </row>
    <row r="487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"/>
      <c r="Y487" s="5"/>
      <c r="Z487" s="5"/>
    </row>
    <row r="488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"/>
      <c r="Y488" s="5"/>
      <c r="Z488" s="5"/>
    </row>
    <row r="489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"/>
      <c r="Y489" s="5"/>
      <c r="Z489" s="5"/>
    </row>
    <row r="490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"/>
      <c r="Y490" s="5"/>
      <c r="Z490" s="5"/>
    </row>
    <row r="491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"/>
      <c r="Y491" s="5"/>
      <c r="Z491" s="5"/>
    </row>
    <row r="49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"/>
      <c r="Y492" s="5"/>
      <c r="Z492" s="5"/>
    </row>
    <row r="493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"/>
      <c r="Y493" s="5"/>
      <c r="Z493" s="5"/>
    </row>
    <row r="494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"/>
      <c r="Y494" s="5"/>
      <c r="Z494" s="5"/>
    </row>
    <row r="495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"/>
      <c r="Y495" s="5"/>
      <c r="Z495" s="5"/>
    </row>
    <row r="496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"/>
      <c r="Y496" s="5"/>
      <c r="Z496" s="5"/>
    </row>
    <row r="497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"/>
      <c r="Y497" s="5"/>
      <c r="Z497" s="5"/>
    </row>
    <row r="498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"/>
      <c r="Y498" s="5"/>
      <c r="Z498" s="5"/>
    </row>
    <row r="499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"/>
      <c r="Y499" s="5"/>
      <c r="Z499" s="5"/>
    </row>
    <row r="500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"/>
      <c r="Y500" s="5"/>
      <c r="Z500" s="5"/>
    </row>
    <row r="501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"/>
      <c r="Y501" s="5"/>
      <c r="Z501" s="5"/>
    </row>
    <row r="50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"/>
      <c r="Y502" s="5"/>
      <c r="Z502" s="5"/>
    </row>
    <row r="503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"/>
      <c r="Y503" s="5"/>
      <c r="Z503" s="5"/>
    </row>
    <row r="504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"/>
      <c r="Y504" s="5"/>
      <c r="Z504" s="5"/>
    </row>
    <row r="505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"/>
      <c r="Y505" s="5"/>
      <c r="Z505" s="5"/>
    </row>
    <row r="506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"/>
      <c r="Y506" s="5"/>
      <c r="Z506" s="5"/>
    </row>
    <row r="507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"/>
      <c r="Y507" s="5"/>
      <c r="Z507" s="5"/>
    </row>
    <row r="508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"/>
      <c r="Y508" s="5"/>
      <c r="Z508" s="5"/>
    </row>
    <row r="509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"/>
      <c r="Y509" s="5"/>
      <c r="Z509" s="5"/>
    </row>
    <row r="510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"/>
      <c r="Y510" s="5"/>
      <c r="Z510" s="5"/>
    </row>
    <row r="511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"/>
      <c r="Y511" s="5"/>
      <c r="Z511" s="5"/>
    </row>
    <row r="51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"/>
      <c r="Y512" s="5"/>
      <c r="Z512" s="5"/>
    </row>
    <row r="513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"/>
      <c r="Y513" s="5"/>
      <c r="Z513" s="5"/>
    </row>
    <row r="514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"/>
      <c r="Y514" s="5"/>
      <c r="Z514" s="5"/>
    </row>
    <row r="515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"/>
      <c r="Y515" s="5"/>
      <c r="Z515" s="5"/>
    </row>
    <row r="516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"/>
      <c r="Y516" s="5"/>
      <c r="Z516" s="5"/>
    </row>
    <row r="517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"/>
      <c r="Y517" s="5"/>
      <c r="Z517" s="5"/>
    </row>
    <row r="518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"/>
      <c r="Y518" s="5"/>
      <c r="Z518" s="5"/>
    </row>
    <row r="519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"/>
      <c r="Y519" s="5"/>
      <c r="Z519" s="5"/>
    </row>
    <row r="520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"/>
      <c r="Y520" s="5"/>
      <c r="Z520" s="5"/>
    </row>
    <row r="521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"/>
      <c r="Y521" s="5"/>
      <c r="Z521" s="5"/>
    </row>
    <row r="52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"/>
      <c r="Y522" s="5"/>
      <c r="Z522" s="5"/>
    </row>
    <row r="523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"/>
      <c r="Y523" s="5"/>
      <c r="Z523" s="5"/>
    </row>
    <row r="524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"/>
      <c r="Y524" s="5"/>
      <c r="Z524" s="5"/>
    </row>
    <row r="525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"/>
      <c r="Y525" s="5"/>
      <c r="Z525" s="5"/>
    </row>
    <row r="526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"/>
      <c r="Y526" s="5"/>
      <c r="Z526" s="5"/>
    </row>
    <row r="527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"/>
      <c r="Y527" s="5"/>
      <c r="Z527" s="5"/>
    </row>
    <row r="528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"/>
      <c r="Y528" s="5"/>
      <c r="Z528" s="5"/>
    </row>
    <row r="529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"/>
      <c r="Y529" s="5"/>
      <c r="Z529" s="5"/>
    </row>
    <row r="530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"/>
      <c r="Y530" s="5"/>
      <c r="Z530" s="5"/>
    </row>
    <row r="531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"/>
      <c r="Y531" s="5"/>
      <c r="Z531" s="5"/>
    </row>
    <row r="53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"/>
      <c r="Y532" s="5"/>
      <c r="Z532" s="5"/>
    </row>
    <row r="533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"/>
      <c r="Y533" s="5"/>
      <c r="Z533" s="5"/>
    </row>
    <row r="534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"/>
      <c r="Y534" s="5"/>
      <c r="Z534" s="5"/>
    </row>
    <row r="535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"/>
      <c r="Y535" s="5"/>
      <c r="Z535" s="5"/>
    </row>
    <row r="536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"/>
      <c r="Y536" s="5"/>
      <c r="Z536" s="5"/>
    </row>
    <row r="537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"/>
      <c r="Y537" s="5"/>
      <c r="Z537" s="5"/>
    </row>
    <row r="538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"/>
      <c r="Y538" s="5"/>
      <c r="Z538" s="5"/>
    </row>
    <row r="539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"/>
      <c r="Y539" s="5"/>
      <c r="Z539" s="5"/>
    </row>
    <row r="540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"/>
      <c r="Y540" s="5"/>
      <c r="Z540" s="5"/>
    </row>
    <row r="541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"/>
      <c r="Y541" s="5"/>
      <c r="Z541" s="5"/>
    </row>
    <row r="54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"/>
      <c r="Y542" s="5"/>
      <c r="Z542" s="5"/>
    </row>
    <row r="543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"/>
      <c r="Y543" s="5"/>
      <c r="Z543" s="5"/>
    </row>
    <row r="544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"/>
      <c r="Y544" s="5"/>
      <c r="Z544" s="5"/>
    </row>
    <row r="545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"/>
      <c r="Y545" s="5"/>
      <c r="Z545" s="5"/>
    </row>
    <row r="546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"/>
      <c r="Y546" s="5"/>
      <c r="Z546" s="5"/>
    </row>
    <row r="547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"/>
      <c r="Y547" s="5"/>
      <c r="Z547" s="5"/>
    </row>
    <row r="548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"/>
      <c r="Y548" s="5"/>
      <c r="Z548" s="5"/>
    </row>
    <row r="549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"/>
      <c r="Y549" s="5"/>
      <c r="Z549" s="5"/>
    </row>
    <row r="550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"/>
      <c r="Y550" s="5"/>
      <c r="Z550" s="5"/>
    </row>
    <row r="551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"/>
      <c r="Y551" s="5"/>
      <c r="Z551" s="5"/>
    </row>
    <row r="55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"/>
      <c r="Y552" s="5"/>
      <c r="Z552" s="5"/>
    </row>
    <row r="553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"/>
      <c r="Y553" s="5"/>
      <c r="Z553" s="5"/>
    </row>
    <row r="554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"/>
      <c r="Y554" s="5"/>
      <c r="Z554" s="5"/>
    </row>
    <row r="555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"/>
      <c r="Y555" s="5"/>
      <c r="Z555" s="5"/>
    </row>
    <row r="556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"/>
      <c r="Y556" s="5"/>
      <c r="Z556" s="5"/>
    </row>
    <row r="557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"/>
      <c r="Y557" s="5"/>
      <c r="Z557" s="5"/>
    </row>
    <row r="558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"/>
      <c r="Y558" s="5"/>
      <c r="Z558" s="5"/>
    </row>
    <row r="559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"/>
      <c r="Y559" s="5"/>
      <c r="Z559" s="5"/>
    </row>
    <row r="560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"/>
      <c r="Y560" s="5"/>
      <c r="Z560" s="5"/>
    </row>
    <row r="561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"/>
      <c r="Y561" s="5"/>
      <c r="Z561" s="5"/>
    </row>
    <row r="56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"/>
      <c r="Y562" s="5"/>
      <c r="Z562" s="5"/>
    </row>
    <row r="563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"/>
      <c r="Y563" s="5"/>
      <c r="Z563" s="5"/>
    </row>
    <row r="564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"/>
      <c r="Y564" s="5"/>
      <c r="Z564" s="5"/>
    </row>
    <row r="565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"/>
      <c r="Y565" s="5"/>
      <c r="Z565" s="5"/>
    </row>
    <row r="566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"/>
      <c r="Y566" s="5"/>
      <c r="Z566" s="5"/>
    </row>
    <row r="567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"/>
      <c r="Y567" s="5"/>
      <c r="Z567" s="5"/>
    </row>
    <row r="568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"/>
      <c r="Y568" s="5"/>
      <c r="Z568" s="5"/>
    </row>
    <row r="569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"/>
      <c r="Y569" s="5"/>
      <c r="Z569" s="5"/>
    </row>
    <row r="570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"/>
      <c r="Y570" s="5"/>
      <c r="Z570" s="5"/>
    </row>
    <row r="571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"/>
      <c r="Y571" s="5"/>
      <c r="Z571" s="5"/>
    </row>
    <row r="57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"/>
      <c r="Y572" s="5"/>
      <c r="Z572" s="5"/>
    </row>
    <row r="573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"/>
      <c r="Y573" s="5"/>
      <c r="Z573" s="5"/>
    </row>
    <row r="574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"/>
      <c r="Y574" s="5"/>
      <c r="Z574" s="5"/>
    </row>
    <row r="575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"/>
      <c r="Y575" s="5"/>
      <c r="Z575" s="5"/>
    </row>
    <row r="576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"/>
      <c r="Y576" s="5"/>
      <c r="Z576" s="5"/>
    </row>
    <row r="577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"/>
      <c r="Y577" s="5"/>
      <c r="Z577" s="5"/>
    </row>
    <row r="578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"/>
      <c r="Y578" s="5"/>
      <c r="Z578" s="5"/>
    </row>
    <row r="579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"/>
      <c r="Y579" s="5"/>
      <c r="Z579" s="5"/>
    </row>
    <row r="580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"/>
      <c r="Y580" s="5"/>
      <c r="Z580" s="5"/>
    </row>
    <row r="581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"/>
      <c r="Y581" s="5"/>
      <c r="Z581" s="5"/>
    </row>
    <row r="58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"/>
      <c r="Y582" s="5"/>
      <c r="Z582" s="5"/>
    </row>
    <row r="583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"/>
      <c r="Y583" s="5"/>
      <c r="Z583" s="5"/>
    </row>
    <row r="584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"/>
      <c r="Y584" s="5"/>
      <c r="Z584" s="5"/>
    </row>
    <row r="585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"/>
      <c r="Y585" s="5"/>
      <c r="Z585" s="5"/>
    </row>
    <row r="586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"/>
      <c r="Y586" s="5"/>
      <c r="Z586" s="5"/>
    </row>
    <row r="587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"/>
      <c r="Y587" s="5"/>
      <c r="Z587" s="5"/>
    </row>
    <row r="588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"/>
      <c r="Y588" s="5"/>
      <c r="Z588" s="5"/>
    </row>
    <row r="589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"/>
      <c r="Y589" s="5"/>
      <c r="Z589" s="5"/>
    </row>
    <row r="590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"/>
      <c r="Y590" s="5"/>
      <c r="Z590" s="5"/>
    </row>
    <row r="591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"/>
      <c r="Y591" s="5"/>
      <c r="Z591" s="5"/>
    </row>
    <row r="59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"/>
      <c r="Y592" s="5"/>
      <c r="Z592" s="5"/>
    </row>
    <row r="593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"/>
      <c r="Y593" s="5"/>
      <c r="Z593" s="5"/>
    </row>
    <row r="594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"/>
      <c r="Y594" s="5"/>
      <c r="Z594" s="5"/>
    </row>
    <row r="595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"/>
      <c r="Y595" s="5"/>
      <c r="Z595" s="5"/>
    </row>
    <row r="596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"/>
      <c r="Y596" s="5"/>
      <c r="Z596" s="5"/>
    </row>
    <row r="597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"/>
      <c r="Y597" s="5"/>
      <c r="Z597" s="5"/>
    </row>
    <row r="598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"/>
      <c r="Y598" s="5"/>
      <c r="Z598" s="5"/>
    </row>
    <row r="599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"/>
      <c r="Y599" s="5"/>
      <c r="Z599" s="5"/>
    </row>
    <row r="600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"/>
      <c r="Y600" s="5"/>
      <c r="Z600" s="5"/>
    </row>
    <row r="601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"/>
      <c r="Y601" s="5"/>
      <c r="Z601" s="5"/>
    </row>
    <row r="60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"/>
      <c r="Y602" s="5"/>
      <c r="Z602" s="5"/>
    </row>
    <row r="603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"/>
      <c r="Y603" s="5"/>
      <c r="Z603" s="5"/>
    </row>
    <row r="604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"/>
      <c r="Y604" s="5"/>
      <c r="Z604" s="5"/>
    </row>
    <row r="605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"/>
      <c r="Y605" s="5"/>
      <c r="Z605" s="5"/>
    </row>
    <row r="606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"/>
      <c r="Y606" s="5"/>
      <c r="Z606" s="5"/>
    </row>
    <row r="607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"/>
      <c r="Y607" s="5"/>
      <c r="Z607" s="5"/>
    </row>
    <row r="608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"/>
      <c r="Y608" s="5"/>
      <c r="Z608" s="5"/>
    </row>
    <row r="609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"/>
      <c r="Y609" s="5"/>
      <c r="Z609" s="5"/>
    </row>
    <row r="610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"/>
      <c r="Y610" s="5"/>
      <c r="Z610" s="5"/>
    </row>
    <row r="611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"/>
      <c r="Y611" s="5"/>
      <c r="Z611" s="5"/>
    </row>
    <row r="61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"/>
      <c r="Y612" s="5"/>
      <c r="Z612" s="5"/>
    </row>
    <row r="613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"/>
      <c r="Y613" s="5"/>
      <c r="Z613" s="5"/>
    </row>
    <row r="614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"/>
      <c r="Y614" s="5"/>
      <c r="Z614" s="5"/>
    </row>
    <row r="615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"/>
      <c r="Y615" s="5"/>
      <c r="Z615" s="5"/>
    </row>
    <row r="616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"/>
      <c r="Y616" s="5"/>
      <c r="Z616" s="5"/>
    </row>
    <row r="617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"/>
      <c r="Y617" s="5"/>
      <c r="Z617" s="5"/>
    </row>
    <row r="618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"/>
      <c r="Y618" s="5"/>
      <c r="Z618" s="5"/>
    </row>
    <row r="619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"/>
      <c r="Y619" s="5"/>
      <c r="Z619" s="5"/>
    </row>
    <row r="620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"/>
      <c r="Y620" s="5"/>
      <c r="Z620" s="5"/>
    </row>
    <row r="621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"/>
      <c r="Y621" s="5"/>
      <c r="Z621" s="5"/>
    </row>
    <row r="62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"/>
      <c r="Y622" s="5"/>
      <c r="Z622" s="5"/>
    </row>
    <row r="623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"/>
      <c r="Y623" s="5"/>
      <c r="Z623" s="5"/>
    </row>
    <row r="624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"/>
      <c r="Y624" s="5"/>
      <c r="Z624" s="5"/>
    </row>
    <row r="625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"/>
      <c r="Y625" s="5"/>
      <c r="Z625" s="5"/>
    </row>
    <row r="626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"/>
      <c r="Y626" s="5"/>
      <c r="Z626" s="5"/>
    </row>
    <row r="627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"/>
      <c r="Y627" s="5"/>
      <c r="Z627" s="5"/>
    </row>
    <row r="628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"/>
      <c r="Y628" s="5"/>
      <c r="Z628" s="5"/>
    </row>
    <row r="629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"/>
      <c r="Y629" s="5"/>
      <c r="Z629" s="5"/>
    </row>
    <row r="630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"/>
      <c r="Y630" s="5"/>
      <c r="Z630" s="5"/>
    </row>
    <row r="631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"/>
      <c r="Y631" s="5"/>
      <c r="Z631" s="5"/>
    </row>
    <row r="63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"/>
      <c r="Y632" s="5"/>
      <c r="Z632" s="5"/>
    </row>
    <row r="633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"/>
      <c r="Y633" s="5"/>
      <c r="Z633" s="5"/>
    </row>
    <row r="634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"/>
      <c r="Y634" s="5"/>
      <c r="Z634" s="5"/>
    </row>
    <row r="635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"/>
      <c r="Y635" s="5"/>
      <c r="Z635" s="5"/>
    </row>
    <row r="636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"/>
      <c r="Y636" s="5"/>
      <c r="Z636" s="5"/>
    </row>
    <row r="637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"/>
      <c r="Y637" s="5"/>
      <c r="Z637" s="5"/>
    </row>
    <row r="638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"/>
      <c r="Y638" s="5"/>
      <c r="Z638" s="5"/>
    </row>
    <row r="639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"/>
      <c r="Y639" s="5"/>
      <c r="Z639" s="5"/>
    </row>
    <row r="640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"/>
      <c r="Y640" s="5"/>
      <c r="Z640" s="5"/>
    </row>
    <row r="641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"/>
      <c r="Y641" s="5"/>
      <c r="Z641" s="5"/>
    </row>
    <row r="64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"/>
      <c r="Y642" s="5"/>
      <c r="Z642" s="5"/>
    </row>
    <row r="643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"/>
      <c r="Y643" s="5"/>
      <c r="Z643" s="5"/>
    </row>
    <row r="644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"/>
      <c r="Y644" s="5"/>
      <c r="Z644" s="5"/>
    </row>
    <row r="645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"/>
      <c r="Y645" s="5"/>
      <c r="Z645" s="5"/>
    </row>
    <row r="646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"/>
      <c r="Y646" s="5"/>
      <c r="Z646" s="5"/>
    </row>
    <row r="647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"/>
      <c r="Y647" s="5"/>
      <c r="Z647" s="5"/>
    </row>
    <row r="648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"/>
      <c r="Y648" s="5"/>
      <c r="Z648" s="5"/>
    </row>
    <row r="649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"/>
      <c r="Y649" s="5"/>
      <c r="Z649" s="5"/>
    </row>
    <row r="650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"/>
      <c r="Y650" s="5"/>
      <c r="Z650" s="5"/>
    </row>
    <row r="651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"/>
      <c r="Y651" s="5"/>
      <c r="Z651" s="5"/>
    </row>
    <row r="65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"/>
      <c r="Y652" s="5"/>
      <c r="Z652" s="5"/>
    </row>
    <row r="653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"/>
      <c r="Y653" s="5"/>
      <c r="Z653" s="5"/>
    </row>
    <row r="654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"/>
      <c r="Y654" s="5"/>
      <c r="Z654" s="5"/>
    </row>
    <row r="655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"/>
      <c r="Y655" s="5"/>
      <c r="Z655" s="5"/>
    </row>
    <row r="656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"/>
      <c r="Y656" s="5"/>
      <c r="Z656" s="5"/>
    </row>
    <row r="657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"/>
      <c r="Y657" s="5"/>
      <c r="Z657" s="5"/>
    </row>
    <row r="658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"/>
      <c r="Y658" s="5"/>
      <c r="Z658" s="5"/>
    </row>
    <row r="659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"/>
      <c r="Y659" s="5"/>
      <c r="Z659" s="5"/>
    </row>
    <row r="660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"/>
      <c r="Y660" s="5"/>
      <c r="Z660" s="5"/>
    </row>
    <row r="661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"/>
      <c r="Y661" s="5"/>
      <c r="Z661" s="5"/>
    </row>
    <row r="66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"/>
      <c r="Y662" s="5"/>
      <c r="Z662" s="5"/>
    </row>
    <row r="663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"/>
      <c r="Y663" s="5"/>
      <c r="Z663" s="5"/>
    </row>
    <row r="664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"/>
      <c r="Y664" s="5"/>
      <c r="Z664" s="5"/>
    </row>
    <row r="665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"/>
      <c r="Y665" s="5"/>
      <c r="Z665" s="5"/>
    </row>
    <row r="666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"/>
      <c r="Y666" s="5"/>
      <c r="Z666" s="5"/>
    </row>
    <row r="667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"/>
      <c r="Y667" s="5"/>
      <c r="Z667" s="5"/>
    </row>
    <row r="668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"/>
      <c r="Y668" s="5"/>
      <c r="Z668" s="5"/>
    </row>
    <row r="669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"/>
      <c r="Y669" s="5"/>
      <c r="Z669" s="5"/>
    </row>
    <row r="670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"/>
      <c r="Y670" s="5"/>
      <c r="Z670" s="5"/>
    </row>
    <row r="671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"/>
      <c r="Y671" s="5"/>
      <c r="Z671" s="5"/>
    </row>
    <row r="67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"/>
      <c r="Y672" s="5"/>
      <c r="Z672" s="5"/>
    </row>
    <row r="673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"/>
      <c r="Y673" s="5"/>
      <c r="Z673" s="5"/>
    </row>
    <row r="674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"/>
      <c r="Y674" s="5"/>
      <c r="Z674" s="5"/>
    </row>
    <row r="675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"/>
      <c r="Y675" s="5"/>
      <c r="Z675" s="5"/>
    </row>
    <row r="676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"/>
      <c r="Y676" s="5"/>
      <c r="Z676" s="5"/>
    </row>
    <row r="677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"/>
      <c r="Y677" s="5"/>
      <c r="Z677" s="5"/>
    </row>
    <row r="678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"/>
      <c r="Y678" s="5"/>
      <c r="Z678" s="5"/>
    </row>
    <row r="679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"/>
      <c r="Y679" s="5"/>
      <c r="Z679" s="5"/>
    </row>
    <row r="680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"/>
      <c r="Y680" s="5"/>
      <c r="Z680" s="5"/>
    </row>
    <row r="681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"/>
      <c r="Y681" s="5"/>
      <c r="Z681" s="5"/>
    </row>
    <row r="68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"/>
      <c r="Y682" s="5"/>
      <c r="Z682" s="5"/>
    </row>
    <row r="683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"/>
      <c r="Y683" s="5"/>
      <c r="Z683" s="5"/>
    </row>
    <row r="684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"/>
      <c r="Y684" s="5"/>
      <c r="Z684" s="5"/>
    </row>
    <row r="685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"/>
      <c r="Y685" s="5"/>
      <c r="Z685" s="5"/>
    </row>
    <row r="686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"/>
      <c r="Y686" s="5"/>
      <c r="Z686" s="5"/>
    </row>
    <row r="687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"/>
      <c r="Y687" s="5"/>
      <c r="Z687" s="5"/>
    </row>
    <row r="688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"/>
      <c r="Y688" s="5"/>
      <c r="Z688" s="5"/>
    </row>
    <row r="689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"/>
      <c r="Y689" s="5"/>
      <c r="Z689" s="5"/>
    </row>
    <row r="690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"/>
      <c r="Y690" s="5"/>
      <c r="Z690" s="5"/>
    </row>
    <row r="691">
      <c r="A691" s="56"/>
      <c r="B691" s="57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"/>
      <c r="Y691" s="5"/>
      <c r="Z691" s="5"/>
    </row>
    <row r="692">
      <c r="A692" s="56"/>
      <c r="B692" s="57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"/>
      <c r="Y692" s="5"/>
      <c r="Z692" s="5"/>
    </row>
    <row r="693">
      <c r="A693" s="56"/>
      <c r="B693" s="57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"/>
      <c r="Y693" s="5"/>
      <c r="Z693" s="5"/>
    </row>
    <row r="694">
      <c r="A694" s="56"/>
      <c r="B694" s="57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"/>
      <c r="Y694" s="5"/>
      <c r="Z694" s="5"/>
    </row>
    <row r="695">
      <c r="A695" s="56"/>
      <c r="B695" s="57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"/>
      <c r="Y695" s="5"/>
      <c r="Z695" s="5"/>
    </row>
    <row r="696">
      <c r="A696" s="56"/>
      <c r="B696" s="57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"/>
      <c r="Y696" s="5"/>
      <c r="Z696" s="5"/>
    </row>
    <row r="697">
      <c r="A697" s="56"/>
      <c r="B697" s="57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"/>
      <c r="Y697" s="5"/>
      <c r="Z697" s="5"/>
    </row>
    <row r="698">
      <c r="A698" s="56"/>
      <c r="B698" s="57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"/>
      <c r="Y698" s="5"/>
      <c r="Z698" s="5"/>
    </row>
    <row r="699">
      <c r="A699" s="56"/>
      <c r="B699" s="57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"/>
      <c r="Y699" s="5"/>
      <c r="Z699" s="5"/>
    </row>
    <row r="700">
      <c r="A700" s="56"/>
      <c r="B700" s="57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"/>
      <c r="Y700" s="5"/>
      <c r="Z700" s="5"/>
    </row>
    <row r="701">
      <c r="A701" s="56"/>
      <c r="B701" s="57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"/>
      <c r="Y701" s="5"/>
      <c r="Z701" s="5"/>
    </row>
    <row r="702">
      <c r="A702" s="56"/>
      <c r="B702" s="57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"/>
      <c r="Y702" s="5"/>
      <c r="Z702" s="5"/>
    </row>
    <row r="703">
      <c r="A703" s="56"/>
      <c r="B703" s="57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"/>
      <c r="Y703" s="5"/>
      <c r="Z703" s="5"/>
    </row>
    <row r="704">
      <c r="A704" s="56"/>
      <c r="B704" s="57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"/>
      <c r="Y704" s="5"/>
      <c r="Z704" s="5"/>
    </row>
    <row r="705">
      <c r="A705" s="56"/>
      <c r="B705" s="57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"/>
      <c r="Y705" s="5"/>
      <c r="Z705" s="5"/>
    </row>
    <row r="706">
      <c r="A706" s="56"/>
      <c r="B706" s="57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"/>
      <c r="Y706" s="5"/>
      <c r="Z706" s="5"/>
    </row>
    <row r="707">
      <c r="A707" s="56"/>
      <c r="B707" s="57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"/>
      <c r="Y707" s="5"/>
      <c r="Z707" s="5"/>
    </row>
    <row r="708">
      <c r="A708" s="56"/>
      <c r="B708" s="57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"/>
      <c r="Y708" s="5"/>
      <c r="Z708" s="5"/>
    </row>
    <row r="709">
      <c r="A709" s="56"/>
      <c r="B709" s="57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"/>
      <c r="Y709" s="5"/>
      <c r="Z709" s="5"/>
    </row>
    <row r="710">
      <c r="A710" s="56"/>
      <c r="B710" s="57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"/>
      <c r="Y710" s="5"/>
      <c r="Z710" s="5"/>
    </row>
    <row r="711">
      <c r="A711" s="56"/>
      <c r="B711" s="57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"/>
      <c r="Y711" s="5"/>
      <c r="Z711" s="5"/>
    </row>
    <row r="712">
      <c r="A712" s="56"/>
      <c r="B712" s="57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"/>
      <c r="Y712" s="5"/>
      <c r="Z712" s="5"/>
    </row>
    <row r="713">
      <c r="A713" s="56"/>
      <c r="B713" s="57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"/>
      <c r="Y713" s="5"/>
      <c r="Z713" s="5"/>
    </row>
    <row r="714">
      <c r="A714" s="56"/>
      <c r="B714" s="57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"/>
      <c r="Y714" s="5"/>
      <c r="Z714" s="5"/>
    </row>
    <row r="715">
      <c r="A715" s="56"/>
      <c r="B715" s="57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"/>
      <c r="Y715" s="5"/>
      <c r="Z715" s="5"/>
    </row>
    <row r="716">
      <c r="A716" s="56"/>
      <c r="B716" s="57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"/>
      <c r="Y716" s="5"/>
      <c r="Z716" s="5"/>
    </row>
    <row r="717">
      <c r="A717" s="56"/>
      <c r="B717" s="57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"/>
      <c r="Y717" s="5"/>
      <c r="Z717" s="5"/>
    </row>
    <row r="718">
      <c r="A718" s="56"/>
      <c r="B718" s="57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"/>
      <c r="Y718" s="5"/>
      <c r="Z718" s="5"/>
    </row>
    <row r="719">
      <c r="A719" s="56"/>
      <c r="B719" s="57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"/>
      <c r="Y719" s="5"/>
      <c r="Z719" s="5"/>
    </row>
    <row r="720">
      <c r="A720" s="56"/>
      <c r="B720" s="57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"/>
      <c r="Y720" s="5"/>
      <c r="Z720" s="5"/>
    </row>
    <row r="721">
      <c r="A721" s="56"/>
      <c r="B721" s="57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"/>
      <c r="Y721" s="5"/>
      <c r="Z721" s="5"/>
    </row>
    <row r="722">
      <c r="A722" s="56"/>
      <c r="B722" s="57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"/>
      <c r="Y722" s="5"/>
      <c r="Z722" s="5"/>
    </row>
    <row r="723">
      <c r="A723" s="56"/>
      <c r="B723" s="57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"/>
      <c r="Y723" s="5"/>
      <c r="Z723" s="5"/>
    </row>
    <row r="724">
      <c r="A724" s="56"/>
      <c r="B724" s="57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"/>
      <c r="Y724" s="5"/>
      <c r="Z724" s="5"/>
    </row>
    <row r="725">
      <c r="A725" s="56"/>
      <c r="B725" s="57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"/>
      <c r="Y725" s="5"/>
      <c r="Z725" s="5"/>
    </row>
    <row r="726">
      <c r="A726" s="56"/>
      <c r="B726" s="57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"/>
      <c r="Y726" s="5"/>
      <c r="Z726" s="5"/>
    </row>
    <row r="727">
      <c r="A727" s="56"/>
      <c r="B727" s="57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"/>
      <c r="Y727" s="5"/>
      <c r="Z727" s="5"/>
    </row>
    <row r="728">
      <c r="A728" s="56"/>
      <c r="B728" s="57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"/>
      <c r="Y728" s="5"/>
      <c r="Z728" s="5"/>
    </row>
    <row r="729">
      <c r="A729" s="56"/>
      <c r="B729" s="57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"/>
      <c r="Y729" s="5"/>
      <c r="Z729" s="5"/>
    </row>
    <row r="730">
      <c r="A730" s="56"/>
      <c r="B730" s="57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"/>
      <c r="Y730" s="5"/>
      <c r="Z730" s="5"/>
    </row>
    <row r="731">
      <c r="A731" s="56"/>
      <c r="B731" s="57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"/>
      <c r="Y731" s="5"/>
      <c r="Z731" s="5"/>
    </row>
    <row r="732">
      <c r="A732" s="56"/>
      <c r="B732" s="57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"/>
      <c r="Y732" s="5"/>
      <c r="Z732" s="5"/>
    </row>
    <row r="733">
      <c r="A733" s="56"/>
      <c r="B733" s="57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"/>
      <c r="Y733" s="5"/>
      <c r="Z733" s="5"/>
    </row>
    <row r="734">
      <c r="A734" s="56"/>
      <c r="B734" s="57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"/>
      <c r="Y734" s="5"/>
      <c r="Z734" s="5"/>
    </row>
    <row r="735">
      <c r="A735" s="56"/>
      <c r="B735" s="57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"/>
      <c r="Y735" s="5"/>
      <c r="Z735" s="5"/>
    </row>
    <row r="736">
      <c r="A736" s="56"/>
      <c r="B736" s="57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"/>
      <c r="Y736" s="5"/>
      <c r="Z736" s="5"/>
    </row>
    <row r="737">
      <c r="A737" s="56"/>
      <c r="B737" s="57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"/>
      <c r="Y737" s="5"/>
      <c r="Z737" s="5"/>
    </row>
    <row r="738">
      <c r="A738" s="56"/>
      <c r="B738" s="57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"/>
      <c r="Y738" s="5"/>
      <c r="Z738" s="5"/>
    </row>
    <row r="739">
      <c r="A739" s="56"/>
      <c r="B739" s="57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"/>
      <c r="Y739" s="5"/>
      <c r="Z739" s="5"/>
    </row>
    <row r="740">
      <c r="A740" s="56"/>
      <c r="B740" s="57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"/>
      <c r="Y740" s="5"/>
      <c r="Z740" s="5"/>
    </row>
    <row r="741">
      <c r="A741" s="56"/>
      <c r="B741" s="57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"/>
      <c r="Y741" s="5"/>
      <c r="Z741" s="5"/>
    </row>
    <row r="742">
      <c r="A742" s="56"/>
      <c r="B742" s="57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"/>
      <c r="Y742" s="5"/>
      <c r="Z742" s="5"/>
    </row>
    <row r="743">
      <c r="A743" s="56"/>
      <c r="B743" s="57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"/>
      <c r="Y743" s="5"/>
      <c r="Z743" s="5"/>
    </row>
    <row r="744">
      <c r="A744" s="56"/>
      <c r="B744" s="57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"/>
      <c r="Y744" s="5"/>
      <c r="Z744" s="5"/>
    </row>
    <row r="745">
      <c r="A745" s="56"/>
      <c r="B745" s="57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"/>
      <c r="Y745" s="5"/>
      <c r="Z745" s="5"/>
    </row>
    <row r="746">
      <c r="A746" s="56"/>
      <c r="B746" s="57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"/>
      <c r="Y746" s="5"/>
      <c r="Z746" s="5"/>
    </row>
    <row r="747">
      <c r="A747" s="56"/>
      <c r="B747" s="57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"/>
      <c r="Y747" s="5"/>
      <c r="Z747" s="5"/>
    </row>
    <row r="748">
      <c r="A748" s="56"/>
      <c r="B748" s="57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"/>
      <c r="Y748" s="5"/>
      <c r="Z748" s="5"/>
    </row>
    <row r="749">
      <c r="A749" s="56"/>
      <c r="B749" s="57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"/>
      <c r="Y749" s="5"/>
      <c r="Z749" s="5"/>
    </row>
    <row r="750">
      <c r="A750" s="56"/>
      <c r="B750" s="57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"/>
      <c r="Y750" s="5"/>
      <c r="Z750" s="5"/>
    </row>
    <row r="751">
      <c r="A751" s="56"/>
      <c r="B751" s="57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"/>
      <c r="Y751" s="5"/>
      <c r="Z751" s="5"/>
    </row>
    <row r="752">
      <c r="A752" s="56"/>
      <c r="B752" s="57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"/>
      <c r="Y752" s="5"/>
      <c r="Z752" s="5"/>
    </row>
    <row r="753">
      <c r="A753" s="56"/>
      <c r="B753" s="57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"/>
      <c r="Y753" s="5"/>
      <c r="Z753" s="5"/>
    </row>
    <row r="754">
      <c r="A754" s="56"/>
      <c r="B754" s="57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"/>
      <c r="Y754" s="5"/>
      <c r="Z754" s="5"/>
    </row>
    <row r="755">
      <c r="A755" s="56"/>
      <c r="B755" s="57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"/>
      <c r="Y755" s="5"/>
      <c r="Z755" s="5"/>
    </row>
    <row r="756">
      <c r="A756" s="56"/>
      <c r="B756" s="57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"/>
      <c r="Y756" s="5"/>
      <c r="Z756" s="5"/>
    </row>
    <row r="757">
      <c r="A757" s="56"/>
      <c r="B757" s="57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"/>
      <c r="Y757" s="5"/>
      <c r="Z757" s="5"/>
    </row>
    <row r="758">
      <c r="A758" s="56"/>
      <c r="B758" s="57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"/>
      <c r="Y758" s="5"/>
      <c r="Z758" s="5"/>
    </row>
    <row r="759">
      <c r="A759" s="56"/>
      <c r="B759" s="57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"/>
      <c r="Y759" s="5"/>
      <c r="Z759" s="5"/>
    </row>
    <row r="760">
      <c r="A760" s="56"/>
      <c r="B760" s="57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"/>
      <c r="Y760" s="5"/>
      <c r="Z760" s="5"/>
    </row>
    <row r="761">
      <c r="A761" s="56"/>
      <c r="B761" s="57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"/>
      <c r="Y761" s="5"/>
      <c r="Z761" s="5"/>
    </row>
    <row r="762">
      <c r="A762" s="56"/>
      <c r="B762" s="57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"/>
      <c r="Y762" s="5"/>
      <c r="Z762" s="5"/>
    </row>
    <row r="763">
      <c r="A763" s="56"/>
      <c r="B763" s="57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"/>
      <c r="Y763" s="5"/>
      <c r="Z763" s="5"/>
    </row>
    <row r="764">
      <c r="A764" s="56"/>
      <c r="B764" s="57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"/>
      <c r="Y764" s="5"/>
      <c r="Z764" s="5"/>
    </row>
    <row r="765">
      <c r="A765" s="56"/>
      <c r="B765" s="57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"/>
      <c r="Y765" s="5"/>
      <c r="Z765" s="5"/>
    </row>
    <row r="766">
      <c r="A766" s="56"/>
      <c r="B766" s="57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"/>
      <c r="Y766" s="5"/>
      <c r="Z766" s="5"/>
    </row>
    <row r="767">
      <c r="A767" s="56"/>
      <c r="B767" s="57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"/>
      <c r="Y767" s="5"/>
      <c r="Z767" s="5"/>
    </row>
    <row r="768">
      <c r="A768" s="56"/>
      <c r="B768" s="57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"/>
      <c r="Y768" s="5"/>
      <c r="Z768" s="5"/>
    </row>
    <row r="769">
      <c r="A769" s="56"/>
      <c r="B769" s="57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"/>
      <c r="Y769" s="5"/>
      <c r="Z769" s="5"/>
    </row>
    <row r="770">
      <c r="A770" s="56"/>
      <c r="B770" s="57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"/>
      <c r="Y770" s="5"/>
      <c r="Z770" s="5"/>
    </row>
    <row r="771">
      <c r="A771" s="56"/>
      <c r="B771" s="57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"/>
      <c r="Y771" s="5"/>
      <c r="Z771" s="5"/>
    </row>
    <row r="772">
      <c r="A772" s="56"/>
      <c r="B772" s="57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"/>
      <c r="Y772" s="5"/>
      <c r="Z772" s="5"/>
    </row>
    <row r="773">
      <c r="A773" s="56"/>
      <c r="B773" s="57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"/>
      <c r="Y773" s="5"/>
      <c r="Z773" s="5"/>
    </row>
    <row r="774">
      <c r="A774" s="56"/>
      <c r="B774" s="57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"/>
      <c r="Y774" s="5"/>
      <c r="Z774" s="5"/>
    </row>
    <row r="775">
      <c r="A775" s="56"/>
      <c r="B775" s="57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"/>
      <c r="Y775" s="5"/>
      <c r="Z775" s="5"/>
    </row>
    <row r="776">
      <c r="A776" s="56"/>
      <c r="B776" s="57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"/>
      <c r="Y776" s="5"/>
      <c r="Z776" s="5"/>
    </row>
    <row r="777">
      <c r="A777" s="56"/>
      <c r="B777" s="57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"/>
      <c r="Y777" s="5"/>
      <c r="Z777" s="5"/>
    </row>
    <row r="778">
      <c r="A778" s="56"/>
      <c r="B778" s="57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"/>
      <c r="Y778" s="5"/>
      <c r="Z778" s="5"/>
    </row>
    <row r="779">
      <c r="A779" s="56"/>
      <c r="B779" s="57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"/>
      <c r="Y779" s="5"/>
      <c r="Z779" s="5"/>
    </row>
    <row r="780">
      <c r="A780" s="56"/>
      <c r="B780" s="57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"/>
      <c r="Y780" s="5"/>
      <c r="Z780" s="5"/>
    </row>
    <row r="781">
      <c r="A781" s="56"/>
      <c r="B781" s="57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"/>
      <c r="Y781" s="5"/>
      <c r="Z781" s="5"/>
    </row>
    <row r="782">
      <c r="A782" s="56"/>
      <c r="B782" s="57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"/>
      <c r="Y782" s="5"/>
      <c r="Z782" s="5"/>
    </row>
    <row r="783">
      <c r="A783" s="56"/>
      <c r="B783" s="57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"/>
      <c r="Y783" s="5"/>
      <c r="Z783" s="5"/>
    </row>
    <row r="784">
      <c r="A784" s="56"/>
      <c r="B784" s="57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"/>
      <c r="Y784" s="5"/>
      <c r="Z784" s="5"/>
    </row>
    <row r="785">
      <c r="A785" s="56"/>
      <c r="B785" s="57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"/>
      <c r="Y785" s="5"/>
      <c r="Z785" s="5"/>
    </row>
    <row r="786">
      <c r="A786" s="56"/>
      <c r="B786" s="57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"/>
      <c r="Y786" s="5"/>
      <c r="Z786" s="5"/>
    </row>
    <row r="787">
      <c r="A787" s="56"/>
      <c r="B787" s="57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"/>
      <c r="Y787" s="5"/>
      <c r="Z787" s="5"/>
    </row>
    <row r="788">
      <c r="A788" s="56"/>
      <c r="B788" s="57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"/>
      <c r="Y788" s="5"/>
      <c r="Z788" s="5"/>
    </row>
    <row r="789">
      <c r="A789" s="56"/>
      <c r="B789" s="57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"/>
      <c r="Y789" s="5"/>
      <c r="Z789" s="5"/>
    </row>
    <row r="790">
      <c r="A790" s="56"/>
      <c r="B790" s="57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"/>
      <c r="Y790" s="5"/>
      <c r="Z790" s="5"/>
    </row>
    <row r="791">
      <c r="A791" s="56"/>
      <c r="B791" s="57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"/>
      <c r="Y791" s="5"/>
      <c r="Z791" s="5"/>
    </row>
    <row r="792">
      <c r="A792" s="56"/>
      <c r="B792" s="57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"/>
      <c r="Y792" s="5"/>
      <c r="Z792" s="5"/>
    </row>
    <row r="793">
      <c r="A793" s="56"/>
      <c r="B793" s="57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"/>
      <c r="Y793" s="5"/>
      <c r="Z793" s="5"/>
    </row>
    <row r="794">
      <c r="A794" s="56"/>
      <c r="B794" s="57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"/>
      <c r="Y794" s="5"/>
      <c r="Z794" s="5"/>
    </row>
    <row r="795">
      <c r="A795" s="56"/>
      <c r="B795" s="57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"/>
      <c r="Y795" s="5"/>
      <c r="Z795" s="5"/>
    </row>
    <row r="796">
      <c r="A796" s="56"/>
      <c r="B796" s="57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"/>
      <c r="Y796" s="5"/>
      <c r="Z796" s="5"/>
    </row>
    <row r="797">
      <c r="A797" s="56"/>
      <c r="B797" s="57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"/>
      <c r="Y797" s="5"/>
      <c r="Z797" s="5"/>
    </row>
    <row r="798">
      <c r="A798" s="56"/>
      <c r="B798" s="57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"/>
      <c r="Y798" s="5"/>
      <c r="Z798" s="5"/>
    </row>
    <row r="799">
      <c r="A799" s="56"/>
      <c r="B799" s="57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"/>
      <c r="Y799" s="5"/>
      <c r="Z799" s="5"/>
    </row>
    <row r="800">
      <c r="A800" s="56"/>
      <c r="B800" s="57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"/>
      <c r="Y800" s="5"/>
      <c r="Z800" s="5"/>
    </row>
    <row r="801">
      <c r="A801" s="56"/>
      <c r="B801" s="57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"/>
      <c r="Y801" s="5"/>
      <c r="Z801" s="5"/>
    </row>
    <row r="802">
      <c r="A802" s="56"/>
      <c r="B802" s="57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"/>
      <c r="Y802" s="5"/>
      <c r="Z802" s="5"/>
    </row>
    <row r="803">
      <c r="A803" s="56"/>
      <c r="B803" s="57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"/>
      <c r="Y803" s="5"/>
      <c r="Z803" s="5"/>
    </row>
    <row r="804">
      <c r="A804" s="56"/>
      <c r="B804" s="57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"/>
      <c r="Y804" s="5"/>
      <c r="Z804" s="5"/>
    </row>
    <row r="805">
      <c r="A805" s="56"/>
      <c r="B805" s="57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"/>
      <c r="Y805" s="5"/>
      <c r="Z805" s="5"/>
    </row>
    <row r="806">
      <c r="A806" s="56"/>
      <c r="B806" s="57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"/>
      <c r="Y806" s="5"/>
      <c r="Z806" s="5"/>
    </row>
    <row r="807">
      <c r="A807" s="56"/>
      <c r="B807" s="57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"/>
      <c r="Y807" s="5"/>
      <c r="Z807" s="5"/>
    </row>
    <row r="808">
      <c r="A808" s="56"/>
      <c r="B808" s="57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"/>
      <c r="Y808" s="5"/>
      <c r="Z808" s="5"/>
    </row>
    <row r="809">
      <c r="A809" s="56"/>
      <c r="B809" s="57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"/>
      <c r="Y809" s="5"/>
      <c r="Z809" s="5"/>
    </row>
    <row r="810">
      <c r="A810" s="56"/>
      <c r="B810" s="57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"/>
      <c r="Y810" s="5"/>
      <c r="Z810" s="5"/>
    </row>
    <row r="811">
      <c r="A811" s="56"/>
      <c r="B811" s="57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"/>
      <c r="Y811" s="5"/>
      <c r="Z811" s="5"/>
    </row>
    <row r="812">
      <c r="A812" s="56"/>
      <c r="B812" s="57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"/>
      <c r="Y812" s="5"/>
      <c r="Z812" s="5"/>
    </row>
    <row r="813">
      <c r="A813" s="56"/>
      <c r="B813" s="57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"/>
      <c r="Y813" s="5"/>
      <c r="Z813" s="5"/>
    </row>
    <row r="814">
      <c r="A814" s="56"/>
      <c r="B814" s="57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"/>
      <c r="Y814" s="5"/>
      <c r="Z814" s="5"/>
    </row>
    <row r="815">
      <c r="A815" s="56"/>
      <c r="B815" s="57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"/>
      <c r="Y815" s="5"/>
      <c r="Z815" s="5"/>
    </row>
    <row r="816">
      <c r="A816" s="56"/>
      <c r="B816" s="57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"/>
      <c r="Y816" s="5"/>
      <c r="Z816" s="5"/>
    </row>
    <row r="817">
      <c r="A817" s="56"/>
      <c r="B817" s="57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"/>
      <c r="Y817" s="5"/>
      <c r="Z817" s="5"/>
    </row>
    <row r="818">
      <c r="A818" s="56"/>
      <c r="B818" s="57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"/>
      <c r="Y818" s="5"/>
      <c r="Z818" s="5"/>
    </row>
    <row r="819">
      <c r="A819" s="56"/>
      <c r="B819" s="57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"/>
      <c r="Y819" s="5"/>
      <c r="Z819" s="5"/>
    </row>
    <row r="820">
      <c r="A820" s="56"/>
      <c r="B820" s="57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"/>
      <c r="Y820" s="5"/>
      <c r="Z820" s="5"/>
    </row>
    <row r="821">
      <c r="A821" s="56"/>
      <c r="B821" s="57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"/>
      <c r="Y821" s="5"/>
      <c r="Z821" s="5"/>
    </row>
    <row r="822">
      <c r="A822" s="56"/>
      <c r="B822" s="57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"/>
      <c r="Y822" s="5"/>
      <c r="Z822" s="5"/>
    </row>
    <row r="823">
      <c r="A823" s="56"/>
      <c r="B823" s="57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"/>
      <c r="Y823" s="5"/>
      <c r="Z823" s="5"/>
    </row>
    <row r="824">
      <c r="A824" s="56"/>
      <c r="B824" s="57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"/>
      <c r="Y824" s="5"/>
      <c r="Z824" s="5"/>
    </row>
    <row r="825">
      <c r="A825" s="56"/>
      <c r="B825" s="57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"/>
      <c r="Y825" s="5"/>
      <c r="Z825" s="5"/>
    </row>
    <row r="826">
      <c r="A826" s="56"/>
      <c r="B826" s="57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"/>
      <c r="Y826" s="5"/>
      <c r="Z826" s="5"/>
    </row>
    <row r="827">
      <c r="A827" s="56"/>
      <c r="B827" s="57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"/>
      <c r="Y827" s="5"/>
      <c r="Z827" s="5"/>
    </row>
    <row r="828">
      <c r="A828" s="56"/>
      <c r="B828" s="57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"/>
      <c r="Y828" s="5"/>
      <c r="Z828" s="5"/>
    </row>
    <row r="829">
      <c r="A829" s="56"/>
      <c r="B829" s="57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"/>
      <c r="Y829" s="5"/>
      <c r="Z829" s="5"/>
    </row>
    <row r="830">
      <c r="A830" s="56"/>
      <c r="B830" s="57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"/>
      <c r="Y830" s="5"/>
      <c r="Z830" s="5"/>
    </row>
    <row r="831">
      <c r="A831" s="56"/>
      <c r="B831" s="57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"/>
      <c r="Y831" s="5"/>
      <c r="Z831" s="5"/>
    </row>
    <row r="832">
      <c r="A832" s="56"/>
      <c r="B832" s="57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"/>
      <c r="Y832" s="5"/>
      <c r="Z832" s="5"/>
    </row>
    <row r="833">
      <c r="A833" s="56"/>
      <c r="B833" s="57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"/>
      <c r="Y833" s="5"/>
      <c r="Z833" s="5"/>
    </row>
    <row r="834">
      <c r="A834" s="56"/>
      <c r="B834" s="57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"/>
      <c r="Y834" s="5"/>
      <c r="Z834" s="5"/>
    </row>
    <row r="835">
      <c r="A835" s="56"/>
      <c r="B835" s="57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"/>
      <c r="Y835" s="5"/>
      <c r="Z835" s="5"/>
    </row>
    <row r="836">
      <c r="A836" s="56"/>
      <c r="B836" s="57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"/>
      <c r="Y836" s="5"/>
      <c r="Z836" s="5"/>
    </row>
    <row r="837">
      <c r="A837" s="56"/>
      <c r="B837" s="57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"/>
      <c r="Y837" s="5"/>
      <c r="Z837" s="5"/>
    </row>
    <row r="838">
      <c r="A838" s="56"/>
      <c r="B838" s="57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"/>
      <c r="Y838" s="5"/>
      <c r="Z838" s="5"/>
    </row>
    <row r="839">
      <c r="A839" s="56"/>
      <c r="B839" s="57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"/>
      <c r="Y839" s="5"/>
      <c r="Z839" s="5"/>
    </row>
    <row r="840">
      <c r="A840" s="56"/>
      <c r="B840" s="57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"/>
      <c r="Y840" s="5"/>
      <c r="Z840" s="5"/>
    </row>
    <row r="841">
      <c r="A841" s="56"/>
      <c r="B841" s="57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"/>
      <c r="Y841" s="5"/>
      <c r="Z841" s="5"/>
    </row>
    <row r="842">
      <c r="A842" s="56"/>
      <c r="B842" s="57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"/>
      <c r="Y842" s="5"/>
      <c r="Z842" s="5"/>
    </row>
    <row r="843">
      <c r="A843" s="56"/>
      <c r="B843" s="57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"/>
      <c r="Y843" s="5"/>
      <c r="Z843" s="5"/>
    </row>
    <row r="844">
      <c r="A844" s="56"/>
      <c r="B844" s="57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"/>
      <c r="Y844" s="5"/>
      <c r="Z844" s="5"/>
    </row>
    <row r="845">
      <c r="A845" s="56"/>
      <c r="B845" s="57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"/>
      <c r="Y845" s="5"/>
      <c r="Z845" s="5"/>
    </row>
    <row r="846">
      <c r="A846" s="56"/>
      <c r="B846" s="57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"/>
      <c r="Y846" s="5"/>
      <c r="Z846" s="5"/>
    </row>
    <row r="847">
      <c r="A847" s="56"/>
      <c r="B847" s="57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"/>
      <c r="Y847" s="5"/>
      <c r="Z847" s="5"/>
    </row>
    <row r="848">
      <c r="A848" s="56"/>
      <c r="B848" s="57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"/>
      <c r="Y848" s="5"/>
      <c r="Z848" s="5"/>
    </row>
    <row r="849">
      <c r="A849" s="56"/>
      <c r="B849" s="57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"/>
      <c r="Y849" s="5"/>
      <c r="Z849" s="5"/>
    </row>
    <row r="850">
      <c r="A850" s="56"/>
      <c r="B850" s="57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"/>
      <c r="Y850" s="5"/>
      <c r="Z850" s="5"/>
    </row>
    <row r="851">
      <c r="A851" s="56"/>
      <c r="B851" s="57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"/>
      <c r="Y851" s="5"/>
      <c r="Z851" s="5"/>
    </row>
    <row r="852">
      <c r="A852" s="56"/>
      <c r="B852" s="57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"/>
      <c r="Y852" s="5"/>
      <c r="Z852" s="5"/>
    </row>
    <row r="853">
      <c r="A853" s="56"/>
      <c r="B853" s="57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"/>
      <c r="Y853" s="5"/>
      <c r="Z853" s="5"/>
    </row>
    <row r="854">
      <c r="A854" s="56"/>
      <c r="B854" s="57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"/>
      <c r="Y854" s="5"/>
      <c r="Z854" s="5"/>
    </row>
    <row r="855">
      <c r="A855" s="56"/>
      <c r="B855" s="57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"/>
      <c r="Y855" s="5"/>
      <c r="Z855" s="5"/>
    </row>
    <row r="856">
      <c r="A856" s="56"/>
      <c r="B856" s="57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"/>
      <c r="Y856" s="5"/>
      <c r="Z856" s="5"/>
    </row>
    <row r="857">
      <c r="A857" s="56"/>
      <c r="B857" s="57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"/>
      <c r="Y857" s="5"/>
      <c r="Z857" s="5"/>
    </row>
    <row r="858">
      <c r="A858" s="56"/>
      <c r="B858" s="57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"/>
      <c r="Y858" s="5"/>
      <c r="Z858" s="5"/>
    </row>
    <row r="859">
      <c r="A859" s="56"/>
      <c r="B859" s="57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"/>
      <c r="Y859" s="5"/>
      <c r="Z859" s="5"/>
    </row>
    <row r="860">
      <c r="A860" s="56"/>
      <c r="B860" s="57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"/>
      <c r="Y860" s="5"/>
      <c r="Z860" s="5"/>
    </row>
    <row r="861">
      <c r="A861" s="56"/>
      <c r="B861" s="57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"/>
      <c r="Y861" s="5"/>
      <c r="Z861" s="5"/>
    </row>
    <row r="862">
      <c r="A862" s="56"/>
      <c r="B862" s="57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"/>
      <c r="Y862" s="5"/>
      <c r="Z862" s="5"/>
    </row>
    <row r="863">
      <c r="A863" s="56"/>
      <c r="B863" s="57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"/>
      <c r="Y863" s="5"/>
      <c r="Z863" s="5"/>
    </row>
    <row r="864">
      <c r="A864" s="56"/>
      <c r="B864" s="57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"/>
      <c r="Y864" s="5"/>
      <c r="Z864" s="5"/>
    </row>
    <row r="865">
      <c r="A865" s="56"/>
      <c r="B865" s="57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"/>
      <c r="Y865" s="5"/>
      <c r="Z865" s="5"/>
    </row>
    <row r="866">
      <c r="A866" s="56"/>
      <c r="B866" s="57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"/>
      <c r="Y866" s="5"/>
      <c r="Z866" s="5"/>
    </row>
    <row r="867">
      <c r="A867" s="56"/>
      <c r="B867" s="57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"/>
      <c r="Y867" s="5"/>
      <c r="Z867" s="5"/>
    </row>
    <row r="868">
      <c r="A868" s="56"/>
      <c r="B868" s="57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"/>
      <c r="Y868" s="5"/>
      <c r="Z868" s="5"/>
    </row>
    <row r="869">
      <c r="A869" s="56"/>
      <c r="B869" s="57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"/>
      <c r="Y869" s="5"/>
      <c r="Z869" s="5"/>
    </row>
    <row r="870">
      <c r="A870" s="56"/>
      <c r="B870" s="57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"/>
      <c r="Y870" s="5"/>
      <c r="Z870" s="5"/>
    </row>
    <row r="871">
      <c r="A871" s="56"/>
      <c r="B871" s="57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"/>
      <c r="Y871" s="5"/>
      <c r="Z871" s="5"/>
    </row>
    <row r="872">
      <c r="A872" s="56"/>
      <c r="B872" s="57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"/>
      <c r="Y872" s="5"/>
      <c r="Z872" s="5"/>
    </row>
    <row r="873">
      <c r="A873" s="56"/>
      <c r="B873" s="57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"/>
      <c r="Y873" s="5"/>
      <c r="Z873" s="5"/>
    </row>
    <row r="874">
      <c r="A874" s="56"/>
      <c r="B874" s="57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"/>
      <c r="Y874" s="5"/>
      <c r="Z874" s="5"/>
    </row>
    <row r="875">
      <c r="A875" s="56"/>
      <c r="B875" s="57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"/>
      <c r="Y875" s="5"/>
      <c r="Z875" s="5"/>
    </row>
    <row r="876">
      <c r="A876" s="56"/>
      <c r="B876" s="57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"/>
      <c r="Y876" s="5"/>
      <c r="Z876" s="5"/>
    </row>
    <row r="877">
      <c r="A877" s="56"/>
      <c r="B877" s="57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"/>
      <c r="Y877" s="5"/>
      <c r="Z877" s="5"/>
    </row>
    <row r="878">
      <c r="A878" s="56"/>
      <c r="B878" s="57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"/>
      <c r="Y878" s="5"/>
      <c r="Z878" s="5"/>
    </row>
    <row r="879">
      <c r="A879" s="56"/>
      <c r="B879" s="57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"/>
      <c r="Y879" s="5"/>
      <c r="Z879" s="5"/>
    </row>
    <row r="880">
      <c r="A880" s="56"/>
      <c r="B880" s="57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"/>
      <c r="Y880" s="5"/>
      <c r="Z880" s="5"/>
    </row>
    <row r="881">
      <c r="A881" s="56"/>
      <c r="B881" s="57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"/>
      <c r="Y881" s="5"/>
      <c r="Z881" s="5"/>
    </row>
    <row r="882">
      <c r="A882" s="56"/>
      <c r="B882" s="57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"/>
      <c r="Y882" s="5"/>
      <c r="Z882" s="5"/>
    </row>
    <row r="883">
      <c r="A883" s="56"/>
      <c r="B883" s="57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"/>
      <c r="Y883" s="5"/>
      <c r="Z883" s="5"/>
    </row>
    <row r="884">
      <c r="A884" s="56"/>
      <c r="B884" s="57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"/>
      <c r="Y884" s="5"/>
      <c r="Z884" s="5"/>
    </row>
    <row r="885">
      <c r="A885" s="56"/>
      <c r="B885" s="57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"/>
      <c r="Y885" s="5"/>
      <c r="Z885" s="5"/>
    </row>
    <row r="886">
      <c r="A886" s="56"/>
      <c r="B886" s="57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"/>
      <c r="Y886" s="5"/>
      <c r="Z886" s="5"/>
    </row>
    <row r="887">
      <c r="A887" s="56"/>
      <c r="B887" s="57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"/>
      <c r="Y887" s="5"/>
      <c r="Z887" s="5"/>
    </row>
    <row r="888">
      <c r="A888" s="56"/>
      <c r="B888" s="57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"/>
      <c r="Y888" s="5"/>
      <c r="Z888" s="5"/>
    </row>
    <row r="889">
      <c r="A889" s="56"/>
      <c r="B889" s="57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"/>
      <c r="Y889" s="5"/>
      <c r="Z889" s="5"/>
    </row>
    <row r="890">
      <c r="A890" s="56"/>
      <c r="B890" s="57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"/>
      <c r="Y890" s="5"/>
      <c r="Z890" s="5"/>
    </row>
    <row r="891">
      <c r="A891" s="56"/>
      <c r="B891" s="57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"/>
      <c r="Y891" s="5"/>
      <c r="Z891" s="5"/>
    </row>
    <row r="892">
      <c r="A892" s="56"/>
      <c r="B892" s="57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"/>
      <c r="Y892" s="5"/>
      <c r="Z892" s="5"/>
    </row>
    <row r="893">
      <c r="A893" s="56"/>
      <c r="B893" s="57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"/>
      <c r="Y893" s="5"/>
      <c r="Z893" s="5"/>
    </row>
    <row r="894">
      <c r="A894" s="56"/>
      <c r="B894" s="57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"/>
      <c r="Y894" s="5"/>
      <c r="Z894" s="5"/>
    </row>
    <row r="895">
      <c r="A895" s="56"/>
      <c r="B895" s="57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"/>
      <c r="Y895" s="5"/>
      <c r="Z895" s="5"/>
    </row>
    <row r="896">
      <c r="A896" s="56"/>
      <c r="B896" s="57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"/>
      <c r="Y896" s="5"/>
      <c r="Z896" s="5"/>
    </row>
    <row r="897">
      <c r="A897" s="56"/>
      <c r="B897" s="57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"/>
      <c r="Y897" s="5"/>
      <c r="Z897" s="5"/>
    </row>
    <row r="898">
      <c r="A898" s="56"/>
      <c r="B898" s="57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"/>
      <c r="Y898" s="5"/>
      <c r="Z898" s="5"/>
    </row>
    <row r="899">
      <c r="A899" s="56"/>
      <c r="B899" s="57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"/>
      <c r="Y899" s="5"/>
      <c r="Z899" s="5"/>
    </row>
    <row r="900">
      <c r="A900" s="56"/>
      <c r="B900" s="57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"/>
      <c r="Y900" s="5"/>
      <c r="Z900" s="5"/>
    </row>
    <row r="901">
      <c r="A901" s="56"/>
      <c r="B901" s="57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"/>
      <c r="Y901" s="5"/>
      <c r="Z901" s="5"/>
    </row>
    <row r="902">
      <c r="A902" s="56"/>
      <c r="B902" s="57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"/>
      <c r="Y902" s="5"/>
      <c r="Z902" s="5"/>
    </row>
    <row r="903">
      <c r="A903" s="56"/>
      <c r="B903" s="57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"/>
      <c r="Y903" s="5"/>
      <c r="Z903" s="5"/>
    </row>
    <row r="904">
      <c r="A904" s="56"/>
      <c r="B904" s="57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"/>
      <c r="Y904" s="5"/>
      <c r="Z904" s="5"/>
    </row>
    <row r="905">
      <c r="A905" s="56"/>
      <c r="B905" s="57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"/>
      <c r="Y905" s="5"/>
      <c r="Z905" s="5"/>
    </row>
    <row r="906">
      <c r="A906" s="56"/>
      <c r="B906" s="57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"/>
      <c r="Y906" s="5"/>
      <c r="Z906" s="5"/>
    </row>
    <row r="907">
      <c r="A907" s="56"/>
      <c r="B907" s="57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"/>
      <c r="Y907" s="5"/>
      <c r="Z907" s="5"/>
    </row>
    <row r="908">
      <c r="A908" s="56"/>
      <c r="B908" s="57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"/>
      <c r="Y908" s="5"/>
      <c r="Z908" s="5"/>
    </row>
    <row r="909">
      <c r="A909" s="56"/>
      <c r="B909" s="57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"/>
      <c r="Y909" s="5"/>
      <c r="Z909" s="5"/>
    </row>
    <row r="910">
      <c r="A910" s="56"/>
      <c r="B910" s="57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"/>
      <c r="Y910" s="5"/>
      <c r="Z910" s="5"/>
    </row>
    <row r="911">
      <c r="A911" s="56"/>
      <c r="B911" s="57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"/>
      <c r="Y911" s="5"/>
      <c r="Z911" s="5"/>
    </row>
    <row r="912">
      <c r="A912" s="56"/>
      <c r="B912" s="57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"/>
      <c r="Y912" s="5"/>
      <c r="Z912" s="5"/>
    </row>
    <row r="913">
      <c r="A913" s="56"/>
      <c r="B913" s="57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"/>
      <c r="Y913" s="5"/>
      <c r="Z913" s="5"/>
    </row>
    <row r="914">
      <c r="A914" s="56"/>
      <c r="B914" s="57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"/>
      <c r="Y914" s="5"/>
      <c r="Z914" s="5"/>
    </row>
    <row r="915">
      <c r="A915" s="56"/>
      <c r="B915" s="57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"/>
      <c r="Y915" s="5"/>
      <c r="Z915" s="5"/>
    </row>
    <row r="916">
      <c r="A916" s="56"/>
      <c r="B916" s="57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"/>
      <c r="Y916" s="5"/>
      <c r="Z916" s="5"/>
    </row>
    <row r="917">
      <c r="A917" s="56"/>
      <c r="B917" s="57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"/>
      <c r="Y917" s="5"/>
      <c r="Z917" s="5"/>
    </row>
    <row r="918">
      <c r="A918" s="56"/>
      <c r="B918" s="57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"/>
      <c r="Y918" s="5"/>
      <c r="Z918" s="5"/>
    </row>
    <row r="919">
      <c r="A919" s="56"/>
      <c r="B919" s="57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"/>
      <c r="Y919" s="5"/>
      <c r="Z919" s="5"/>
    </row>
    <row r="920">
      <c r="A920" s="56"/>
      <c r="B920" s="57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"/>
      <c r="Y920" s="5"/>
      <c r="Z920" s="5"/>
    </row>
    <row r="921">
      <c r="A921" s="56"/>
      <c r="B921" s="57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"/>
      <c r="Y921" s="5"/>
      <c r="Z921" s="5"/>
    </row>
    <row r="922">
      <c r="A922" s="56"/>
      <c r="B922" s="57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"/>
      <c r="Y922" s="5"/>
      <c r="Z922" s="5"/>
    </row>
    <row r="923">
      <c r="A923" s="56"/>
      <c r="B923" s="57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"/>
      <c r="Y923" s="5"/>
      <c r="Z923" s="5"/>
    </row>
    <row r="924">
      <c r="A924" s="56"/>
      <c r="B924" s="57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"/>
      <c r="Y924" s="5"/>
      <c r="Z924" s="5"/>
    </row>
    <row r="925">
      <c r="A925" s="56"/>
      <c r="B925" s="57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"/>
      <c r="Y925" s="5"/>
      <c r="Z925" s="5"/>
    </row>
    <row r="926">
      <c r="A926" s="56"/>
      <c r="B926" s="57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"/>
      <c r="Y926" s="5"/>
      <c r="Z926" s="5"/>
    </row>
    <row r="927">
      <c r="A927" s="56"/>
      <c r="B927" s="57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"/>
      <c r="Y927" s="5"/>
      <c r="Z927" s="5"/>
    </row>
    <row r="928">
      <c r="A928" s="56"/>
      <c r="B928" s="57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"/>
      <c r="Y928" s="5"/>
      <c r="Z928" s="5"/>
    </row>
    <row r="929">
      <c r="A929" s="56"/>
      <c r="B929" s="57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"/>
      <c r="Y929" s="5"/>
      <c r="Z929" s="5"/>
    </row>
    <row r="930">
      <c r="A930" s="56"/>
      <c r="B930" s="57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"/>
      <c r="Y930" s="5"/>
      <c r="Z930" s="5"/>
    </row>
    <row r="931">
      <c r="A931" s="56"/>
      <c r="B931" s="57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"/>
      <c r="Y931" s="5"/>
      <c r="Z931" s="5"/>
    </row>
    <row r="932">
      <c r="A932" s="56"/>
      <c r="B932" s="57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"/>
      <c r="Y932" s="5"/>
      <c r="Z932" s="5"/>
    </row>
    <row r="933">
      <c r="A933" s="56"/>
      <c r="B933" s="57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"/>
      <c r="Y933" s="5"/>
      <c r="Z933" s="5"/>
    </row>
    <row r="934">
      <c r="A934" s="56"/>
      <c r="B934" s="57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"/>
      <c r="Y934" s="5"/>
      <c r="Z934" s="5"/>
    </row>
    <row r="935">
      <c r="A935" s="56"/>
      <c r="B935" s="57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"/>
      <c r="Y935" s="5"/>
      <c r="Z935" s="5"/>
    </row>
    <row r="936">
      <c r="A936" s="56"/>
      <c r="B936" s="57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"/>
      <c r="Y936" s="5"/>
      <c r="Z936" s="5"/>
    </row>
    <row r="937">
      <c r="A937" s="56"/>
      <c r="B937" s="57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"/>
      <c r="Y937" s="5"/>
      <c r="Z937" s="5"/>
    </row>
    <row r="938">
      <c r="A938" s="56"/>
      <c r="B938" s="57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"/>
      <c r="Y938" s="5"/>
      <c r="Z938" s="5"/>
    </row>
    <row r="939">
      <c r="A939" s="56"/>
      <c r="B939" s="57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"/>
      <c r="Y939" s="5"/>
      <c r="Z939" s="5"/>
    </row>
    <row r="940">
      <c r="A940" s="56"/>
      <c r="B940" s="57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"/>
      <c r="Y940" s="5"/>
      <c r="Z940" s="5"/>
    </row>
    <row r="941">
      <c r="A941" s="56"/>
      <c r="B941" s="57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"/>
      <c r="Y941" s="5"/>
      <c r="Z941" s="5"/>
    </row>
    <row r="942">
      <c r="A942" s="56"/>
      <c r="B942" s="57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"/>
      <c r="Y942" s="5"/>
      <c r="Z942" s="5"/>
    </row>
    <row r="943">
      <c r="A943" s="56"/>
      <c r="B943" s="57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"/>
      <c r="Y943" s="5"/>
      <c r="Z943" s="5"/>
    </row>
    <row r="944">
      <c r="A944" s="56"/>
      <c r="B944" s="57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"/>
      <c r="Y944" s="5"/>
      <c r="Z944" s="5"/>
    </row>
    <row r="945">
      <c r="A945" s="56"/>
      <c r="B945" s="57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"/>
      <c r="Y945" s="5"/>
      <c r="Z945" s="5"/>
    </row>
    <row r="946">
      <c r="A946" s="56"/>
      <c r="B946" s="57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"/>
      <c r="Y946" s="5"/>
      <c r="Z946" s="5"/>
    </row>
    <row r="947">
      <c r="A947" s="56"/>
      <c r="B947" s="57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"/>
      <c r="Y947" s="5"/>
      <c r="Z947" s="5"/>
    </row>
    <row r="948">
      <c r="A948" s="56"/>
      <c r="B948" s="57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"/>
      <c r="Y948" s="5"/>
      <c r="Z948" s="5"/>
    </row>
    <row r="949">
      <c r="A949" s="56"/>
      <c r="B949" s="57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"/>
      <c r="Y949" s="5"/>
      <c r="Z949" s="5"/>
    </row>
    <row r="950">
      <c r="A950" s="56"/>
      <c r="B950" s="57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"/>
      <c r="Y950" s="5"/>
      <c r="Z950" s="5"/>
    </row>
    <row r="951">
      <c r="A951" s="56"/>
      <c r="B951" s="57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"/>
      <c r="Y951" s="5"/>
      <c r="Z951" s="5"/>
    </row>
    <row r="952">
      <c r="A952" s="56"/>
      <c r="B952" s="57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"/>
      <c r="Y952" s="5"/>
      <c r="Z952" s="5"/>
    </row>
    <row r="953">
      <c r="A953" s="56"/>
      <c r="B953" s="57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"/>
      <c r="Y953" s="5"/>
      <c r="Z953" s="5"/>
    </row>
    <row r="954">
      <c r="A954" s="56"/>
      <c r="B954" s="57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"/>
      <c r="Y954" s="5"/>
      <c r="Z954" s="5"/>
    </row>
    <row r="955">
      <c r="A955" s="56"/>
      <c r="B955" s="57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"/>
      <c r="Y955" s="5"/>
      <c r="Z955" s="5"/>
    </row>
    <row r="956">
      <c r="A956" s="56"/>
      <c r="B956" s="57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"/>
      <c r="Y956" s="5"/>
      <c r="Z956" s="5"/>
    </row>
    <row r="957">
      <c r="A957" s="56"/>
      <c r="B957" s="57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"/>
      <c r="Y957" s="5"/>
      <c r="Z957" s="5"/>
    </row>
    <row r="958">
      <c r="A958" s="56"/>
      <c r="B958" s="57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"/>
      <c r="Y958" s="5"/>
      <c r="Z958" s="5"/>
    </row>
    <row r="959">
      <c r="A959" s="56"/>
      <c r="B959" s="57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"/>
      <c r="Y959" s="5"/>
      <c r="Z959" s="5"/>
    </row>
    <row r="960">
      <c r="A960" s="56"/>
      <c r="B960" s="57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"/>
      <c r="Y960" s="5"/>
      <c r="Z960" s="5"/>
    </row>
    <row r="961">
      <c r="A961" s="56"/>
      <c r="B961" s="57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"/>
      <c r="Y961" s="5"/>
      <c r="Z961" s="5"/>
    </row>
    <row r="962">
      <c r="A962" s="56"/>
      <c r="B962" s="57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"/>
      <c r="Y962" s="5"/>
      <c r="Z962" s="5"/>
    </row>
    <row r="963">
      <c r="A963" s="56"/>
      <c r="B963" s="57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"/>
      <c r="Y963" s="5"/>
      <c r="Z963" s="5"/>
    </row>
    <row r="964">
      <c r="A964" s="56"/>
      <c r="B964" s="57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"/>
      <c r="Y964" s="5"/>
      <c r="Z964" s="5"/>
    </row>
    <row r="965">
      <c r="A965" s="56"/>
      <c r="B965" s="57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"/>
      <c r="Y965" s="5"/>
      <c r="Z965" s="5"/>
    </row>
    <row r="966">
      <c r="A966" s="56"/>
      <c r="B966" s="57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"/>
      <c r="Y966" s="5"/>
      <c r="Z966" s="5"/>
    </row>
    <row r="967">
      <c r="A967" s="56"/>
      <c r="B967" s="57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"/>
      <c r="Y967" s="5"/>
      <c r="Z967" s="5"/>
    </row>
    <row r="968">
      <c r="A968" s="56"/>
      <c r="B968" s="57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"/>
      <c r="Y968" s="5"/>
      <c r="Z968" s="5"/>
    </row>
    <row r="969">
      <c r="A969" s="56"/>
      <c r="B969" s="57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"/>
      <c r="Y969" s="5"/>
      <c r="Z969" s="5"/>
    </row>
    <row r="970">
      <c r="A970" s="56"/>
      <c r="B970" s="57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"/>
      <c r="Y970" s="5"/>
      <c r="Z970" s="5"/>
    </row>
    <row r="971">
      <c r="A971" s="56"/>
      <c r="B971" s="57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"/>
      <c r="Y971" s="5"/>
      <c r="Z971" s="5"/>
    </row>
    <row r="972">
      <c r="A972" s="56"/>
      <c r="B972" s="57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"/>
      <c r="Y972" s="5"/>
      <c r="Z972" s="5"/>
    </row>
    <row r="973">
      <c r="A973" s="56"/>
      <c r="B973" s="57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"/>
      <c r="Y973" s="5"/>
      <c r="Z973" s="5"/>
    </row>
    <row r="974">
      <c r="A974" s="56"/>
      <c r="B974" s="57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"/>
      <c r="Y974" s="5"/>
      <c r="Z974" s="5"/>
    </row>
    <row r="975">
      <c r="A975" s="56"/>
      <c r="B975" s="57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"/>
      <c r="Y975" s="5"/>
      <c r="Z975" s="5"/>
    </row>
    <row r="976">
      <c r="A976" s="56"/>
      <c r="B976" s="57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"/>
      <c r="Y976" s="5"/>
      <c r="Z976" s="5"/>
    </row>
    <row r="977">
      <c r="A977" s="56"/>
      <c r="B977" s="57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"/>
      <c r="Y977" s="5"/>
      <c r="Z977" s="5"/>
    </row>
    <row r="978">
      <c r="A978" s="56"/>
      <c r="B978" s="57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"/>
      <c r="Y978" s="5"/>
      <c r="Z978" s="5"/>
    </row>
    <row r="979">
      <c r="A979" s="56"/>
      <c r="B979" s="57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"/>
      <c r="Y979" s="5"/>
      <c r="Z979" s="5"/>
    </row>
    <row r="980">
      <c r="A980" s="56"/>
      <c r="B980" s="57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"/>
      <c r="Y980" s="5"/>
      <c r="Z980" s="5"/>
    </row>
    <row r="981">
      <c r="A981" s="56"/>
      <c r="B981" s="57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"/>
      <c r="Y981" s="5"/>
      <c r="Z981" s="5"/>
    </row>
    <row r="982">
      <c r="A982" s="56"/>
      <c r="B982" s="57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"/>
      <c r="Y982" s="5"/>
      <c r="Z982" s="5"/>
    </row>
    <row r="983">
      <c r="A983" s="56"/>
      <c r="B983" s="57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"/>
      <c r="Y983" s="5"/>
      <c r="Z983" s="5"/>
    </row>
    <row r="984">
      <c r="A984" s="56"/>
      <c r="B984" s="57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"/>
      <c r="Y984" s="5"/>
      <c r="Z984" s="5"/>
    </row>
    <row r="985">
      <c r="A985" s="56"/>
      <c r="B985" s="57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"/>
      <c r="Y985" s="5"/>
      <c r="Z985" s="5"/>
    </row>
    <row r="986">
      <c r="A986" s="56"/>
      <c r="B986" s="57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"/>
      <c r="Y986" s="5"/>
      <c r="Z986" s="5"/>
    </row>
    <row r="987">
      <c r="A987" s="56"/>
      <c r="B987" s="57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"/>
      <c r="Y987" s="5"/>
      <c r="Z987" s="5"/>
    </row>
    <row r="988">
      <c r="A988" s="56"/>
      <c r="B988" s="57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"/>
      <c r="Y988" s="5"/>
      <c r="Z988" s="5"/>
    </row>
    <row r="989">
      <c r="A989" s="56"/>
      <c r="B989" s="57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"/>
      <c r="Y989" s="5"/>
      <c r="Z989" s="5"/>
    </row>
    <row r="990">
      <c r="A990" s="56"/>
      <c r="B990" s="57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"/>
      <c r="Y990" s="5"/>
      <c r="Z990" s="5"/>
    </row>
    <row r="991">
      <c r="A991" s="56"/>
      <c r="B991" s="57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"/>
      <c r="Y991" s="5"/>
      <c r="Z991" s="5"/>
    </row>
    <row r="992">
      <c r="A992" s="56"/>
      <c r="B992" s="57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"/>
      <c r="Y992" s="5"/>
      <c r="Z992" s="5"/>
    </row>
    <row r="993">
      <c r="A993" s="56"/>
      <c r="B993" s="57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"/>
      <c r="Y993" s="5"/>
      <c r="Z993" s="5"/>
    </row>
    <row r="994">
      <c r="A994" s="56"/>
      <c r="B994" s="57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"/>
      <c r="Y994" s="5"/>
      <c r="Z994" s="5"/>
    </row>
    <row r="995">
      <c r="A995" s="56"/>
      <c r="B995" s="57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"/>
      <c r="Y995" s="5"/>
      <c r="Z995" s="5"/>
    </row>
    <row r="996">
      <c r="A996" s="56"/>
      <c r="B996" s="57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"/>
      <c r="Y996" s="5"/>
      <c r="Z996" s="5"/>
    </row>
    <row r="997">
      <c r="A997" s="56"/>
      <c r="B997" s="57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"/>
      <c r="Y997" s="5"/>
      <c r="Z997" s="5"/>
    </row>
    <row r="998">
      <c r="A998" s="56"/>
      <c r="B998" s="57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"/>
      <c r="Y998" s="5"/>
      <c r="Z998" s="5"/>
    </row>
    <row r="999">
      <c r="A999" s="56"/>
      <c r="B999" s="57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"/>
      <c r="Y999" s="5"/>
      <c r="Z999" s="5"/>
    </row>
    <row r="1000">
      <c r="A1000" s="56"/>
      <c r="B1000" s="57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"/>
      <c r="Y1000" s="5"/>
      <c r="Z1000" s="5"/>
    </row>
    <row r="1001">
      <c r="A1001" s="56"/>
      <c r="B1001" s="57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"/>
      <c r="Y1001" s="5"/>
      <c r="Z1001" s="5"/>
    </row>
    <row r="1002">
      <c r="A1002" s="56"/>
      <c r="B1002" s="57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"/>
      <c r="Y1002" s="5"/>
      <c r="Z1002" s="5"/>
    </row>
    <row r="1003">
      <c r="A1003" s="56"/>
      <c r="B1003" s="57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"/>
      <c r="Y1003" s="5"/>
      <c r="Z1003" s="5"/>
    </row>
    <row r="1004">
      <c r="A1004" s="56"/>
      <c r="B1004" s="57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"/>
      <c r="Y1004" s="5"/>
      <c r="Z1004" s="5"/>
    </row>
    <row r="1005">
      <c r="A1005" s="56"/>
      <c r="B1005" s="57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"/>
      <c r="Y1005" s="5"/>
      <c r="Z1005" s="5"/>
    </row>
    <row r="1006">
      <c r="A1006" s="56"/>
      <c r="B1006" s="57"/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"/>
      <c r="Y1006" s="5"/>
      <c r="Z1006" s="5"/>
    </row>
    <row r="1007">
      <c r="A1007" s="56"/>
      <c r="B1007" s="57"/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"/>
      <c r="Y1007" s="5"/>
      <c r="Z1007" s="5"/>
    </row>
    <row r="1008">
      <c r="A1008" s="56"/>
      <c r="B1008" s="57"/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"/>
      <c r="Y1008" s="5"/>
      <c r="Z1008" s="5"/>
    </row>
    <row r="1009">
      <c r="A1009" s="56"/>
      <c r="B1009" s="57"/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"/>
      <c r="Y1009" s="5"/>
      <c r="Z1009" s="5"/>
    </row>
    <row r="1010">
      <c r="A1010" s="56"/>
      <c r="B1010" s="57"/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"/>
      <c r="Y1010" s="5"/>
      <c r="Z1010" s="5"/>
    </row>
    <row r="1011">
      <c r="A1011" s="56"/>
      <c r="B1011" s="57"/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"/>
      <c r="Y1011" s="5"/>
      <c r="Z1011" s="5"/>
    </row>
    <row r="1012">
      <c r="A1012" s="56"/>
      <c r="B1012" s="57"/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"/>
      <c r="Y1012" s="5"/>
      <c r="Z1012" s="5"/>
    </row>
    <row r="1013">
      <c r="A1013" s="56"/>
      <c r="B1013" s="57"/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6"/>
      <c r="X1013" s="5"/>
      <c r="Y1013" s="5"/>
      <c r="Z1013" s="5"/>
    </row>
    <row r="1014">
      <c r="A1014" s="56"/>
      <c r="B1014" s="57"/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6"/>
      <c r="X1014" s="5"/>
      <c r="Y1014" s="5"/>
      <c r="Z1014" s="5"/>
    </row>
    <row r="1015">
      <c r="A1015" s="56"/>
      <c r="B1015" s="57"/>
      <c r="C1015" s="56"/>
      <c r="D1015" s="56"/>
      <c r="E1015" s="56"/>
      <c r="F1015" s="56"/>
      <c r="G1015" s="56"/>
      <c r="H1015" s="56"/>
      <c r="I1015" s="56"/>
      <c r="J1015" s="56"/>
      <c r="K1015" s="56"/>
      <c r="L1015" s="56"/>
      <c r="M1015" s="56"/>
      <c r="N1015" s="56"/>
      <c r="O1015" s="56"/>
      <c r="P1015" s="56"/>
      <c r="Q1015" s="56"/>
      <c r="R1015" s="56"/>
      <c r="S1015" s="56"/>
      <c r="T1015" s="56"/>
      <c r="U1015" s="56"/>
      <c r="V1015" s="56"/>
      <c r="W1015" s="56"/>
      <c r="X1015" s="5"/>
      <c r="Y1015" s="5"/>
      <c r="Z1015" s="5"/>
    </row>
    <row r="1016">
      <c r="A1016" s="56"/>
      <c r="B1016" s="57"/>
      <c r="C1016" s="56"/>
      <c r="D1016" s="56"/>
      <c r="E1016" s="56"/>
      <c r="F1016" s="56"/>
      <c r="G1016" s="56"/>
      <c r="H1016" s="56"/>
      <c r="I1016" s="56"/>
      <c r="J1016" s="56"/>
      <c r="K1016" s="56"/>
      <c r="L1016" s="56"/>
      <c r="M1016" s="56"/>
      <c r="N1016" s="56"/>
      <c r="O1016" s="56"/>
      <c r="P1016" s="56"/>
      <c r="Q1016" s="56"/>
      <c r="R1016" s="56"/>
      <c r="S1016" s="56"/>
      <c r="T1016" s="56"/>
      <c r="U1016" s="56"/>
      <c r="V1016" s="56"/>
      <c r="W1016" s="56"/>
      <c r="X1016" s="5"/>
      <c r="Y1016" s="5"/>
      <c r="Z1016" s="5"/>
    </row>
    <row r="1017">
      <c r="A1017" s="56"/>
      <c r="B1017" s="57"/>
      <c r="C1017" s="56"/>
      <c r="D1017" s="56"/>
      <c r="E1017" s="56"/>
      <c r="F1017" s="56"/>
      <c r="G1017" s="56"/>
      <c r="H1017" s="56"/>
      <c r="I1017" s="56"/>
      <c r="J1017" s="56"/>
      <c r="K1017" s="56"/>
      <c r="L1017" s="56"/>
      <c r="M1017" s="56"/>
      <c r="N1017" s="56"/>
      <c r="O1017" s="56"/>
      <c r="P1017" s="56"/>
      <c r="Q1017" s="56"/>
      <c r="R1017" s="56"/>
      <c r="S1017" s="56"/>
      <c r="T1017" s="56"/>
      <c r="U1017" s="56"/>
      <c r="V1017" s="56"/>
      <c r="W1017" s="56"/>
      <c r="X1017" s="5"/>
      <c r="Y1017" s="5"/>
      <c r="Z1017" s="5"/>
    </row>
    <row r="1018">
      <c r="A1018" s="56"/>
      <c r="B1018" s="57"/>
      <c r="C1018" s="56"/>
      <c r="D1018" s="56"/>
      <c r="E1018" s="56"/>
      <c r="F1018" s="56"/>
      <c r="G1018" s="56"/>
      <c r="H1018" s="56"/>
      <c r="I1018" s="56"/>
      <c r="J1018" s="56"/>
      <c r="K1018" s="56"/>
      <c r="L1018" s="56"/>
      <c r="M1018" s="56"/>
      <c r="N1018" s="56"/>
      <c r="O1018" s="56"/>
      <c r="P1018" s="56"/>
      <c r="Q1018" s="56"/>
      <c r="R1018" s="56"/>
      <c r="S1018" s="56"/>
      <c r="T1018" s="56"/>
      <c r="U1018" s="56"/>
      <c r="V1018" s="56"/>
      <c r="W1018" s="56"/>
      <c r="X1018" s="5"/>
      <c r="Y1018" s="5"/>
      <c r="Z1018" s="5"/>
    </row>
    <row r="1019">
      <c r="A1019" s="56"/>
      <c r="B1019" s="57"/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  <c r="R1019" s="56"/>
      <c r="S1019" s="56"/>
      <c r="T1019" s="56"/>
      <c r="U1019" s="56"/>
      <c r="V1019" s="56"/>
      <c r="W1019" s="56"/>
      <c r="X1019" s="5"/>
      <c r="Y1019" s="5"/>
      <c r="Z1019" s="5"/>
    </row>
    <row r="1020">
      <c r="A1020" s="56"/>
      <c r="B1020" s="57"/>
      <c r="C1020" s="56"/>
      <c r="D1020" s="56"/>
      <c r="E1020" s="56"/>
      <c r="F1020" s="56"/>
      <c r="G1020" s="56"/>
      <c r="H1020" s="56"/>
      <c r="I1020" s="56"/>
      <c r="J1020" s="56"/>
      <c r="K1020" s="56"/>
      <c r="L1020" s="56"/>
      <c r="M1020" s="56"/>
      <c r="N1020" s="56"/>
      <c r="O1020" s="56"/>
      <c r="P1020" s="56"/>
      <c r="Q1020" s="56"/>
      <c r="R1020" s="56"/>
      <c r="S1020" s="56"/>
      <c r="T1020" s="56"/>
      <c r="U1020" s="56"/>
      <c r="V1020" s="56"/>
      <c r="W1020" s="56"/>
      <c r="X1020" s="5"/>
      <c r="Y1020" s="5"/>
      <c r="Z1020" s="5"/>
    </row>
    <row r="1021">
      <c r="A1021" s="56"/>
      <c r="B1021" s="57"/>
      <c r="C1021" s="56"/>
      <c r="D1021" s="56"/>
      <c r="E1021" s="56"/>
      <c r="F1021" s="56"/>
      <c r="G1021" s="56"/>
      <c r="H1021" s="56"/>
      <c r="I1021" s="56"/>
      <c r="J1021" s="56"/>
      <c r="K1021" s="56"/>
      <c r="L1021" s="56"/>
      <c r="M1021" s="56"/>
      <c r="N1021" s="56"/>
      <c r="O1021" s="56"/>
      <c r="P1021" s="56"/>
      <c r="Q1021" s="56"/>
      <c r="R1021" s="56"/>
      <c r="S1021" s="56"/>
      <c r="T1021" s="56"/>
      <c r="U1021" s="56"/>
      <c r="V1021" s="56"/>
      <c r="W1021" s="56"/>
      <c r="X1021" s="5"/>
      <c r="Y1021" s="5"/>
      <c r="Z1021" s="5"/>
    </row>
    <row r="1022">
      <c r="A1022" s="56"/>
      <c r="B1022" s="57"/>
      <c r="C1022" s="56"/>
      <c r="D1022" s="56"/>
      <c r="E1022" s="56"/>
      <c r="F1022" s="56"/>
      <c r="G1022" s="56"/>
      <c r="H1022" s="56"/>
      <c r="I1022" s="56"/>
      <c r="J1022" s="56"/>
      <c r="K1022" s="56"/>
      <c r="L1022" s="56"/>
      <c r="M1022" s="56"/>
      <c r="N1022" s="56"/>
      <c r="O1022" s="56"/>
      <c r="P1022" s="56"/>
      <c r="Q1022" s="56"/>
      <c r="R1022" s="56"/>
      <c r="S1022" s="56"/>
      <c r="T1022" s="56"/>
      <c r="U1022" s="56"/>
      <c r="V1022" s="56"/>
      <c r="W1022" s="56"/>
      <c r="X1022" s="5"/>
      <c r="Y1022" s="5"/>
      <c r="Z1022" s="5"/>
    </row>
    <row r="1023">
      <c r="A1023" s="56"/>
      <c r="B1023" s="57"/>
      <c r="C1023" s="56"/>
      <c r="D1023" s="56"/>
      <c r="E1023" s="56"/>
      <c r="F1023" s="56"/>
      <c r="G1023" s="56"/>
      <c r="H1023" s="56"/>
      <c r="I1023" s="56"/>
      <c r="J1023" s="56"/>
      <c r="K1023" s="56"/>
      <c r="L1023" s="56"/>
      <c r="M1023" s="56"/>
      <c r="N1023" s="56"/>
      <c r="O1023" s="56"/>
      <c r="P1023" s="56"/>
      <c r="Q1023" s="56"/>
      <c r="R1023" s="56"/>
      <c r="S1023" s="56"/>
      <c r="T1023" s="56"/>
      <c r="U1023" s="56"/>
      <c r="V1023" s="56"/>
      <c r="W1023" s="56"/>
      <c r="X1023" s="5"/>
      <c r="Y1023" s="5"/>
      <c r="Z1023" s="5"/>
    </row>
    <row r="1024">
      <c r="A1024" s="56"/>
      <c r="B1024" s="57"/>
      <c r="C1024" s="56"/>
      <c r="D1024" s="56"/>
      <c r="E1024" s="56"/>
      <c r="F1024" s="56"/>
      <c r="G1024" s="56"/>
      <c r="H1024" s="56"/>
      <c r="I1024" s="56"/>
      <c r="J1024" s="56"/>
      <c r="K1024" s="56"/>
      <c r="L1024" s="56"/>
      <c r="M1024" s="56"/>
      <c r="N1024" s="56"/>
      <c r="O1024" s="56"/>
      <c r="P1024" s="56"/>
      <c r="Q1024" s="56"/>
      <c r="R1024" s="56"/>
      <c r="S1024" s="56"/>
      <c r="T1024" s="56"/>
      <c r="U1024" s="56"/>
      <c r="V1024" s="56"/>
      <c r="W1024" s="56"/>
      <c r="X1024" s="5"/>
      <c r="Y1024" s="5"/>
      <c r="Z1024" s="5"/>
    </row>
    <row r="1025">
      <c r="A1025" s="56"/>
      <c r="B1025" s="57"/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  <c r="N1025" s="56"/>
      <c r="O1025" s="56"/>
      <c r="P1025" s="56"/>
      <c r="Q1025" s="56"/>
      <c r="R1025" s="56"/>
      <c r="S1025" s="56"/>
      <c r="T1025" s="56"/>
      <c r="U1025" s="56"/>
      <c r="V1025" s="56"/>
      <c r="W1025" s="56"/>
      <c r="X1025" s="5"/>
      <c r="Y1025" s="5"/>
      <c r="Z1025" s="5"/>
    </row>
    <row r="1026">
      <c r="A1026" s="56"/>
      <c r="B1026" s="57"/>
      <c r="C1026" s="56"/>
      <c r="D1026" s="56"/>
      <c r="E1026" s="56"/>
      <c r="F1026" s="56"/>
      <c r="G1026" s="56"/>
      <c r="H1026" s="56"/>
      <c r="I1026" s="56"/>
      <c r="J1026" s="56"/>
      <c r="K1026" s="56"/>
      <c r="L1026" s="56"/>
      <c r="M1026" s="56"/>
      <c r="N1026" s="56"/>
      <c r="O1026" s="56"/>
      <c r="P1026" s="56"/>
      <c r="Q1026" s="56"/>
      <c r="R1026" s="56"/>
      <c r="S1026" s="56"/>
      <c r="T1026" s="56"/>
      <c r="U1026" s="56"/>
      <c r="V1026" s="56"/>
      <c r="W1026" s="56"/>
      <c r="X1026" s="5"/>
      <c r="Y1026" s="5"/>
      <c r="Z1026" s="5"/>
    </row>
    <row r="1027">
      <c r="A1027" s="56"/>
      <c r="B1027" s="57"/>
      <c r="C1027" s="56"/>
      <c r="D1027" s="56"/>
      <c r="E1027" s="56"/>
      <c r="F1027" s="56"/>
      <c r="G1027" s="56"/>
      <c r="H1027" s="56"/>
      <c r="I1027" s="56"/>
      <c r="J1027" s="56"/>
      <c r="K1027" s="56"/>
      <c r="L1027" s="56"/>
      <c r="M1027" s="56"/>
      <c r="N1027" s="56"/>
      <c r="O1027" s="56"/>
      <c r="P1027" s="56"/>
      <c r="Q1027" s="56"/>
      <c r="R1027" s="56"/>
      <c r="S1027" s="56"/>
      <c r="T1027" s="56"/>
      <c r="U1027" s="56"/>
      <c r="V1027" s="56"/>
      <c r="W1027" s="56"/>
      <c r="X1027" s="5"/>
      <c r="Y1027" s="5"/>
      <c r="Z1027" s="5"/>
    </row>
    <row r="1028">
      <c r="A1028" s="56"/>
      <c r="B1028" s="57"/>
      <c r="C1028" s="56"/>
      <c r="D1028" s="56"/>
      <c r="E1028" s="56"/>
      <c r="F1028" s="56"/>
      <c r="G1028" s="56"/>
      <c r="H1028" s="56"/>
      <c r="I1028" s="56"/>
      <c r="J1028" s="56"/>
      <c r="K1028" s="56"/>
      <c r="L1028" s="56"/>
      <c r="M1028" s="56"/>
      <c r="N1028" s="56"/>
      <c r="O1028" s="56"/>
      <c r="P1028" s="56"/>
      <c r="Q1028" s="56"/>
      <c r="R1028" s="56"/>
      <c r="S1028" s="56"/>
      <c r="T1028" s="56"/>
      <c r="U1028" s="56"/>
      <c r="V1028" s="56"/>
      <c r="W1028" s="56"/>
      <c r="X1028" s="5"/>
      <c r="Y1028" s="5"/>
      <c r="Z1028" s="5"/>
    </row>
    <row r="1029">
      <c r="A1029" s="56"/>
      <c r="B1029" s="57"/>
      <c r="C1029" s="56"/>
      <c r="D1029" s="56"/>
      <c r="E1029" s="56"/>
      <c r="F1029" s="56"/>
      <c r="G1029" s="56"/>
      <c r="H1029" s="56"/>
      <c r="I1029" s="56"/>
      <c r="J1029" s="56"/>
      <c r="K1029" s="56"/>
      <c r="L1029" s="56"/>
      <c r="M1029" s="56"/>
      <c r="N1029" s="56"/>
      <c r="O1029" s="56"/>
      <c r="P1029" s="56"/>
      <c r="Q1029" s="56"/>
      <c r="R1029" s="56"/>
      <c r="S1029" s="56"/>
      <c r="T1029" s="56"/>
      <c r="U1029" s="56"/>
      <c r="V1029" s="56"/>
      <c r="W1029" s="56"/>
      <c r="X1029" s="5"/>
      <c r="Y1029" s="5"/>
      <c r="Z1029" s="5"/>
    </row>
    <row r="1030">
      <c r="A1030" s="56"/>
      <c r="B1030" s="57"/>
      <c r="C1030" s="56"/>
      <c r="D1030" s="56"/>
      <c r="E1030" s="56"/>
      <c r="F1030" s="56"/>
      <c r="G1030" s="56"/>
      <c r="H1030" s="56"/>
      <c r="I1030" s="56"/>
      <c r="J1030" s="56"/>
      <c r="K1030" s="56"/>
      <c r="L1030" s="56"/>
      <c r="M1030" s="56"/>
      <c r="N1030" s="56"/>
      <c r="O1030" s="56"/>
      <c r="P1030" s="56"/>
      <c r="Q1030" s="56"/>
      <c r="R1030" s="56"/>
      <c r="S1030" s="56"/>
      <c r="T1030" s="56"/>
      <c r="U1030" s="56"/>
      <c r="V1030" s="56"/>
      <c r="W1030" s="56"/>
      <c r="X1030" s="5"/>
      <c r="Y1030" s="5"/>
      <c r="Z1030" s="5"/>
    </row>
    <row r="1031">
      <c r="A1031" s="56"/>
      <c r="B1031" s="57"/>
      <c r="C1031" s="56"/>
      <c r="D1031" s="56"/>
      <c r="E1031" s="56"/>
      <c r="F1031" s="56"/>
      <c r="G1031" s="56"/>
      <c r="H1031" s="56"/>
      <c r="I1031" s="56"/>
      <c r="J1031" s="56"/>
      <c r="K1031" s="56"/>
      <c r="L1031" s="56"/>
      <c r="M1031" s="56"/>
      <c r="N1031" s="56"/>
      <c r="O1031" s="56"/>
      <c r="P1031" s="56"/>
      <c r="Q1031" s="56"/>
      <c r="R1031" s="56"/>
      <c r="S1031" s="56"/>
      <c r="T1031" s="56"/>
      <c r="U1031" s="56"/>
      <c r="V1031" s="56"/>
      <c r="W1031" s="56"/>
      <c r="X1031" s="5"/>
      <c r="Y1031" s="5"/>
      <c r="Z1031" s="5"/>
    </row>
    <row r="1032">
      <c r="A1032" s="56"/>
      <c r="B1032" s="57"/>
      <c r="C1032" s="56"/>
      <c r="D1032" s="56"/>
      <c r="E1032" s="56"/>
      <c r="F1032" s="56"/>
      <c r="G1032" s="56"/>
      <c r="H1032" s="56"/>
      <c r="I1032" s="56"/>
      <c r="J1032" s="56"/>
      <c r="K1032" s="56"/>
      <c r="L1032" s="56"/>
      <c r="M1032" s="56"/>
      <c r="N1032" s="56"/>
      <c r="O1032" s="56"/>
      <c r="P1032" s="56"/>
      <c r="Q1032" s="56"/>
      <c r="R1032" s="56"/>
      <c r="S1032" s="56"/>
      <c r="T1032" s="56"/>
      <c r="U1032" s="56"/>
      <c r="V1032" s="56"/>
      <c r="W1032" s="56"/>
      <c r="X1032" s="5"/>
      <c r="Y1032" s="5"/>
      <c r="Z1032" s="5"/>
    </row>
    <row r="1033">
      <c r="A1033" s="56"/>
      <c r="B1033" s="57"/>
      <c r="C1033" s="56"/>
      <c r="D1033" s="56"/>
      <c r="E1033" s="56"/>
      <c r="F1033" s="56"/>
      <c r="G1033" s="56"/>
      <c r="H1033" s="56"/>
      <c r="I1033" s="56"/>
      <c r="J1033" s="56"/>
      <c r="K1033" s="56"/>
      <c r="L1033" s="56"/>
      <c r="M1033" s="56"/>
      <c r="N1033" s="56"/>
      <c r="O1033" s="56"/>
      <c r="P1033" s="56"/>
      <c r="Q1033" s="56"/>
      <c r="R1033" s="56"/>
      <c r="S1033" s="56"/>
      <c r="T1033" s="56"/>
      <c r="U1033" s="56"/>
      <c r="V1033" s="56"/>
      <c r="W1033" s="56"/>
      <c r="X1033" s="5"/>
      <c r="Y1033" s="5"/>
      <c r="Z1033" s="5"/>
    </row>
    <row r="1034">
      <c r="A1034" s="56"/>
      <c r="B1034" s="57"/>
      <c r="C1034" s="56"/>
      <c r="D1034" s="56"/>
      <c r="E1034" s="56"/>
      <c r="F1034" s="56"/>
      <c r="G1034" s="56"/>
      <c r="H1034" s="56"/>
      <c r="I1034" s="56"/>
      <c r="J1034" s="56"/>
      <c r="K1034" s="56"/>
      <c r="L1034" s="56"/>
      <c r="M1034" s="56"/>
      <c r="N1034" s="56"/>
      <c r="O1034" s="56"/>
      <c r="P1034" s="56"/>
      <c r="Q1034" s="56"/>
      <c r="R1034" s="56"/>
      <c r="S1034" s="56"/>
      <c r="T1034" s="56"/>
      <c r="U1034" s="56"/>
      <c r="V1034" s="56"/>
      <c r="W1034" s="56"/>
      <c r="X1034" s="5"/>
      <c r="Y1034" s="5"/>
      <c r="Z1034" s="5"/>
    </row>
    <row r="1035">
      <c r="A1035" s="56"/>
      <c r="B1035" s="57"/>
      <c r="C1035" s="56"/>
      <c r="D1035" s="56"/>
      <c r="E1035" s="56"/>
      <c r="F1035" s="56"/>
      <c r="G1035" s="56"/>
      <c r="H1035" s="56"/>
      <c r="I1035" s="56"/>
      <c r="J1035" s="56"/>
      <c r="K1035" s="56"/>
      <c r="L1035" s="56"/>
      <c r="M1035" s="56"/>
      <c r="N1035" s="56"/>
      <c r="O1035" s="56"/>
      <c r="P1035" s="56"/>
      <c r="Q1035" s="56"/>
      <c r="R1035" s="56"/>
      <c r="S1035" s="56"/>
      <c r="T1035" s="56"/>
      <c r="U1035" s="56"/>
      <c r="V1035" s="56"/>
      <c r="W1035" s="56"/>
      <c r="X1035" s="5"/>
      <c r="Y1035" s="5"/>
      <c r="Z1035" s="5"/>
    </row>
    <row r="1036">
      <c r="A1036" s="56"/>
      <c r="B1036" s="57"/>
      <c r="C1036" s="56"/>
      <c r="D1036" s="56"/>
      <c r="E1036" s="56"/>
      <c r="F1036" s="56"/>
      <c r="G1036" s="56"/>
      <c r="H1036" s="56"/>
      <c r="I1036" s="56"/>
      <c r="J1036" s="56"/>
      <c r="K1036" s="56"/>
      <c r="L1036" s="56"/>
      <c r="M1036" s="56"/>
      <c r="N1036" s="56"/>
      <c r="O1036" s="56"/>
      <c r="P1036" s="56"/>
      <c r="Q1036" s="56"/>
      <c r="R1036" s="56"/>
      <c r="S1036" s="56"/>
      <c r="T1036" s="56"/>
      <c r="U1036" s="56"/>
      <c r="V1036" s="56"/>
      <c r="W1036" s="56"/>
      <c r="X1036" s="5"/>
      <c r="Y1036" s="5"/>
      <c r="Z1036" s="5"/>
    </row>
    <row r="1037">
      <c r="A1037" s="56"/>
      <c r="B1037" s="57"/>
      <c r="C1037" s="56"/>
      <c r="D1037" s="56"/>
      <c r="E1037" s="56"/>
      <c r="F1037" s="56"/>
      <c r="G1037" s="56"/>
      <c r="H1037" s="56"/>
      <c r="I1037" s="56"/>
      <c r="J1037" s="56"/>
      <c r="K1037" s="56"/>
      <c r="L1037" s="56"/>
      <c r="M1037" s="56"/>
      <c r="N1037" s="56"/>
      <c r="O1037" s="56"/>
      <c r="P1037" s="56"/>
      <c r="Q1037" s="56"/>
      <c r="R1037" s="56"/>
      <c r="S1037" s="56"/>
      <c r="T1037" s="56"/>
      <c r="U1037" s="56"/>
      <c r="V1037" s="56"/>
      <c r="W1037" s="56"/>
      <c r="X1037" s="5"/>
      <c r="Y1037" s="5"/>
      <c r="Z1037" s="5"/>
    </row>
    <row r="1038">
      <c r="A1038" s="56"/>
      <c r="B1038" s="57"/>
      <c r="C1038" s="56"/>
      <c r="D1038" s="56"/>
      <c r="E1038" s="56"/>
      <c r="F1038" s="56"/>
      <c r="G1038" s="56"/>
      <c r="H1038" s="56"/>
      <c r="I1038" s="56"/>
      <c r="J1038" s="56"/>
      <c r="K1038" s="56"/>
      <c r="L1038" s="56"/>
      <c r="M1038" s="56"/>
      <c r="N1038" s="56"/>
      <c r="O1038" s="56"/>
      <c r="P1038" s="56"/>
      <c r="Q1038" s="56"/>
      <c r="R1038" s="56"/>
      <c r="S1038" s="56"/>
      <c r="T1038" s="56"/>
      <c r="U1038" s="56"/>
      <c r="V1038" s="56"/>
      <c r="W1038" s="56"/>
      <c r="X1038" s="5"/>
      <c r="Y1038" s="5"/>
      <c r="Z1038" s="5"/>
    </row>
    <row r="1039">
      <c r="A1039" s="56"/>
      <c r="B1039" s="57"/>
      <c r="C1039" s="56"/>
      <c r="D1039" s="56"/>
      <c r="E1039" s="56"/>
      <c r="F1039" s="56"/>
      <c r="G1039" s="56"/>
      <c r="H1039" s="56"/>
      <c r="I1039" s="56"/>
      <c r="J1039" s="56"/>
      <c r="K1039" s="56"/>
      <c r="L1039" s="56"/>
      <c r="M1039" s="56"/>
      <c r="N1039" s="56"/>
      <c r="O1039" s="56"/>
      <c r="P1039" s="56"/>
      <c r="Q1039" s="56"/>
      <c r="R1039" s="56"/>
      <c r="S1039" s="56"/>
      <c r="T1039" s="56"/>
      <c r="U1039" s="56"/>
      <c r="V1039" s="56"/>
      <c r="W1039" s="56"/>
      <c r="X1039" s="5"/>
      <c r="Y1039" s="5"/>
      <c r="Z1039" s="5"/>
    </row>
    <row r="1040">
      <c r="A1040" s="56"/>
      <c r="B1040" s="57"/>
      <c r="C1040" s="56"/>
      <c r="D1040" s="56"/>
      <c r="E1040" s="56"/>
      <c r="F1040" s="56"/>
      <c r="G1040" s="56"/>
      <c r="H1040" s="56"/>
      <c r="I1040" s="56"/>
      <c r="J1040" s="56"/>
      <c r="K1040" s="56"/>
      <c r="L1040" s="56"/>
      <c r="M1040" s="56"/>
      <c r="N1040" s="56"/>
      <c r="O1040" s="56"/>
      <c r="P1040" s="56"/>
      <c r="Q1040" s="56"/>
      <c r="R1040" s="56"/>
      <c r="S1040" s="56"/>
      <c r="T1040" s="56"/>
      <c r="U1040" s="56"/>
      <c r="V1040" s="56"/>
      <c r="W1040" s="56"/>
      <c r="X1040" s="5"/>
      <c r="Y1040" s="5"/>
      <c r="Z1040" s="5"/>
    </row>
    <row r="1041">
      <c r="A1041" s="56"/>
      <c r="B1041" s="57"/>
      <c r="C1041" s="56"/>
      <c r="D1041" s="56"/>
      <c r="E1041" s="56"/>
      <c r="F1041" s="56"/>
      <c r="G1041" s="56"/>
      <c r="H1041" s="56"/>
      <c r="I1041" s="56"/>
      <c r="J1041" s="56"/>
      <c r="K1041" s="56"/>
      <c r="L1041" s="56"/>
      <c r="M1041" s="56"/>
      <c r="N1041" s="56"/>
      <c r="O1041" s="56"/>
      <c r="P1041" s="56"/>
      <c r="Q1041" s="56"/>
      <c r="R1041" s="56"/>
      <c r="S1041" s="56"/>
      <c r="T1041" s="56"/>
      <c r="U1041" s="56"/>
      <c r="V1041" s="56"/>
      <c r="W1041" s="56"/>
      <c r="X1041" s="5"/>
      <c r="Y1041" s="5"/>
      <c r="Z1041" s="5"/>
    </row>
    <row r="1042">
      <c r="A1042" s="56"/>
      <c r="B1042" s="57"/>
      <c r="C1042" s="56"/>
      <c r="D1042" s="56"/>
      <c r="E1042" s="56"/>
      <c r="F1042" s="56"/>
      <c r="G1042" s="56"/>
      <c r="H1042" s="56"/>
      <c r="I1042" s="56"/>
      <c r="J1042" s="56"/>
      <c r="K1042" s="56"/>
      <c r="L1042" s="56"/>
      <c r="M1042" s="56"/>
      <c r="N1042" s="56"/>
      <c r="O1042" s="56"/>
      <c r="P1042" s="56"/>
      <c r="Q1042" s="56"/>
      <c r="R1042" s="56"/>
      <c r="S1042" s="56"/>
      <c r="T1042" s="56"/>
      <c r="U1042" s="56"/>
      <c r="V1042" s="56"/>
      <c r="W1042" s="56"/>
      <c r="X1042" s="5"/>
      <c r="Y1042" s="5"/>
      <c r="Z1042" s="5"/>
    </row>
    <row r="1043">
      <c r="A1043" s="56"/>
      <c r="B1043" s="57"/>
      <c r="C1043" s="56"/>
      <c r="D1043" s="56"/>
      <c r="E1043" s="56"/>
      <c r="F1043" s="56"/>
      <c r="G1043" s="56"/>
      <c r="H1043" s="56"/>
      <c r="I1043" s="56"/>
      <c r="J1043" s="56"/>
      <c r="K1043" s="56"/>
      <c r="L1043" s="56"/>
      <c r="M1043" s="56"/>
      <c r="N1043" s="56"/>
      <c r="O1043" s="56"/>
      <c r="P1043" s="56"/>
      <c r="Q1043" s="56"/>
      <c r="R1043" s="56"/>
      <c r="S1043" s="56"/>
      <c r="T1043" s="56"/>
      <c r="U1043" s="56"/>
      <c r="V1043" s="56"/>
      <c r="W1043" s="56"/>
      <c r="X1043" s="5"/>
      <c r="Y1043" s="5"/>
      <c r="Z1043" s="5"/>
    </row>
    <row r="1044">
      <c r="A1044" s="56"/>
      <c r="B1044" s="57"/>
      <c r="C1044" s="56"/>
      <c r="D1044" s="56"/>
      <c r="E1044" s="56"/>
      <c r="F1044" s="56"/>
      <c r="G1044" s="56"/>
      <c r="H1044" s="56"/>
      <c r="I1044" s="56"/>
      <c r="J1044" s="56"/>
      <c r="K1044" s="56"/>
      <c r="L1044" s="56"/>
      <c r="M1044" s="56"/>
      <c r="N1044" s="56"/>
      <c r="O1044" s="56"/>
      <c r="P1044" s="56"/>
      <c r="Q1044" s="56"/>
      <c r="R1044" s="56"/>
      <c r="S1044" s="56"/>
      <c r="T1044" s="56"/>
      <c r="U1044" s="56"/>
      <c r="V1044" s="56"/>
      <c r="W1044" s="56"/>
      <c r="X1044" s="5"/>
      <c r="Y1044" s="5"/>
      <c r="Z1044" s="5"/>
    </row>
    <row r="1045">
      <c r="A1045" s="56"/>
      <c r="B1045" s="57"/>
      <c r="C1045" s="56"/>
      <c r="D1045" s="56"/>
      <c r="E1045" s="56"/>
      <c r="F1045" s="56"/>
      <c r="G1045" s="56"/>
      <c r="H1045" s="56"/>
      <c r="I1045" s="56"/>
      <c r="J1045" s="56"/>
      <c r="K1045" s="56"/>
      <c r="L1045" s="56"/>
      <c r="M1045" s="56"/>
      <c r="N1045" s="56"/>
      <c r="O1045" s="56"/>
      <c r="P1045" s="56"/>
      <c r="Q1045" s="56"/>
      <c r="R1045" s="56"/>
      <c r="S1045" s="56"/>
      <c r="T1045" s="56"/>
      <c r="U1045" s="56"/>
      <c r="V1045" s="56"/>
      <c r="W1045" s="56"/>
      <c r="X1045" s="5"/>
      <c r="Y1045" s="5"/>
      <c r="Z1045" s="5"/>
    </row>
    <row r="1046">
      <c r="A1046" s="56"/>
      <c r="B1046" s="57"/>
      <c r="C1046" s="56"/>
      <c r="D1046" s="56"/>
      <c r="E1046" s="56"/>
      <c r="F1046" s="56"/>
      <c r="G1046" s="56"/>
      <c r="H1046" s="56"/>
      <c r="I1046" s="56"/>
      <c r="J1046" s="56"/>
      <c r="K1046" s="56"/>
      <c r="L1046" s="56"/>
      <c r="M1046" s="56"/>
      <c r="N1046" s="56"/>
      <c r="O1046" s="56"/>
      <c r="P1046" s="56"/>
      <c r="Q1046" s="56"/>
      <c r="R1046" s="56"/>
      <c r="S1046" s="56"/>
      <c r="T1046" s="56"/>
      <c r="U1046" s="56"/>
      <c r="V1046" s="56"/>
      <c r="W1046" s="56"/>
      <c r="X1046" s="5"/>
      <c r="Y1046" s="5"/>
      <c r="Z1046" s="5"/>
    </row>
    <row r="1047">
      <c r="A1047" s="56"/>
      <c r="B1047" s="57"/>
      <c r="C1047" s="56"/>
      <c r="D1047" s="56"/>
      <c r="E1047" s="56"/>
      <c r="F1047" s="56"/>
      <c r="G1047" s="56"/>
      <c r="H1047" s="56"/>
      <c r="I1047" s="56"/>
      <c r="J1047" s="56"/>
      <c r="K1047" s="56"/>
      <c r="L1047" s="56"/>
      <c r="M1047" s="56"/>
      <c r="N1047" s="56"/>
      <c r="O1047" s="56"/>
      <c r="P1047" s="56"/>
      <c r="Q1047" s="56"/>
      <c r="R1047" s="56"/>
      <c r="S1047" s="56"/>
      <c r="T1047" s="56"/>
      <c r="U1047" s="56"/>
      <c r="V1047" s="56"/>
      <c r="W1047" s="56"/>
      <c r="X1047" s="5"/>
      <c r="Y1047" s="5"/>
      <c r="Z1047" s="5"/>
    </row>
    <row r="1048">
      <c r="A1048" s="56"/>
      <c r="B1048" s="57"/>
      <c r="C1048" s="56"/>
      <c r="D1048" s="56"/>
      <c r="E1048" s="56"/>
      <c r="F1048" s="56"/>
      <c r="G1048" s="56"/>
      <c r="H1048" s="56"/>
      <c r="I1048" s="56"/>
      <c r="J1048" s="56"/>
      <c r="K1048" s="56"/>
      <c r="L1048" s="56"/>
      <c r="M1048" s="56"/>
      <c r="N1048" s="56"/>
      <c r="O1048" s="56"/>
      <c r="P1048" s="56"/>
      <c r="Q1048" s="56"/>
      <c r="R1048" s="56"/>
      <c r="S1048" s="56"/>
      <c r="T1048" s="56"/>
      <c r="U1048" s="56"/>
      <c r="V1048" s="56"/>
      <c r="W1048" s="56"/>
      <c r="X1048" s="5"/>
      <c r="Y1048" s="5"/>
      <c r="Z1048" s="5"/>
    </row>
    <row r="1049">
      <c r="A1049" s="56"/>
      <c r="B1049" s="57"/>
      <c r="C1049" s="56"/>
      <c r="D1049" s="56"/>
      <c r="E1049" s="56"/>
      <c r="F1049" s="56"/>
      <c r="G1049" s="56"/>
      <c r="H1049" s="56"/>
      <c r="I1049" s="56"/>
      <c r="J1049" s="56"/>
      <c r="K1049" s="56"/>
      <c r="L1049" s="56"/>
      <c r="M1049" s="56"/>
      <c r="N1049" s="56"/>
      <c r="O1049" s="56"/>
      <c r="P1049" s="56"/>
      <c r="Q1049" s="56"/>
      <c r="R1049" s="56"/>
      <c r="S1049" s="56"/>
      <c r="T1049" s="56"/>
      <c r="U1049" s="56"/>
      <c r="V1049" s="56"/>
      <c r="W1049" s="56"/>
      <c r="X1049" s="5"/>
      <c r="Y1049" s="5"/>
      <c r="Z1049" s="5"/>
    </row>
    <row r="1050">
      <c r="A1050" s="56"/>
      <c r="B1050" s="57"/>
      <c r="C1050" s="56"/>
      <c r="D1050" s="56"/>
      <c r="E1050" s="56"/>
      <c r="F1050" s="56"/>
      <c r="G1050" s="56"/>
      <c r="H1050" s="56"/>
      <c r="I1050" s="56"/>
      <c r="J1050" s="56"/>
      <c r="K1050" s="56"/>
      <c r="L1050" s="56"/>
      <c r="M1050" s="56"/>
      <c r="N1050" s="56"/>
      <c r="O1050" s="56"/>
      <c r="P1050" s="56"/>
      <c r="Q1050" s="56"/>
      <c r="R1050" s="56"/>
      <c r="S1050" s="56"/>
      <c r="T1050" s="56"/>
      <c r="U1050" s="56"/>
      <c r="V1050" s="56"/>
      <c r="W1050" s="56"/>
      <c r="X1050" s="5"/>
      <c r="Y1050" s="5"/>
      <c r="Z1050" s="5"/>
    </row>
    <row r="1051">
      <c r="A1051" s="56"/>
      <c r="B1051" s="57"/>
      <c r="C1051" s="56"/>
      <c r="D1051" s="56"/>
      <c r="E1051" s="56"/>
      <c r="F1051" s="56"/>
      <c r="G1051" s="56"/>
      <c r="H1051" s="56"/>
      <c r="I1051" s="56"/>
      <c r="J1051" s="56"/>
      <c r="K1051" s="56"/>
      <c r="L1051" s="56"/>
      <c r="M1051" s="56"/>
      <c r="N1051" s="56"/>
      <c r="O1051" s="56"/>
      <c r="P1051" s="56"/>
      <c r="Q1051" s="56"/>
      <c r="R1051" s="56"/>
      <c r="S1051" s="56"/>
      <c r="T1051" s="56"/>
      <c r="U1051" s="56"/>
      <c r="V1051" s="56"/>
      <c r="W1051" s="56"/>
      <c r="X1051" s="5"/>
      <c r="Y1051" s="5"/>
      <c r="Z1051" s="5"/>
    </row>
    <row r="1052">
      <c r="A1052" s="56"/>
      <c r="B1052" s="57"/>
      <c r="C1052" s="56"/>
      <c r="D1052" s="56"/>
      <c r="E1052" s="56"/>
      <c r="F1052" s="56"/>
      <c r="G1052" s="56"/>
      <c r="H1052" s="56"/>
      <c r="I1052" s="56"/>
      <c r="J1052" s="56"/>
      <c r="K1052" s="56"/>
      <c r="L1052" s="56"/>
      <c r="M1052" s="56"/>
      <c r="N1052" s="56"/>
      <c r="O1052" s="56"/>
      <c r="P1052" s="56"/>
      <c r="Q1052" s="56"/>
      <c r="R1052" s="56"/>
      <c r="S1052" s="56"/>
      <c r="T1052" s="56"/>
      <c r="U1052" s="56"/>
      <c r="V1052" s="56"/>
      <c r="W1052" s="56"/>
      <c r="X1052" s="5"/>
      <c r="Y1052" s="5"/>
      <c r="Z1052" s="5"/>
    </row>
    <row r="1053">
      <c r="A1053" s="56"/>
      <c r="B1053" s="57"/>
      <c r="C1053" s="56"/>
      <c r="D1053" s="56"/>
      <c r="E1053" s="56"/>
      <c r="F1053" s="56"/>
      <c r="G1053" s="56"/>
      <c r="H1053" s="56"/>
      <c r="I1053" s="56"/>
      <c r="J1053" s="56"/>
      <c r="K1053" s="56"/>
      <c r="L1053" s="56"/>
      <c r="M1053" s="56"/>
      <c r="N1053" s="56"/>
      <c r="O1053" s="56"/>
      <c r="P1053" s="56"/>
      <c r="Q1053" s="56"/>
      <c r="R1053" s="56"/>
      <c r="S1053" s="56"/>
      <c r="T1053" s="56"/>
      <c r="U1053" s="56"/>
      <c r="V1053" s="56"/>
      <c r="W1053" s="56"/>
      <c r="X1053" s="5"/>
      <c r="Y1053" s="5"/>
      <c r="Z1053" s="5"/>
    </row>
    <row r="1054">
      <c r="A1054" s="56"/>
      <c r="B1054" s="57"/>
      <c r="C1054" s="56"/>
      <c r="D1054" s="56"/>
      <c r="E1054" s="56"/>
      <c r="F1054" s="56"/>
      <c r="G1054" s="56"/>
      <c r="H1054" s="56"/>
      <c r="I1054" s="56"/>
      <c r="J1054" s="56"/>
      <c r="K1054" s="56"/>
      <c r="L1054" s="56"/>
      <c r="M1054" s="56"/>
      <c r="N1054" s="56"/>
      <c r="O1054" s="56"/>
      <c r="P1054" s="56"/>
      <c r="Q1054" s="56"/>
      <c r="R1054" s="56"/>
      <c r="S1054" s="56"/>
      <c r="T1054" s="56"/>
      <c r="U1054" s="56"/>
      <c r="V1054" s="56"/>
      <c r="W1054" s="56"/>
      <c r="X1054" s="5"/>
      <c r="Y1054" s="5"/>
      <c r="Z1054" s="5"/>
    </row>
    <row r="1055">
      <c r="A1055" s="56"/>
      <c r="B1055" s="57"/>
      <c r="C1055" s="56"/>
      <c r="D1055" s="56"/>
      <c r="E1055" s="56"/>
      <c r="F1055" s="56"/>
      <c r="G1055" s="56"/>
      <c r="H1055" s="56"/>
      <c r="I1055" s="56"/>
      <c r="J1055" s="56"/>
      <c r="K1055" s="56"/>
      <c r="L1055" s="56"/>
      <c r="M1055" s="56"/>
      <c r="N1055" s="56"/>
      <c r="O1055" s="56"/>
      <c r="P1055" s="56"/>
      <c r="Q1055" s="56"/>
      <c r="R1055" s="56"/>
      <c r="S1055" s="56"/>
      <c r="T1055" s="56"/>
      <c r="U1055" s="56"/>
      <c r="V1055" s="56"/>
      <c r="W1055" s="56"/>
      <c r="X1055" s="5"/>
      <c r="Y1055" s="5"/>
      <c r="Z1055" s="5"/>
    </row>
    <row r="1056">
      <c r="A1056" s="56"/>
      <c r="B1056" s="57"/>
      <c r="C1056" s="56"/>
      <c r="D1056" s="56"/>
      <c r="E1056" s="56"/>
      <c r="F1056" s="56"/>
      <c r="G1056" s="56"/>
      <c r="H1056" s="56"/>
      <c r="I1056" s="56"/>
      <c r="J1056" s="56"/>
      <c r="K1056" s="56"/>
      <c r="L1056" s="56"/>
      <c r="M1056" s="56"/>
      <c r="N1056" s="56"/>
      <c r="O1056" s="56"/>
      <c r="P1056" s="56"/>
      <c r="Q1056" s="56"/>
      <c r="R1056" s="56"/>
      <c r="S1056" s="56"/>
      <c r="T1056" s="56"/>
      <c r="U1056" s="56"/>
      <c r="V1056" s="56"/>
      <c r="W1056" s="56"/>
      <c r="X1056" s="5"/>
      <c r="Y1056" s="5"/>
      <c r="Z1056" s="5"/>
    </row>
    <row r="1057">
      <c r="A1057" s="56"/>
      <c r="B1057" s="57"/>
      <c r="C1057" s="56"/>
      <c r="D1057" s="56"/>
      <c r="E1057" s="56"/>
      <c r="F1057" s="56"/>
      <c r="G1057" s="56"/>
      <c r="H1057" s="56"/>
      <c r="I1057" s="56"/>
      <c r="J1057" s="56"/>
      <c r="K1057" s="56"/>
      <c r="L1057" s="56"/>
      <c r="M1057" s="56"/>
      <c r="N1057" s="56"/>
      <c r="O1057" s="56"/>
      <c r="P1057" s="56"/>
      <c r="Q1057" s="56"/>
      <c r="R1057" s="56"/>
      <c r="S1057" s="56"/>
      <c r="T1057" s="56"/>
      <c r="U1057" s="56"/>
      <c r="V1057" s="56"/>
      <c r="W1057" s="56"/>
      <c r="X1057" s="5"/>
      <c r="Y1057" s="5"/>
      <c r="Z1057" s="5"/>
    </row>
    <row r="1058">
      <c r="A1058" s="56"/>
      <c r="B1058" s="57"/>
      <c r="C1058" s="56"/>
      <c r="D1058" s="56"/>
      <c r="E1058" s="56"/>
      <c r="F1058" s="56"/>
      <c r="G1058" s="56"/>
      <c r="H1058" s="56"/>
      <c r="I1058" s="56"/>
      <c r="J1058" s="56"/>
      <c r="K1058" s="56"/>
      <c r="L1058" s="56"/>
      <c r="M1058" s="56"/>
      <c r="N1058" s="56"/>
      <c r="O1058" s="56"/>
      <c r="P1058" s="56"/>
      <c r="Q1058" s="56"/>
      <c r="R1058" s="56"/>
      <c r="S1058" s="56"/>
      <c r="T1058" s="56"/>
      <c r="U1058" s="56"/>
      <c r="V1058" s="56"/>
      <c r="W1058" s="56"/>
      <c r="X1058" s="5"/>
      <c r="Y1058" s="5"/>
      <c r="Z1058" s="5"/>
    </row>
    <row r="1059">
      <c r="A1059" s="56"/>
      <c r="B1059" s="57"/>
      <c r="C1059" s="56"/>
      <c r="D1059" s="56"/>
      <c r="E1059" s="56"/>
      <c r="F1059" s="56"/>
      <c r="G1059" s="56"/>
      <c r="H1059" s="56"/>
      <c r="I1059" s="56"/>
      <c r="J1059" s="56"/>
      <c r="K1059" s="56"/>
      <c r="L1059" s="56"/>
      <c r="M1059" s="56"/>
      <c r="N1059" s="56"/>
      <c r="O1059" s="56"/>
      <c r="P1059" s="56"/>
      <c r="Q1059" s="56"/>
      <c r="R1059" s="56"/>
      <c r="S1059" s="56"/>
      <c r="T1059" s="56"/>
      <c r="U1059" s="56"/>
      <c r="V1059" s="56"/>
      <c r="W1059" s="56"/>
      <c r="X1059" s="5"/>
      <c r="Y1059" s="5"/>
      <c r="Z1059" s="5"/>
    </row>
    <row r="1060">
      <c r="A1060" s="56"/>
      <c r="B1060" s="57"/>
      <c r="C1060" s="56"/>
      <c r="D1060" s="56"/>
      <c r="E1060" s="56"/>
      <c r="F1060" s="56"/>
      <c r="G1060" s="56"/>
      <c r="H1060" s="56"/>
      <c r="I1060" s="56"/>
      <c r="J1060" s="56"/>
      <c r="K1060" s="56"/>
      <c r="L1060" s="56"/>
      <c r="M1060" s="56"/>
      <c r="N1060" s="56"/>
      <c r="O1060" s="56"/>
      <c r="P1060" s="56"/>
      <c r="Q1060" s="56"/>
      <c r="R1060" s="56"/>
      <c r="S1060" s="56"/>
      <c r="T1060" s="56"/>
      <c r="U1060" s="56"/>
      <c r="V1060" s="56"/>
      <c r="W1060" s="56"/>
      <c r="X1060" s="5"/>
      <c r="Y1060" s="5"/>
      <c r="Z1060" s="5"/>
    </row>
    <row r="1061">
      <c r="A1061" s="56"/>
      <c r="B1061" s="57"/>
      <c r="C1061" s="56"/>
      <c r="D1061" s="56"/>
      <c r="E1061" s="56"/>
      <c r="F1061" s="56"/>
      <c r="G1061" s="56"/>
      <c r="H1061" s="56"/>
      <c r="I1061" s="56"/>
      <c r="J1061" s="56"/>
      <c r="K1061" s="56"/>
      <c r="L1061" s="56"/>
      <c r="M1061" s="56"/>
      <c r="N1061" s="56"/>
      <c r="O1061" s="56"/>
      <c r="P1061" s="56"/>
      <c r="Q1061" s="56"/>
      <c r="R1061" s="56"/>
      <c r="S1061" s="56"/>
      <c r="T1061" s="56"/>
      <c r="U1061" s="56"/>
      <c r="V1061" s="56"/>
      <c r="W1061" s="56"/>
      <c r="X1061" s="5"/>
      <c r="Y1061" s="5"/>
      <c r="Z1061" s="5"/>
    </row>
    <row r="1062">
      <c r="A1062" s="56"/>
      <c r="B1062" s="57"/>
      <c r="C1062" s="56"/>
      <c r="D1062" s="56"/>
      <c r="E1062" s="56"/>
      <c r="F1062" s="56"/>
      <c r="G1062" s="56"/>
      <c r="H1062" s="56"/>
      <c r="I1062" s="56"/>
      <c r="J1062" s="56"/>
      <c r="K1062" s="56"/>
      <c r="L1062" s="56"/>
      <c r="M1062" s="56"/>
      <c r="N1062" s="56"/>
      <c r="O1062" s="56"/>
      <c r="P1062" s="56"/>
      <c r="Q1062" s="56"/>
      <c r="R1062" s="56"/>
      <c r="S1062" s="56"/>
      <c r="T1062" s="56"/>
      <c r="U1062" s="56"/>
      <c r="V1062" s="56"/>
      <c r="W1062" s="56"/>
      <c r="X1062" s="5"/>
      <c r="Y1062" s="5"/>
      <c r="Z1062" s="5"/>
    </row>
    <row r="1063">
      <c r="A1063" s="56"/>
      <c r="B1063" s="57"/>
      <c r="C1063" s="56"/>
      <c r="D1063" s="56"/>
      <c r="E1063" s="56"/>
      <c r="F1063" s="56"/>
      <c r="G1063" s="56"/>
      <c r="H1063" s="56"/>
      <c r="I1063" s="56"/>
      <c r="J1063" s="56"/>
      <c r="K1063" s="56"/>
      <c r="L1063" s="56"/>
      <c r="M1063" s="56"/>
      <c r="N1063" s="56"/>
      <c r="O1063" s="56"/>
      <c r="P1063" s="56"/>
      <c r="Q1063" s="56"/>
      <c r="R1063" s="56"/>
      <c r="S1063" s="56"/>
      <c r="T1063" s="56"/>
      <c r="U1063" s="56"/>
      <c r="V1063" s="56"/>
      <c r="W1063" s="56"/>
      <c r="X1063" s="5"/>
      <c r="Y1063" s="5"/>
      <c r="Z1063" s="5"/>
    </row>
    <row r="1064">
      <c r="A1064" s="56"/>
      <c r="B1064" s="57"/>
      <c r="C1064" s="56"/>
      <c r="D1064" s="56"/>
      <c r="E1064" s="56"/>
      <c r="F1064" s="56"/>
      <c r="G1064" s="56"/>
      <c r="H1064" s="56"/>
      <c r="I1064" s="56"/>
      <c r="J1064" s="56"/>
      <c r="K1064" s="56"/>
      <c r="L1064" s="56"/>
      <c r="M1064" s="56"/>
      <c r="N1064" s="56"/>
      <c r="O1064" s="56"/>
      <c r="P1064" s="56"/>
      <c r="Q1064" s="56"/>
      <c r="R1064" s="56"/>
      <c r="S1064" s="56"/>
      <c r="T1064" s="56"/>
      <c r="U1064" s="56"/>
      <c r="V1064" s="56"/>
      <c r="W1064" s="56"/>
      <c r="X1064" s="5"/>
      <c r="Y1064" s="5"/>
      <c r="Z1064" s="5"/>
    </row>
    <row r="1065">
      <c r="A1065" s="56"/>
      <c r="B1065" s="57"/>
      <c r="C1065" s="56"/>
      <c r="D1065" s="56"/>
      <c r="E1065" s="56"/>
      <c r="F1065" s="56"/>
      <c r="G1065" s="56"/>
      <c r="H1065" s="56"/>
      <c r="I1065" s="56"/>
      <c r="J1065" s="56"/>
      <c r="K1065" s="56"/>
      <c r="L1065" s="56"/>
      <c r="M1065" s="56"/>
      <c r="N1065" s="56"/>
      <c r="O1065" s="56"/>
      <c r="P1065" s="56"/>
      <c r="Q1065" s="56"/>
      <c r="R1065" s="56"/>
      <c r="S1065" s="56"/>
      <c r="T1065" s="56"/>
      <c r="U1065" s="56"/>
      <c r="V1065" s="56"/>
      <c r="W1065" s="56"/>
      <c r="X1065" s="5"/>
      <c r="Y1065" s="5"/>
      <c r="Z1065" s="5"/>
    </row>
    <row r="1066">
      <c r="A1066" s="56"/>
      <c r="B1066" s="57"/>
      <c r="C1066" s="56"/>
      <c r="D1066" s="56"/>
      <c r="E1066" s="56"/>
      <c r="F1066" s="56"/>
      <c r="G1066" s="56"/>
      <c r="H1066" s="56"/>
      <c r="I1066" s="56"/>
      <c r="J1066" s="56"/>
      <c r="K1066" s="56"/>
      <c r="L1066" s="56"/>
      <c r="M1066" s="56"/>
      <c r="N1066" s="56"/>
      <c r="O1066" s="56"/>
      <c r="P1066" s="56"/>
      <c r="Q1066" s="56"/>
      <c r="R1066" s="56"/>
      <c r="S1066" s="56"/>
      <c r="T1066" s="56"/>
      <c r="U1066" s="56"/>
      <c r="V1066" s="56"/>
      <c r="W1066" s="56"/>
      <c r="X1066" s="5"/>
      <c r="Y1066" s="5"/>
      <c r="Z1066" s="5"/>
    </row>
    <row r="1067">
      <c r="A1067" s="56"/>
      <c r="B1067" s="57"/>
      <c r="C1067" s="56"/>
      <c r="D1067" s="56"/>
      <c r="E1067" s="56"/>
      <c r="F1067" s="56"/>
      <c r="G1067" s="56"/>
      <c r="H1067" s="56"/>
      <c r="I1067" s="56"/>
      <c r="J1067" s="56"/>
      <c r="K1067" s="56"/>
      <c r="L1067" s="56"/>
      <c r="M1067" s="56"/>
      <c r="N1067" s="56"/>
      <c r="O1067" s="56"/>
      <c r="P1067" s="56"/>
      <c r="Q1067" s="56"/>
      <c r="R1067" s="56"/>
      <c r="S1067" s="56"/>
      <c r="T1067" s="56"/>
      <c r="U1067" s="56"/>
      <c r="V1067" s="56"/>
      <c r="W1067" s="56"/>
      <c r="X1067" s="5"/>
      <c r="Y1067" s="5"/>
      <c r="Z1067" s="5"/>
    </row>
    <row r="1068">
      <c r="A1068" s="56"/>
      <c r="B1068" s="57"/>
      <c r="C1068" s="56"/>
      <c r="D1068" s="56"/>
      <c r="E1068" s="56"/>
      <c r="F1068" s="56"/>
      <c r="G1068" s="56"/>
      <c r="H1068" s="56"/>
      <c r="I1068" s="56"/>
      <c r="J1068" s="56"/>
      <c r="K1068" s="56"/>
      <c r="L1068" s="56"/>
      <c r="M1068" s="56"/>
      <c r="N1068" s="56"/>
      <c r="O1068" s="56"/>
      <c r="P1068" s="56"/>
      <c r="Q1068" s="56"/>
      <c r="R1068" s="56"/>
      <c r="S1068" s="56"/>
      <c r="T1068" s="56"/>
      <c r="U1068" s="56"/>
      <c r="V1068" s="56"/>
      <c r="W1068" s="56"/>
      <c r="X1068" s="5"/>
      <c r="Y1068" s="5"/>
      <c r="Z1068" s="5"/>
    </row>
    <row r="1069">
      <c r="A1069" s="56"/>
      <c r="B1069" s="57"/>
      <c r="C1069" s="56"/>
      <c r="D1069" s="56"/>
      <c r="E1069" s="56"/>
      <c r="F1069" s="56"/>
      <c r="G1069" s="56"/>
      <c r="H1069" s="56"/>
      <c r="I1069" s="56"/>
      <c r="J1069" s="56"/>
      <c r="K1069" s="56"/>
      <c r="L1069" s="56"/>
      <c r="M1069" s="56"/>
      <c r="N1069" s="56"/>
      <c r="O1069" s="56"/>
      <c r="P1069" s="56"/>
      <c r="Q1069" s="56"/>
      <c r="R1069" s="56"/>
      <c r="S1069" s="56"/>
      <c r="T1069" s="56"/>
      <c r="U1069" s="56"/>
      <c r="V1069" s="56"/>
      <c r="W1069" s="56"/>
      <c r="X1069" s="5"/>
      <c r="Y1069" s="5"/>
      <c r="Z1069" s="5"/>
    </row>
    <row r="1070">
      <c r="A1070" s="56"/>
      <c r="B1070" s="57"/>
      <c r="C1070" s="56"/>
      <c r="D1070" s="56"/>
      <c r="E1070" s="56"/>
      <c r="F1070" s="56"/>
      <c r="G1070" s="56"/>
      <c r="H1070" s="56"/>
      <c r="I1070" s="56"/>
      <c r="J1070" s="56"/>
      <c r="K1070" s="56"/>
      <c r="L1070" s="56"/>
      <c r="M1070" s="56"/>
      <c r="N1070" s="56"/>
      <c r="O1070" s="56"/>
      <c r="P1070" s="56"/>
      <c r="Q1070" s="56"/>
      <c r="R1070" s="56"/>
      <c r="S1070" s="56"/>
      <c r="T1070" s="56"/>
      <c r="U1070" s="56"/>
      <c r="V1070" s="56"/>
      <c r="W1070" s="56"/>
      <c r="X1070" s="5"/>
      <c r="Y1070" s="5"/>
      <c r="Z1070" s="5"/>
    </row>
    <row r="1071">
      <c r="A1071" s="56"/>
      <c r="B1071" s="57"/>
      <c r="C1071" s="56"/>
      <c r="D1071" s="56"/>
      <c r="E1071" s="56"/>
      <c r="F1071" s="56"/>
      <c r="G1071" s="56"/>
      <c r="H1071" s="56"/>
      <c r="I1071" s="56"/>
      <c r="J1071" s="56"/>
      <c r="K1071" s="56"/>
      <c r="L1071" s="56"/>
      <c r="M1071" s="56"/>
      <c r="N1071" s="56"/>
      <c r="O1071" s="56"/>
      <c r="P1071" s="56"/>
      <c r="Q1071" s="56"/>
      <c r="R1071" s="56"/>
      <c r="S1071" s="56"/>
      <c r="T1071" s="56"/>
      <c r="U1071" s="56"/>
      <c r="V1071" s="56"/>
      <c r="W1071" s="56"/>
      <c r="X1071" s="5"/>
      <c r="Y1071" s="5"/>
      <c r="Z1071" s="5"/>
    </row>
    <row r="1072">
      <c r="A1072" s="56"/>
      <c r="B1072" s="57"/>
      <c r="C1072" s="56"/>
      <c r="D1072" s="56"/>
      <c r="E1072" s="56"/>
      <c r="F1072" s="56"/>
      <c r="G1072" s="56"/>
      <c r="H1072" s="56"/>
      <c r="I1072" s="56"/>
      <c r="J1072" s="56"/>
      <c r="K1072" s="56"/>
      <c r="L1072" s="56"/>
      <c r="M1072" s="56"/>
      <c r="N1072" s="56"/>
      <c r="O1072" s="56"/>
      <c r="P1072" s="56"/>
      <c r="Q1072" s="56"/>
      <c r="R1072" s="56"/>
      <c r="S1072" s="56"/>
      <c r="T1072" s="56"/>
      <c r="U1072" s="56"/>
      <c r="V1072" s="56"/>
      <c r="W1072" s="56"/>
      <c r="X1072" s="5"/>
      <c r="Y1072" s="5"/>
      <c r="Z1072" s="5"/>
    </row>
    <row r="1073">
      <c r="A1073" s="56"/>
      <c r="B1073" s="57"/>
      <c r="C1073" s="56"/>
      <c r="D1073" s="56"/>
      <c r="E1073" s="56"/>
      <c r="F1073" s="56"/>
      <c r="G1073" s="56"/>
      <c r="H1073" s="56"/>
      <c r="I1073" s="56"/>
      <c r="J1073" s="56"/>
      <c r="K1073" s="56"/>
      <c r="L1073" s="56"/>
      <c r="M1073" s="56"/>
      <c r="N1073" s="56"/>
      <c r="O1073" s="56"/>
      <c r="P1073" s="56"/>
      <c r="Q1073" s="56"/>
      <c r="R1073" s="56"/>
      <c r="S1073" s="56"/>
      <c r="T1073" s="56"/>
      <c r="U1073" s="56"/>
      <c r="V1073" s="56"/>
      <c r="W1073" s="56"/>
      <c r="X1073" s="5"/>
      <c r="Y1073" s="5"/>
      <c r="Z1073" s="5"/>
    </row>
    <row r="1074">
      <c r="A1074" s="56"/>
      <c r="B1074" s="57"/>
      <c r="C1074" s="56"/>
      <c r="D1074" s="56"/>
      <c r="E1074" s="56"/>
      <c r="F1074" s="56"/>
      <c r="G1074" s="56"/>
      <c r="H1074" s="56"/>
      <c r="I1074" s="56"/>
      <c r="J1074" s="56"/>
      <c r="K1074" s="56"/>
      <c r="L1074" s="56"/>
      <c r="M1074" s="56"/>
      <c r="N1074" s="56"/>
      <c r="O1074" s="56"/>
      <c r="P1074" s="56"/>
      <c r="Q1074" s="56"/>
      <c r="R1074" s="56"/>
      <c r="S1074" s="56"/>
      <c r="T1074" s="56"/>
      <c r="U1074" s="56"/>
      <c r="V1074" s="56"/>
      <c r="W1074" s="56"/>
      <c r="X1074" s="5"/>
      <c r="Y1074" s="5"/>
      <c r="Z1074" s="5"/>
    </row>
    <row r="1075">
      <c r="A1075" s="56"/>
      <c r="B1075" s="57"/>
      <c r="C1075" s="56"/>
      <c r="D1075" s="56"/>
      <c r="E1075" s="56"/>
      <c r="F1075" s="56"/>
      <c r="G1075" s="56"/>
      <c r="H1075" s="56"/>
      <c r="I1075" s="56"/>
      <c r="J1075" s="56"/>
      <c r="K1075" s="56"/>
      <c r="L1075" s="56"/>
      <c r="M1075" s="56"/>
      <c r="N1075" s="56"/>
      <c r="O1075" s="56"/>
      <c r="P1075" s="56"/>
      <c r="Q1075" s="56"/>
      <c r="R1075" s="56"/>
      <c r="S1075" s="56"/>
      <c r="T1075" s="56"/>
      <c r="U1075" s="56"/>
      <c r="V1075" s="56"/>
      <c r="W1075" s="56"/>
      <c r="X1075" s="5"/>
      <c r="Y1075" s="5"/>
      <c r="Z1075" s="5"/>
    </row>
    <row r="1076">
      <c r="A1076" s="56"/>
      <c r="B1076" s="57"/>
      <c r="C1076" s="56"/>
      <c r="D1076" s="56"/>
      <c r="E1076" s="56"/>
      <c r="F1076" s="56"/>
      <c r="G1076" s="56"/>
      <c r="H1076" s="56"/>
      <c r="I1076" s="56"/>
      <c r="J1076" s="56"/>
      <c r="K1076" s="56"/>
      <c r="L1076" s="56"/>
      <c r="M1076" s="56"/>
      <c r="N1076" s="56"/>
      <c r="O1076" s="56"/>
      <c r="P1076" s="56"/>
      <c r="Q1076" s="56"/>
      <c r="R1076" s="56"/>
      <c r="S1076" s="56"/>
      <c r="T1076" s="56"/>
      <c r="U1076" s="56"/>
      <c r="V1076" s="56"/>
      <c r="W1076" s="56"/>
      <c r="X1076" s="5"/>
      <c r="Y1076" s="5"/>
      <c r="Z1076" s="5"/>
    </row>
    <row r="1077">
      <c r="A1077" s="56"/>
      <c r="B1077" s="57"/>
      <c r="C1077" s="56"/>
      <c r="D1077" s="56"/>
      <c r="E1077" s="56"/>
      <c r="F1077" s="56"/>
      <c r="G1077" s="56"/>
      <c r="H1077" s="56"/>
      <c r="I1077" s="56"/>
      <c r="J1077" s="56"/>
      <c r="K1077" s="56"/>
      <c r="L1077" s="56"/>
      <c r="M1077" s="56"/>
      <c r="N1077" s="56"/>
      <c r="O1077" s="56"/>
      <c r="P1077" s="56"/>
      <c r="Q1077" s="56"/>
      <c r="R1077" s="56"/>
      <c r="S1077" s="56"/>
      <c r="T1077" s="56"/>
      <c r="U1077" s="56"/>
      <c r="V1077" s="56"/>
      <c r="W1077" s="56"/>
      <c r="X1077" s="5"/>
      <c r="Y1077" s="5"/>
      <c r="Z1077" s="5"/>
    </row>
    <row r="1078">
      <c r="A1078" s="56"/>
      <c r="B1078" s="57"/>
      <c r="C1078" s="56"/>
      <c r="D1078" s="56"/>
      <c r="E1078" s="56"/>
      <c r="F1078" s="56"/>
      <c r="G1078" s="56"/>
      <c r="H1078" s="56"/>
      <c r="I1078" s="56"/>
      <c r="J1078" s="56"/>
      <c r="K1078" s="56"/>
      <c r="L1078" s="56"/>
      <c r="M1078" s="56"/>
      <c r="N1078" s="56"/>
      <c r="O1078" s="56"/>
      <c r="P1078" s="56"/>
      <c r="Q1078" s="56"/>
      <c r="R1078" s="56"/>
      <c r="S1078" s="56"/>
      <c r="T1078" s="56"/>
      <c r="U1078" s="56"/>
      <c r="V1078" s="56"/>
      <c r="W1078" s="56"/>
      <c r="X1078" s="5"/>
      <c r="Y1078" s="5"/>
      <c r="Z1078" s="5"/>
    </row>
    <row r="1079">
      <c r="A1079" s="56"/>
      <c r="B1079" s="57"/>
      <c r="C1079" s="56"/>
      <c r="D1079" s="56"/>
      <c r="E1079" s="56"/>
      <c r="F1079" s="56"/>
      <c r="G1079" s="56"/>
      <c r="H1079" s="56"/>
      <c r="I1079" s="56"/>
      <c r="J1079" s="56"/>
      <c r="K1079" s="56"/>
      <c r="L1079" s="56"/>
      <c r="M1079" s="56"/>
      <c r="N1079" s="56"/>
      <c r="O1079" s="56"/>
      <c r="P1079" s="56"/>
      <c r="Q1079" s="56"/>
      <c r="R1079" s="56"/>
      <c r="S1079" s="56"/>
      <c r="T1079" s="56"/>
      <c r="U1079" s="56"/>
      <c r="V1079" s="56"/>
      <c r="W1079" s="56"/>
      <c r="X1079" s="5"/>
      <c r="Y1079" s="5"/>
      <c r="Z1079" s="5"/>
    </row>
    <row r="1080">
      <c r="A1080" s="56"/>
      <c r="B1080" s="57"/>
      <c r="C1080" s="56"/>
      <c r="D1080" s="56"/>
      <c r="E1080" s="56"/>
      <c r="F1080" s="56"/>
      <c r="G1080" s="56"/>
      <c r="H1080" s="56"/>
      <c r="I1080" s="56"/>
      <c r="J1080" s="56"/>
      <c r="K1080" s="56"/>
      <c r="L1080" s="56"/>
      <c r="M1080" s="56"/>
      <c r="N1080" s="56"/>
      <c r="O1080" s="56"/>
      <c r="P1080" s="56"/>
      <c r="Q1080" s="56"/>
      <c r="R1080" s="56"/>
      <c r="S1080" s="56"/>
      <c r="T1080" s="56"/>
      <c r="U1080" s="56"/>
      <c r="V1080" s="56"/>
      <c r="W1080" s="56"/>
      <c r="X1080" s="5"/>
      <c r="Y1080" s="5"/>
      <c r="Z1080" s="5"/>
    </row>
    <row r="1081">
      <c r="A1081" s="56"/>
      <c r="B1081" s="57"/>
      <c r="C1081" s="56"/>
      <c r="D1081" s="56"/>
      <c r="E1081" s="56"/>
      <c r="F1081" s="56"/>
      <c r="G1081" s="56"/>
      <c r="H1081" s="56"/>
      <c r="I1081" s="56"/>
      <c r="J1081" s="56"/>
      <c r="K1081" s="56"/>
      <c r="L1081" s="56"/>
      <c r="M1081" s="56"/>
      <c r="N1081" s="56"/>
      <c r="O1081" s="56"/>
      <c r="P1081" s="56"/>
      <c r="Q1081" s="56"/>
      <c r="R1081" s="56"/>
      <c r="S1081" s="56"/>
      <c r="T1081" s="56"/>
      <c r="U1081" s="56"/>
      <c r="V1081" s="56"/>
      <c r="W1081" s="56"/>
      <c r="X1081" s="5"/>
      <c r="Y1081" s="5"/>
      <c r="Z1081" s="5"/>
    </row>
    <row r="1082">
      <c r="A1082" s="56"/>
      <c r="B1082" s="57"/>
      <c r="C1082" s="56"/>
      <c r="D1082" s="56"/>
      <c r="E1082" s="56"/>
      <c r="F1082" s="56"/>
      <c r="G1082" s="56"/>
      <c r="H1082" s="56"/>
      <c r="I1082" s="56"/>
      <c r="J1082" s="56"/>
      <c r="K1082" s="56"/>
      <c r="L1082" s="56"/>
      <c r="M1082" s="56"/>
      <c r="N1082" s="56"/>
      <c r="O1082" s="56"/>
      <c r="P1082" s="56"/>
      <c r="Q1082" s="56"/>
      <c r="R1082" s="56"/>
      <c r="S1082" s="56"/>
      <c r="T1082" s="56"/>
      <c r="U1082" s="56"/>
      <c r="V1082" s="56"/>
      <c r="W1082" s="56"/>
      <c r="X1082" s="5"/>
      <c r="Y1082" s="5"/>
      <c r="Z1082" s="5"/>
    </row>
    <row r="1083">
      <c r="A1083" s="56"/>
      <c r="B1083" s="57"/>
      <c r="C1083" s="56"/>
      <c r="D1083" s="56"/>
      <c r="E1083" s="56"/>
      <c r="F1083" s="56"/>
      <c r="G1083" s="56"/>
      <c r="H1083" s="56"/>
      <c r="I1083" s="56"/>
      <c r="J1083" s="56"/>
      <c r="K1083" s="56"/>
      <c r="L1083" s="56"/>
      <c r="M1083" s="56"/>
      <c r="N1083" s="56"/>
      <c r="O1083" s="56"/>
      <c r="P1083" s="56"/>
      <c r="Q1083" s="56"/>
      <c r="R1083" s="56"/>
      <c r="S1083" s="56"/>
      <c r="T1083" s="56"/>
      <c r="U1083" s="56"/>
      <c r="V1083" s="56"/>
      <c r="W1083" s="56"/>
      <c r="X1083" s="5"/>
      <c r="Y1083" s="5"/>
      <c r="Z1083" s="5"/>
    </row>
    <row r="1084">
      <c r="A1084" s="56"/>
      <c r="B1084" s="57"/>
      <c r="C1084" s="56"/>
      <c r="D1084" s="56"/>
      <c r="E1084" s="56"/>
      <c r="F1084" s="56"/>
      <c r="G1084" s="56"/>
      <c r="H1084" s="56"/>
      <c r="I1084" s="56"/>
      <c r="J1084" s="56"/>
      <c r="K1084" s="56"/>
      <c r="L1084" s="56"/>
      <c r="M1084" s="56"/>
      <c r="N1084" s="56"/>
      <c r="O1084" s="56"/>
      <c r="P1084" s="56"/>
      <c r="Q1084" s="56"/>
      <c r="R1084" s="56"/>
      <c r="S1084" s="56"/>
      <c r="T1084" s="56"/>
      <c r="U1084" s="56"/>
      <c r="V1084" s="56"/>
      <c r="W1084" s="56"/>
      <c r="X1084" s="5"/>
      <c r="Y1084" s="5"/>
      <c r="Z1084" s="5"/>
    </row>
    <row r="1085">
      <c r="A1085" s="56"/>
      <c r="B1085" s="57"/>
      <c r="C1085" s="56"/>
      <c r="D1085" s="56"/>
      <c r="E1085" s="56"/>
      <c r="F1085" s="56"/>
      <c r="G1085" s="56"/>
      <c r="H1085" s="56"/>
      <c r="I1085" s="56"/>
      <c r="J1085" s="56"/>
      <c r="K1085" s="56"/>
      <c r="L1085" s="56"/>
      <c r="M1085" s="56"/>
      <c r="N1085" s="56"/>
      <c r="O1085" s="56"/>
      <c r="P1085" s="56"/>
      <c r="Q1085" s="56"/>
      <c r="R1085" s="56"/>
      <c r="S1085" s="56"/>
      <c r="T1085" s="56"/>
      <c r="U1085" s="56"/>
      <c r="V1085" s="56"/>
      <c r="W1085" s="56"/>
      <c r="X1085" s="5"/>
      <c r="Y1085" s="5"/>
      <c r="Z1085" s="5"/>
    </row>
    <row r="1086">
      <c r="A1086" s="56"/>
      <c r="B1086" s="57"/>
      <c r="C1086" s="56"/>
      <c r="D1086" s="56"/>
      <c r="E1086" s="56"/>
      <c r="F1086" s="56"/>
      <c r="G1086" s="56"/>
      <c r="H1086" s="56"/>
      <c r="I1086" s="56"/>
      <c r="J1086" s="56"/>
      <c r="K1086" s="56"/>
      <c r="L1086" s="56"/>
      <c r="M1086" s="56"/>
      <c r="N1086" s="56"/>
      <c r="O1086" s="56"/>
      <c r="P1086" s="56"/>
      <c r="Q1086" s="56"/>
      <c r="R1086" s="56"/>
      <c r="S1086" s="56"/>
      <c r="T1086" s="56"/>
      <c r="U1086" s="56"/>
      <c r="V1086" s="56"/>
      <c r="W1086" s="56"/>
      <c r="X1086" s="5"/>
      <c r="Y1086" s="5"/>
      <c r="Z1086" s="5"/>
    </row>
    <row r="1087">
      <c r="A1087" s="56"/>
      <c r="B1087" s="57"/>
      <c r="C1087" s="56"/>
      <c r="D1087" s="56"/>
      <c r="E1087" s="56"/>
      <c r="F1087" s="56"/>
      <c r="G1087" s="56"/>
      <c r="H1087" s="56"/>
      <c r="I1087" s="56"/>
      <c r="J1087" s="56"/>
      <c r="K1087" s="56"/>
      <c r="L1087" s="56"/>
      <c r="M1087" s="56"/>
      <c r="N1087" s="56"/>
      <c r="O1087" s="56"/>
      <c r="P1087" s="56"/>
      <c r="Q1087" s="56"/>
      <c r="R1087" s="56"/>
      <c r="S1087" s="56"/>
      <c r="T1087" s="56"/>
      <c r="U1087" s="56"/>
      <c r="V1087" s="56"/>
      <c r="W1087" s="56"/>
      <c r="X1087" s="5"/>
      <c r="Y1087" s="5"/>
      <c r="Z1087" s="5"/>
    </row>
    <row r="1088">
      <c r="A1088" s="56"/>
      <c r="B1088" s="57"/>
      <c r="C1088" s="56"/>
      <c r="D1088" s="56"/>
      <c r="E1088" s="56"/>
      <c r="F1088" s="56"/>
      <c r="G1088" s="56"/>
      <c r="H1088" s="56"/>
      <c r="I1088" s="56"/>
      <c r="J1088" s="56"/>
      <c r="K1088" s="56"/>
      <c r="L1088" s="56"/>
      <c r="M1088" s="56"/>
      <c r="N1088" s="56"/>
      <c r="O1088" s="56"/>
      <c r="P1088" s="56"/>
      <c r="Q1088" s="56"/>
      <c r="R1088" s="56"/>
      <c r="S1088" s="56"/>
      <c r="T1088" s="56"/>
      <c r="U1088" s="56"/>
      <c r="V1088" s="56"/>
      <c r="W1088" s="56"/>
      <c r="X1088" s="5"/>
      <c r="Y1088" s="5"/>
      <c r="Z1088" s="5"/>
    </row>
    <row r="1089">
      <c r="A1089" s="56"/>
      <c r="B1089" s="57"/>
      <c r="C1089" s="56"/>
      <c r="D1089" s="56"/>
      <c r="E1089" s="56"/>
      <c r="F1089" s="56"/>
      <c r="G1089" s="56"/>
      <c r="H1089" s="56"/>
      <c r="I1089" s="56"/>
      <c r="J1089" s="56"/>
      <c r="K1089" s="56"/>
      <c r="L1089" s="56"/>
      <c r="M1089" s="56"/>
      <c r="N1089" s="56"/>
      <c r="O1089" s="56"/>
      <c r="P1089" s="56"/>
      <c r="Q1089" s="56"/>
      <c r="R1089" s="56"/>
      <c r="S1089" s="56"/>
      <c r="T1089" s="56"/>
      <c r="U1089" s="56"/>
      <c r="V1089" s="56"/>
      <c r="W1089" s="56"/>
      <c r="X1089" s="5"/>
      <c r="Y1089" s="5"/>
      <c r="Z1089" s="5"/>
    </row>
    <row r="1090">
      <c r="A1090" s="56"/>
      <c r="B1090" s="57"/>
      <c r="C1090" s="56"/>
      <c r="D1090" s="56"/>
      <c r="E1090" s="56"/>
      <c r="F1090" s="56"/>
      <c r="G1090" s="56"/>
      <c r="H1090" s="56"/>
      <c r="I1090" s="56"/>
      <c r="J1090" s="56"/>
      <c r="K1090" s="56"/>
      <c r="L1090" s="56"/>
      <c r="M1090" s="56"/>
      <c r="N1090" s="56"/>
      <c r="O1090" s="56"/>
      <c r="P1090" s="56"/>
      <c r="Q1090" s="56"/>
      <c r="R1090" s="56"/>
      <c r="S1090" s="56"/>
      <c r="T1090" s="56"/>
      <c r="U1090" s="56"/>
      <c r="V1090" s="56"/>
      <c r="W1090" s="56"/>
      <c r="X1090" s="5"/>
      <c r="Y1090" s="5"/>
      <c r="Z1090" s="5"/>
    </row>
    <row r="1091">
      <c r="A1091" s="56"/>
      <c r="B1091" s="57"/>
      <c r="C1091" s="56"/>
      <c r="D1091" s="56"/>
      <c r="E1091" s="56"/>
      <c r="F1091" s="56"/>
      <c r="G1091" s="56"/>
      <c r="H1091" s="56"/>
      <c r="I1091" s="56"/>
      <c r="J1091" s="56"/>
      <c r="K1091" s="56"/>
      <c r="L1091" s="56"/>
      <c r="M1091" s="56"/>
      <c r="N1091" s="56"/>
      <c r="O1091" s="56"/>
      <c r="P1091" s="56"/>
      <c r="Q1091" s="56"/>
      <c r="R1091" s="56"/>
      <c r="S1091" s="56"/>
      <c r="T1091" s="56"/>
      <c r="U1091" s="56"/>
      <c r="V1091" s="56"/>
      <c r="W1091" s="56"/>
      <c r="X1091" s="5"/>
      <c r="Y1091" s="5"/>
      <c r="Z1091" s="5"/>
    </row>
    <row r="1092">
      <c r="A1092" s="56"/>
      <c r="B1092" s="57"/>
      <c r="C1092" s="56"/>
      <c r="D1092" s="56"/>
      <c r="E1092" s="56"/>
      <c r="F1092" s="56"/>
      <c r="G1092" s="56"/>
      <c r="H1092" s="56"/>
      <c r="I1092" s="56"/>
      <c r="J1092" s="56"/>
      <c r="K1092" s="56"/>
      <c r="L1092" s="56"/>
      <c r="M1092" s="56"/>
      <c r="N1092" s="56"/>
      <c r="O1092" s="56"/>
      <c r="P1092" s="56"/>
      <c r="Q1092" s="56"/>
      <c r="R1092" s="56"/>
      <c r="S1092" s="56"/>
      <c r="T1092" s="56"/>
      <c r="U1092" s="56"/>
      <c r="V1092" s="56"/>
      <c r="W1092" s="56"/>
      <c r="X1092" s="5"/>
      <c r="Y1092" s="5"/>
      <c r="Z1092" s="5"/>
    </row>
    <row r="1093">
      <c r="A1093" s="56"/>
      <c r="B1093" s="57"/>
      <c r="C1093" s="56"/>
      <c r="D1093" s="56"/>
      <c r="E1093" s="56"/>
      <c r="F1093" s="56"/>
      <c r="G1093" s="56"/>
      <c r="H1093" s="56"/>
      <c r="I1093" s="56"/>
      <c r="J1093" s="56"/>
      <c r="K1093" s="56"/>
      <c r="L1093" s="56"/>
      <c r="M1093" s="56"/>
      <c r="N1093" s="56"/>
      <c r="O1093" s="56"/>
      <c r="P1093" s="56"/>
      <c r="Q1093" s="56"/>
      <c r="R1093" s="56"/>
      <c r="S1093" s="56"/>
      <c r="T1093" s="56"/>
      <c r="U1093" s="56"/>
      <c r="V1093" s="56"/>
      <c r="W1093" s="56"/>
      <c r="X1093" s="5"/>
      <c r="Y1093" s="5"/>
      <c r="Z1093" s="5"/>
    </row>
    <row r="1094">
      <c r="A1094" s="56"/>
      <c r="B1094" s="57"/>
      <c r="C1094" s="56"/>
      <c r="D1094" s="56"/>
      <c r="E1094" s="56"/>
      <c r="F1094" s="56"/>
      <c r="G1094" s="56"/>
      <c r="H1094" s="56"/>
      <c r="I1094" s="56"/>
      <c r="J1094" s="56"/>
      <c r="K1094" s="56"/>
      <c r="L1094" s="56"/>
      <c r="M1094" s="56"/>
      <c r="N1094" s="56"/>
      <c r="O1094" s="56"/>
      <c r="P1094" s="56"/>
      <c r="Q1094" s="56"/>
      <c r="R1094" s="56"/>
      <c r="S1094" s="56"/>
      <c r="T1094" s="56"/>
      <c r="U1094" s="56"/>
      <c r="V1094" s="56"/>
      <c r="W1094" s="56"/>
      <c r="X1094" s="5"/>
      <c r="Y1094" s="5"/>
      <c r="Z1094" s="5"/>
    </row>
    <row r="1095">
      <c r="A1095" s="56"/>
      <c r="B1095" s="57"/>
      <c r="C1095" s="56"/>
      <c r="D1095" s="56"/>
      <c r="E1095" s="56"/>
      <c r="F1095" s="56"/>
      <c r="G1095" s="56"/>
      <c r="H1095" s="56"/>
      <c r="I1095" s="56"/>
      <c r="J1095" s="56"/>
      <c r="K1095" s="56"/>
      <c r="L1095" s="56"/>
      <c r="M1095" s="56"/>
      <c r="N1095" s="56"/>
      <c r="O1095" s="56"/>
      <c r="P1095" s="56"/>
      <c r="Q1095" s="56"/>
      <c r="R1095" s="56"/>
      <c r="S1095" s="56"/>
      <c r="T1095" s="56"/>
      <c r="U1095" s="56"/>
      <c r="V1095" s="56"/>
      <c r="W1095" s="56"/>
      <c r="X1095" s="5"/>
      <c r="Y1095" s="5"/>
      <c r="Z1095" s="5"/>
    </row>
    <row r="1096">
      <c r="A1096" s="56"/>
      <c r="B1096" s="57"/>
      <c r="C1096" s="56"/>
      <c r="D1096" s="56"/>
      <c r="E1096" s="56"/>
      <c r="F1096" s="56"/>
      <c r="G1096" s="56"/>
      <c r="H1096" s="56"/>
      <c r="I1096" s="56"/>
      <c r="J1096" s="56"/>
      <c r="K1096" s="56"/>
      <c r="L1096" s="56"/>
      <c r="M1096" s="56"/>
      <c r="N1096" s="56"/>
      <c r="O1096" s="56"/>
      <c r="P1096" s="56"/>
      <c r="Q1096" s="56"/>
      <c r="R1096" s="56"/>
      <c r="S1096" s="56"/>
      <c r="T1096" s="56"/>
      <c r="U1096" s="56"/>
      <c r="V1096" s="56"/>
      <c r="W1096" s="56"/>
      <c r="X1096" s="5"/>
      <c r="Y1096" s="5"/>
      <c r="Z1096" s="5"/>
    </row>
    <row r="1097">
      <c r="A1097" s="56"/>
      <c r="B1097" s="57"/>
      <c r="C1097" s="56"/>
      <c r="D1097" s="56"/>
      <c r="E1097" s="56"/>
      <c r="F1097" s="56"/>
      <c r="G1097" s="56"/>
      <c r="H1097" s="56"/>
      <c r="I1097" s="56"/>
      <c r="J1097" s="56"/>
      <c r="K1097" s="56"/>
      <c r="L1097" s="56"/>
      <c r="M1097" s="56"/>
      <c r="N1097" s="56"/>
      <c r="O1097" s="56"/>
      <c r="P1097" s="56"/>
      <c r="Q1097" s="56"/>
      <c r="R1097" s="56"/>
      <c r="S1097" s="56"/>
      <c r="T1097" s="56"/>
      <c r="U1097" s="56"/>
      <c r="V1097" s="56"/>
      <c r="W1097" s="56"/>
      <c r="X1097" s="5"/>
      <c r="Y1097" s="5"/>
      <c r="Z1097" s="5"/>
    </row>
    <row r="1098">
      <c r="A1098" s="56"/>
      <c r="B1098" s="57"/>
      <c r="C1098" s="56"/>
      <c r="D1098" s="56"/>
      <c r="E1098" s="56"/>
      <c r="F1098" s="56"/>
      <c r="G1098" s="56"/>
      <c r="H1098" s="56"/>
      <c r="I1098" s="56"/>
      <c r="J1098" s="56"/>
      <c r="K1098" s="56"/>
      <c r="L1098" s="56"/>
      <c r="M1098" s="56"/>
      <c r="N1098" s="56"/>
      <c r="O1098" s="56"/>
      <c r="P1098" s="56"/>
      <c r="Q1098" s="56"/>
      <c r="R1098" s="56"/>
      <c r="S1098" s="56"/>
      <c r="T1098" s="56"/>
      <c r="U1098" s="56"/>
      <c r="V1098" s="56"/>
      <c r="W1098" s="56"/>
      <c r="X1098" s="5"/>
      <c r="Y1098" s="5"/>
      <c r="Z1098" s="5"/>
    </row>
    <row r="1099">
      <c r="A1099" s="56"/>
      <c r="B1099" s="57"/>
      <c r="C1099" s="56"/>
      <c r="D1099" s="56"/>
      <c r="E1099" s="56"/>
      <c r="F1099" s="56"/>
      <c r="G1099" s="56"/>
      <c r="H1099" s="56"/>
      <c r="I1099" s="56"/>
      <c r="J1099" s="56"/>
      <c r="K1099" s="56"/>
      <c r="L1099" s="56"/>
      <c r="M1099" s="56"/>
      <c r="N1099" s="56"/>
      <c r="O1099" s="56"/>
      <c r="P1099" s="56"/>
      <c r="Q1099" s="56"/>
      <c r="R1099" s="56"/>
      <c r="S1099" s="56"/>
      <c r="T1099" s="56"/>
      <c r="U1099" s="56"/>
      <c r="V1099" s="56"/>
      <c r="W1099" s="56"/>
      <c r="X1099" s="5"/>
      <c r="Y1099" s="5"/>
      <c r="Z1099" s="5"/>
    </row>
    <row r="1100">
      <c r="A1100" s="56"/>
      <c r="B1100" s="57"/>
      <c r="C1100" s="56"/>
      <c r="D1100" s="56"/>
      <c r="E1100" s="56"/>
      <c r="F1100" s="56"/>
      <c r="G1100" s="56"/>
      <c r="H1100" s="56"/>
      <c r="I1100" s="56"/>
      <c r="J1100" s="56"/>
      <c r="K1100" s="56"/>
      <c r="L1100" s="56"/>
      <c r="M1100" s="56"/>
      <c r="N1100" s="56"/>
      <c r="O1100" s="56"/>
      <c r="P1100" s="56"/>
      <c r="Q1100" s="56"/>
      <c r="R1100" s="56"/>
      <c r="S1100" s="56"/>
      <c r="T1100" s="56"/>
      <c r="U1100" s="56"/>
      <c r="V1100" s="56"/>
      <c r="W1100" s="56"/>
      <c r="X1100" s="5"/>
      <c r="Y1100" s="5"/>
      <c r="Z1100" s="5"/>
    </row>
    <row r="1101">
      <c r="A1101" s="56"/>
      <c r="B1101" s="57"/>
      <c r="C1101" s="56"/>
      <c r="D1101" s="56"/>
      <c r="E1101" s="56"/>
      <c r="F1101" s="56"/>
      <c r="G1101" s="56"/>
      <c r="H1101" s="56"/>
      <c r="I1101" s="56"/>
      <c r="J1101" s="56"/>
      <c r="K1101" s="56"/>
      <c r="L1101" s="56"/>
      <c r="M1101" s="56"/>
      <c r="N1101" s="56"/>
      <c r="O1101" s="56"/>
      <c r="P1101" s="56"/>
      <c r="Q1101" s="56"/>
      <c r="R1101" s="56"/>
      <c r="S1101" s="56"/>
      <c r="T1101" s="56"/>
      <c r="U1101" s="56"/>
      <c r="V1101" s="56"/>
      <c r="W1101" s="56"/>
      <c r="X1101" s="5"/>
      <c r="Y1101" s="5"/>
      <c r="Z1101" s="5"/>
    </row>
    <row r="1102">
      <c r="A1102" s="56"/>
      <c r="B1102" s="57"/>
      <c r="C1102" s="56"/>
      <c r="D1102" s="56"/>
      <c r="E1102" s="56"/>
      <c r="F1102" s="56"/>
      <c r="G1102" s="56"/>
      <c r="H1102" s="56"/>
      <c r="I1102" s="56"/>
      <c r="J1102" s="56"/>
      <c r="K1102" s="56"/>
      <c r="L1102" s="56"/>
      <c r="M1102" s="56"/>
      <c r="N1102" s="56"/>
      <c r="O1102" s="56"/>
      <c r="P1102" s="56"/>
      <c r="Q1102" s="56"/>
      <c r="R1102" s="56"/>
      <c r="S1102" s="56"/>
      <c r="T1102" s="56"/>
      <c r="U1102" s="56"/>
      <c r="V1102" s="56"/>
      <c r="W1102" s="56"/>
      <c r="X1102" s="5"/>
      <c r="Y1102" s="5"/>
      <c r="Z1102" s="5"/>
    </row>
    <row r="1103">
      <c r="A1103" s="56"/>
      <c r="B1103" s="57"/>
      <c r="C1103" s="56"/>
      <c r="D1103" s="56"/>
      <c r="E1103" s="56"/>
      <c r="F1103" s="56"/>
      <c r="G1103" s="56"/>
      <c r="H1103" s="56"/>
      <c r="I1103" s="56"/>
      <c r="J1103" s="56"/>
      <c r="K1103" s="56"/>
      <c r="L1103" s="56"/>
      <c r="M1103" s="56"/>
      <c r="N1103" s="56"/>
      <c r="O1103" s="56"/>
      <c r="P1103" s="56"/>
      <c r="Q1103" s="56"/>
      <c r="R1103" s="56"/>
      <c r="S1103" s="56"/>
      <c r="T1103" s="56"/>
      <c r="U1103" s="56"/>
      <c r="V1103" s="56"/>
      <c r="W1103" s="56"/>
      <c r="X1103" s="5"/>
      <c r="Y1103" s="5"/>
      <c r="Z1103" s="5"/>
    </row>
    <row r="1104">
      <c r="A1104" s="56"/>
      <c r="B1104" s="57"/>
      <c r="C1104" s="56"/>
      <c r="D1104" s="56"/>
      <c r="E1104" s="56"/>
      <c r="F1104" s="56"/>
      <c r="G1104" s="56"/>
      <c r="H1104" s="56"/>
      <c r="I1104" s="56"/>
      <c r="J1104" s="56"/>
      <c r="K1104" s="56"/>
      <c r="L1104" s="56"/>
      <c r="M1104" s="56"/>
      <c r="N1104" s="56"/>
      <c r="O1104" s="56"/>
      <c r="P1104" s="56"/>
      <c r="Q1104" s="56"/>
      <c r="R1104" s="56"/>
      <c r="S1104" s="56"/>
      <c r="T1104" s="56"/>
      <c r="U1104" s="56"/>
      <c r="V1104" s="56"/>
      <c r="W1104" s="56"/>
      <c r="X1104" s="5"/>
      <c r="Y1104" s="5"/>
      <c r="Z1104" s="5"/>
    </row>
    <row r="1105">
      <c r="A1105" s="56"/>
      <c r="B1105" s="57"/>
      <c r="C1105" s="56"/>
      <c r="D1105" s="56"/>
      <c r="E1105" s="56"/>
      <c r="F1105" s="56"/>
      <c r="G1105" s="56"/>
      <c r="H1105" s="56"/>
      <c r="I1105" s="56"/>
      <c r="J1105" s="56"/>
      <c r="K1105" s="56"/>
      <c r="L1105" s="56"/>
      <c r="M1105" s="56"/>
      <c r="N1105" s="56"/>
      <c r="O1105" s="56"/>
      <c r="P1105" s="56"/>
      <c r="Q1105" s="56"/>
      <c r="R1105" s="56"/>
      <c r="S1105" s="56"/>
      <c r="T1105" s="56"/>
      <c r="U1105" s="56"/>
      <c r="V1105" s="56"/>
      <c r="W1105" s="56"/>
      <c r="X1105" s="5"/>
      <c r="Y1105" s="5"/>
      <c r="Z1105" s="5"/>
    </row>
    <row r="1106">
      <c r="A1106" s="56"/>
      <c r="B1106" s="57"/>
      <c r="C1106" s="56"/>
      <c r="D1106" s="56"/>
      <c r="E1106" s="56"/>
      <c r="F1106" s="56"/>
      <c r="G1106" s="56"/>
      <c r="H1106" s="56"/>
      <c r="I1106" s="56"/>
      <c r="J1106" s="56"/>
      <c r="K1106" s="56"/>
      <c r="L1106" s="56"/>
      <c r="M1106" s="56"/>
      <c r="N1106" s="56"/>
      <c r="O1106" s="56"/>
      <c r="P1106" s="56"/>
      <c r="Q1106" s="56"/>
      <c r="R1106" s="56"/>
      <c r="S1106" s="56"/>
      <c r="T1106" s="56"/>
      <c r="U1106" s="56"/>
      <c r="V1106" s="56"/>
      <c r="W1106" s="56"/>
      <c r="X1106" s="5"/>
      <c r="Y1106" s="5"/>
      <c r="Z1106" s="5"/>
    </row>
    <row r="1107">
      <c r="A1107" s="56"/>
      <c r="B1107" s="57"/>
      <c r="C1107" s="56"/>
      <c r="D1107" s="56"/>
      <c r="E1107" s="56"/>
      <c r="F1107" s="56"/>
      <c r="G1107" s="56"/>
      <c r="H1107" s="56"/>
      <c r="I1107" s="56"/>
      <c r="J1107" s="56"/>
      <c r="K1107" s="56"/>
      <c r="L1107" s="56"/>
      <c r="M1107" s="56"/>
      <c r="N1107" s="56"/>
      <c r="O1107" s="56"/>
      <c r="P1107" s="56"/>
      <c r="Q1107" s="56"/>
      <c r="R1107" s="56"/>
      <c r="S1107" s="56"/>
      <c r="T1107" s="56"/>
      <c r="U1107" s="56"/>
      <c r="V1107" s="56"/>
      <c r="W1107" s="56"/>
      <c r="X1107" s="5"/>
      <c r="Y1107" s="5"/>
      <c r="Z1107" s="5"/>
    </row>
    <row r="1108">
      <c r="A1108" s="56"/>
      <c r="B1108" s="57"/>
      <c r="C1108" s="56"/>
      <c r="D1108" s="56"/>
      <c r="E1108" s="56"/>
      <c r="F1108" s="56"/>
      <c r="G1108" s="56"/>
      <c r="H1108" s="56"/>
      <c r="I1108" s="56"/>
      <c r="J1108" s="56"/>
      <c r="K1108" s="56"/>
      <c r="L1108" s="56"/>
      <c r="M1108" s="56"/>
      <c r="N1108" s="56"/>
      <c r="O1108" s="56"/>
      <c r="P1108" s="56"/>
      <c r="Q1108" s="56"/>
      <c r="R1108" s="56"/>
      <c r="S1108" s="56"/>
      <c r="T1108" s="56"/>
      <c r="U1108" s="56"/>
      <c r="V1108" s="56"/>
      <c r="W1108" s="56"/>
      <c r="X1108" s="5"/>
      <c r="Y1108" s="5"/>
      <c r="Z1108" s="5"/>
    </row>
    <row r="1109">
      <c r="A1109" s="56"/>
      <c r="B1109" s="57"/>
      <c r="C1109" s="56"/>
      <c r="D1109" s="56"/>
      <c r="E1109" s="56"/>
      <c r="F1109" s="56"/>
      <c r="G1109" s="56"/>
      <c r="H1109" s="56"/>
      <c r="I1109" s="56"/>
      <c r="J1109" s="56"/>
      <c r="K1109" s="56"/>
      <c r="L1109" s="56"/>
      <c r="M1109" s="56"/>
      <c r="N1109" s="56"/>
      <c r="O1109" s="56"/>
      <c r="P1109" s="56"/>
      <c r="Q1109" s="56"/>
      <c r="R1109" s="56"/>
      <c r="S1109" s="56"/>
      <c r="T1109" s="56"/>
      <c r="U1109" s="56"/>
      <c r="V1109" s="56"/>
      <c r="W1109" s="56"/>
      <c r="X1109" s="5"/>
      <c r="Y1109" s="5"/>
      <c r="Z1109" s="5"/>
    </row>
    <row r="1110">
      <c r="A1110" s="56"/>
      <c r="B1110" s="57"/>
      <c r="C1110" s="56"/>
      <c r="D1110" s="56"/>
      <c r="E1110" s="56"/>
      <c r="F1110" s="56"/>
      <c r="G1110" s="56"/>
      <c r="H1110" s="56"/>
      <c r="I1110" s="56"/>
      <c r="J1110" s="56"/>
      <c r="K1110" s="56"/>
      <c r="L1110" s="56"/>
      <c r="M1110" s="56"/>
      <c r="N1110" s="56"/>
      <c r="O1110" s="56"/>
      <c r="P1110" s="56"/>
      <c r="Q1110" s="56"/>
      <c r="R1110" s="56"/>
      <c r="S1110" s="56"/>
      <c r="T1110" s="56"/>
      <c r="U1110" s="56"/>
      <c r="V1110" s="56"/>
      <c r="W1110" s="56"/>
      <c r="X1110" s="5"/>
      <c r="Y1110" s="5"/>
      <c r="Z1110" s="5"/>
    </row>
    <row r="1111">
      <c r="A1111" s="56"/>
      <c r="B1111" s="57"/>
      <c r="C1111" s="56"/>
      <c r="D1111" s="56"/>
      <c r="E1111" s="56"/>
      <c r="F1111" s="56"/>
      <c r="G1111" s="56"/>
      <c r="H1111" s="56"/>
      <c r="I1111" s="56"/>
      <c r="J1111" s="56"/>
      <c r="K1111" s="56"/>
      <c r="L1111" s="56"/>
      <c r="M1111" s="56"/>
      <c r="N1111" s="56"/>
      <c r="O1111" s="56"/>
      <c r="P1111" s="56"/>
      <c r="Q1111" s="56"/>
      <c r="R1111" s="56"/>
      <c r="S1111" s="56"/>
      <c r="T1111" s="56"/>
      <c r="U1111" s="56"/>
      <c r="V1111" s="56"/>
      <c r="W1111" s="56"/>
      <c r="X1111" s="5"/>
      <c r="Y1111" s="5"/>
      <c r="Z1111" s="5"/>
    </row>
    <row r="1112">
      <c r="A1112" s="56"/>
      <c r="B1112" s="57"/>
      <c r="C1112" s="56"/>
      <c r="D1112" s="56"/>
      <c r="E1112" s="56"/>
      <c r="F1112" s="56"/>
      <c r="G1112" s="56"/>
      <c r="H1112" s="56"/>
      <c r="I1112" s="56"/>
      <c r="J1112" s="56"/>
      <c r="K1112" s="56"/>
      <c r="L1112" s="56"/>
      <c r="M1112" s="56"/>
      <c r="N1112" s="56"/>
      <c r="O1112" s="56"/>
      <c r="P1112" s="56"/>
      <c r="Q1112" s="56"/>
      <c r="R1112" s="56"/>
      <c r="S1112" s="56"/>
      <c r="T1112" s="56"/>
      <c r="U1112" s="56"/>
      <c r="V1112" s="56"/>
      <c r="W1112" s="56"/>
      <c r="X1112" s="5"/>
      <c r="Y1112" s="5"/>
      <c r="Z1112" s="5"/>
    </row>
    <row r="1113">
      <c r="A1113" s="56"/>
      <c r="B1113" s="57"/>
      <c r="C1113" s="56"/>
      <c r="D1113" s="56"/>
      <c r="E1113" s="56"/>
      <c r="F1113" s="56"/>
      <c r="G1113" s="56"/>
      <c r="H1113" s="56"/>
      <c r="I1113" s="56"/>
      <c r="J1113" s="56"/>
      <c r="K1113" s="56"/>
      <c r="L1113" s="56"/>
      <c r="M1113" s="56"/>
      <c r="N1113" s="56"/>
      <c r="O1113" s="56"/>
      <c r="P1113" s="56"/>
      <c r="Q1113" s="56"/>
      <c r="R1113" s="56"/>
      <c r="S1113" s="56"/>
      <c r="T1113" s="56"/>
      <c r="U1113" s="56"/>
      <c r="V1113" s="56"/>
      <c r="W1113" s="56"/>
      <c r="X1113" s="5"/>
      <c r="Y1113" s="5"/>
      <c r="Z1113" s="5"/>
    </row>
    <row r="1114">
      <c r="A1114" s="56"/>
      <c r="B1114" s="57"/>
      <c r="C1114" s="56"/>
      <c r="D1114" s="56"/>
      <c r="E1114" s="56"/>
      <c r="F1114" s="56"/>
      <c r="G1114" s="56"/>
      <c r="H1114" s="56"/>
      <c r="I1114" s="56"/>
      <c r="J1114" s="56"/>
      <c r="K1114" s="56"/>
      <c r="L1114" s="56"/>
      <c r="M1114" s="56"/>
      <c r="N1114" s="56"/>
      <c r="O1114" s="56"/>
      <c r="P1114" s="56"/>
      <c r="Q1114" s="56"/>
      <c r="R1114" s="56"/>
      <c r="S1114" s="56"/>
      <c r="T1114" s="56"/>
      <c r="U1114" s="56"/>
      <c r="V1114" s="56"/>
      <c r="W1114" s="56"/>
      <c r="X1114" s="5"/>
      <c r="Y1114" s="5"/>
      <c r="Z1114" s="5"/>
    </row>
    <row r="1115">
      <c r="A1115" s="56"/>
      <c r="B1115" s="57"/>
      <c r="C1115" s="56"/>
      <c r="D1115" s="56"/>
      <c r="E1115" s="56"/>
      <c r="F1115" s="56"/>
      <c r="G1115" s="56"/>
      <c r="H1115" s="56"/>
      <c r="I1115" s="56"/>
      <c r="J1115" s="56"/>
      <c r="K1115" s="56"/>
      <c r="L1115" s="56"/>
      <c r="M1115" s="56"/>
      <c r="N1115" s="56"/>
      <c r="O1115" s="56"/>
      <c r="P1115" s="56"/>
      <c r="Q1115" s="56"/>
      <c r="R1115" s="56"/>
      <c r="S1115" s="56"/>
      <c r="T1115" s="56"/>
      <c r="U1115" s="56"/>
      <c r="V1115" s="56"/>
      <c r="W1115" s="56"/>
      <c r="X1115" s="5"/>
      <c r="Y1115" s="5"/>
      <c r="Z1115" s="5"/>
    </row>
    <row r="1116">
      <c r="A1116" s="56"/>
      <c r="B1116" s="57"/>
      <c r="C1116" s="56"/>
      <c r="D1116" s="56"/>
      <c r="E1116" s="56"/>
      <c r="F1116" s="56"/>
      <c r="G1116" s="56"/>
      <c r="H1116" s="56"/>
      <c r="I1116" s="56"/>
      <c r="J1116" s="56"/>
      <c r="K1116" s="56"/>
      <c r="L1116" s="56"/>
      <c r="M1116" s="56"/>
      <c r="N1116" s="56"/>
      <c r="O1116" s="56"/>
      <c r="P1116" s="56"/>
      <c r="Q1116" s="56"/>
      <c r="R1116" s="56"/>
      <c r="S1116" s="56"/>
      <c r="T1116" s="56"/>
      <c r="U1116" s="56"/>
      <c r="V1116" s="56"/>
      <c r="W1116" s="56"/>
      <c r="X1116" s="5"/>
      <c r="Y1116" s="5"/>
      <c r="Z1116" s="5"/>
    </row>
    <row r="1117">
      <c r="A1117" s="56"/>
      <c r="B1117" s="57"/>
      <c r="C1117" s="56"/>
      <c r="D1117" s="56"/>
      <c r="E1117" s="56"/>
      <c r="F1117" s="56"/>
      <c r="G1117" s="56"/>
      <c r="H1117" s="56"/>
      <c r="I1117" s="56"/>
      <c r="J1117" s="56"/>
      <c r="K1117" s="56"/>
      <c r="L1117" s="56"/>
      <c r="M1117" s="56"/>
      <c r="N1117" s="56"/>
      <c r="O1117" s="56"/>
      <c r="P1117" s="56"/>
      <c r="Q1117" s="56"/>
      <c r="R1117" s="56"/>
      <c r="S1117" s="56"/>
      <c r="T1117" s="56"/>
      <c r="U1117" s="56"/>
      <c r="V1117" s="56"/>
      <c r="W1117" s="56"/>
      <c r="X1117" s="5"/>
      <c r="Y1117" s="5"/>
      <c r="Z1117" s="5"/>
    </row>
    <row r="1118">
      <c r="A1118" s="56"/>
      <c r="B1118" s="57"/>
      <c r="C1118" s="56"/>
      <c r="D1118" s="56"/>
      <c r="E1118" s="56"/>
      <c r="F1118" s="56"/>
      <c r="G1118" s="56"/>
      <c r="H1118" s="56"/>
      <c r="I1118" s="56"/>
      <c r="J1118" s="56"/>
      <c r="K1118" s="56"/>
      <c r="L1118" s="56"/>
      <c r="M1118" s="56"/>
      <c r="N1118" s="56"/>
      <c r="O1118" s="56"/>
      <c r="P1118" s="56"/>
      <c r="Q1118" s="56"/>
      <c r="R1118" s="56"/>
      <c r="S1118" s="56"/>
      <c r="T1118" s="56"/>
      <c r="U1118" s="56"/>
      <c r="V1118" s="56"/>
      <c r="W1118" s="56"/>
      <c r="X1118" s="5"/>
      <c r="Y1118" s="5"/>
      <c r="Z1118" s="5"/>
    </row>
    <row r="1119">
      <c r="A1119" s="56"/>
      <c r="B1119" s="57"/>
      <c r="C1119" s="56"/>
      <c r="D1119" s="56"/>
      <c r="E1119" s="56"/>
      <c r="F1119" s="56"/>
      <c r="G1119" s="56"/>
      <c r="H1119" s="56"/>
      <c r="I1119" s="56"/>
      <c r="J1119" s="56"/>
      <c r="K1119" s="56"/>
      <c r="L1119" s="56"/>
      <c r="M1119" s="56"/>
      <c r="N1119" s="56"/>
      <c r="O1119" s="56"/>
      <c r="P1119" s="56"/>
      <c r="Q1119" s="56"/>
      <c r="R1119" s="56"/>
      <c r="S1119" s="56"/>
      <c r="T1119" s="56"/>
      <c r="U1119" s="56"/>
      <c r="V1119" s="56"/>
      <c r="W1119" s="56"/>
      <c r="X1119" s="5"/>
      <c r="Y1119" s="5"/>
      <c r="Z1119" s="5"/>
    </row>
    <row r="1120">
      <c r="A1120" s="56"/>
      <c r="B1120" s="57"/>
      <c r="C1120" s="56"/>
      <c r="D1120" s="56"/>
      <c r="E1120" s="56"/>
      <c r="F1120" s="56"/>
      <c r="G1120" s="56"/>
      <c r="H1120" s="56"/>
      <c r="I1120" s="56"/>
      <c r="J1120" s="56"/>
      <c r="K1120" s="56"/>
      <c r="L1120" s="56"/>
      <c r="M1120" s="56"/>
      <c r="N1120" s="56"/>
      <c r="O1120" s="56"/>
      <c r="P1120" s="56"/>
      <c r="Q1120" s="56"/>
      <c r="R1120" s="56"/>
      <c r="S1120" s="56"/>
      <c r="T1120" s="56"/>
      <c r="U1120" s="56"/>
      <c r="V1120" s="56"/>
      <c r="W1120" s="56"/>
      <c r="X1120" s="5"/>
      <c r="Y1120" s="5"/>
      <c r="Z1120" s="5"/>
    </row>
    <row r="1121">
      <c r="A1121" s="56"/>
      <c r="B1121" s="57"/>
      <c r="C1121" s="56"/>
      <c r="D1121" s="56"/>
      <c r="E1121" s="56"/>
      <c r="F1121" s="56"/>
      <c r="G1121" s="56"/>
      <c r="H1121" s="56"/>
      <c r="I1121" s="56"/>
      <c r="J1121" s="56"/>
      <c r="K1121" s="56"/>
      <c r="L1121" s="56"/>
      <c r="M1121" s="56"/>
      <c r="N1121" s="56"/>
      <c r="O1121" s="56"/>
      <c r="P1121" s="56"/>
      <c r="Q1121" s="56"/>
      <c r="R1121" s="56"/>
      <c r="S1121" s="56"/>
      <c r="T1121" s="56"/>
      <c r="U1121" s="56"/>
      <c r="V1121" s="56"/>
      <c r="W1121" s="56"/>
      <c r="X1121" s="5"/>
      <c r="Y1121" s="5"/>
      <c r="Z1121" s="5"/>
    </row>
    <row r="1122">
      <c r="A1122" s="56"/>
      <c r="B1122" s="57"/>
      <c r="C1122" s="56"/>
      <c r="D1122" s="56"/>
      <c r="E1122" s="56"/>
      <c r="F1122" s="56"/>
      <c r="G1122" s="56"/>
      <c r="H1122" s="56"/>
      <c r="I1122" s="56"/>
      <c r="J1122" s="56"/>
      <c r="K1122" s="56"/>
      <c r="L1122" s="56"/>
      <c r="M1122" s="56"/>
      <c r="N1122" s="56"/>
      <c r="O1122" s="56"/>
      <c r="P1122" s="56"/>
      <c r="Q1122" s="56"/>
      <c r="R1122" s="56"/>
      <c r="S1122" s="56"/>
      <c r="T1122" s="56"/>
      <c r="U1122" s="56"/>
      <c r="V1122" s="56"/>
      <c r="W1122" s="56"/>
      <c r="X1122" s="5"/>
      <c r="Y1122" s="5"/>
      <c r="Z1122" s="5"/>
    </row>
    <row r="1123">
      <c r="A1123" s="56"/>
      <c r="B1123" s="57"/>
      <c r="C1123" s="56"/>
      <c r="D1123" s="56"/>
      <c r="E1123" s="56"/>
      <c r="F1123" s="56"/>
      <c r="G1123" s="56"/>
      <c r="H1123" s="56"/>
      <c r="I1123" s="56"/>
      <c r="J1123" s="56"/>
      <c r="K1123" s="56"/>
      <c r="L1123" s="56"/>
      <c r="M1123" s="56"/>
      <c r="N1123" s="56"/>
      <c r="O1123" s="56"/>
      <c r="P1123" s="56"/>
      <c r="Q1123" s="56"/>
      <c r="R1123" s="56"/>
      <c r="S1123" s="56"/>
      <c r="T1123" s="56"/>
      <c r="U1123" s="56"/>
      <c r="V1123" s="56"/>
      <c r="W1123" s="56"/>
      <c r="X1123" s="5"/>
      <c r="Y1123" s="5"/>
      <c r="Z1123" s="5"/>
    </row>
    <row r="1124">
      <c r="A1124" s="56"/>
      <c r="B1124" s="57"/>
      <c r="C1124" s="56"/>
      <c r="D1124" s="56"/>
      <c r="E1124" s="56"/>
      <c r="F1124" s="56"/>
      <c r="G1124" s="56"/>
      <c r="H1124" s="56"/>
      <c r="I1124" s="56"/>
      <c r="J1124" s="56"/>
      <c r="K1124" s="56"/>
      <c r="L1124" s="56"/>
      <c r="M1124" s="56"/>
      <c r="N1124" s="56"/>
      <c r="O1124" s="56"/>
      <c r="P1124" s="56"/>
      <c r="Q1124" s="56"/>
      <c r="R1124" s="56"/>
      <c r="S1124" s="56"/>
      <c r="T1124" s="56"/>
      <c r="U1124" s="56"/>
      <c r="V1124" s="56"/>
      <c r="W1124" s="56"/>
      <c r="X1124" s="5"/>
      <c r="Y1124" s="5"/>
      <c r="Z1124" s="5"/>
    </row>
    <row r="1125">
      <c r="A1125" s="56"/>
      <c r="B1125" s="57"/>
      <c r="C1125" s="56"/>
      <c r="D1125" s="56"/>
      <c r="E1125" s="56"/>
      <c r="F1125" s="56"/>
      <c r="G1125" s="56"/>
      <c r="H1125" s="56"/>
      <c r="I1125" s="56"/>
      <c r="J1125" s="56"/>
      <c r="K1125" s="56"/>
      <c r="L1125" s="56"/>
      <c r="M1125" s="56"/>
      <c r="N1125" s="56"/>
      <c r="O1125" s="56"/>
      <c r="P1125" s="56"/>
      <c r="Q1125" s="56"/>
      <c r="R1125" s="56"/>
      <c r="S1125" s="56"/>
      <c r="T1125" s="56"/>
      <c r="U1125" s="56"/>
      <c r="V1125" s="56"/>
      <c r="W1125" s="56"/>
      <c r="X1125" s="5"/>
      <c r="Y1125" s="5"/>
      <c r="Z1125" s="5"/>
    </row>
    <row r="1126">
      <c r="A1126" s="56"/>
      <c r="B1126" s="57"/>
      <c r="C1126" s="56"/>
      <c r="D1126" s="56"/>
      <c r="E1126" s="56"/>
      <c r="F1126" s="56"/>
      <c r="G1126" s="56"/>
      <c r="H1126" s="56"/>
      <c r="I1126" s="56"/>
      <c r="J1126" s="56"/>
      <c r="K1126" s="56"/>
      <c r="L1126" s="56"/>
      <c r="M1126" s="56"/>
      <c r="N1126" s="56"/>
      <c r="O1126" s="56"/>
      <c r="P1126" s="56"/>
      <c r="Q1126" s="56"/>
      <c r="R1126" s="56"/>
      <c r="S1126" s="56"/>
      <c r="T1126" s="56"/>
      <c r="U1126" s="56"/>
      <c r="V1126" s="56"/>
      <c r="W1126" s="56"/>
      <c r="X1126" s="5"/>
      <c r="Y1126" s="5"/>
      <c r="Z1126" s="5"/>
    </row>
    <row r="1127">
      <c r="A1127" s="56"/>
      <c r="B1127" s="57"/>
      <c r="C1127" s="56"/>
      <c r="D1127" s="56"/>
      <c r="E1127" s="56"/>
      <c r="F1127" s="56"/>
      <c r="G1127" s="56"/>
      <c r="H1127" s="56"/>
      <c r="I1127" s="56"/>
      <c r="J1127" s="56"/>
      <c r="K1127" s="56"/>
      <c r="L1127" s="56"/>
      <c r="M1127" s="56"/>
      <c r="N1127" s="56"/>
      <c r="O1127" s="56"/>
      <c r="P1127" s="56"/>
      <c r="Q1127" s="56"/>
      <c r="R1127" s="56"/>
      <c r="S1127" s="56"/>
      <c r="T1127" s="56"/>
      <c r="U1127" s="56"/>
      <c r="V1127" s="56"/>
      <c r="W1127" s="56"/>
      <c r="X1127" s="5"/>
      <c r="Y1127" s="5"/>
      <c r="Z1127" s="5"/>
    </row>
    <row r="1128">
      <c r="A1128" s="56"/>
      <c r="B1128" s="57"/>
      <c r="C1128" s="56"/>
      <c r="D1128" s="56"/>
      <c r="E1128" s="56"/>
      <c r="F1128" s="56"/>
      <c r="G1128" s="56"/>
      <c r="H1128" s="56"/>
      <c r="I1128" s="56"/>
      <c r="J1128" s="56"/>
      <c r="K1128" s="56"/>
      <c r="L1128" s="56"/>
      <c r="M1128" s="56"/>
      <c r="N1128" s="56"/>
      <c r="O1128" s="56"/>
      <c r="P1128" s="56"/>
      <c r="Q1128" s="56"/>
      <c r="R1128" s="56"/>
      <c r="S1128" s="56"/>
      <c r="T1128" s="56"/>
      <c r="U1128" s="56"/>
      <c r="V1128" s="56"/>
      <c r="W1128" s="56"/>
      <c r="X1128" s="5"/>
      <c r="Y1128" s="5"/>
      <c r="Z1128" s="5"/>
    </row>
    <row r="1129">
      <c r="A1129" s="56"/>
      <c r="B1129" s="57"/>
      <c r="C1129" s="56"/>
      <c r="D1129" s="56"/>
      <c r="E1129" s="56"/>
      <c r="F1129" s="56"/>
      <c r="G1129" s="56"/>
      <c r="H1129" s="56"/>
      <c r="I1129" s="56"/>
      <c r="J1129" s="56"/>
      <c r="K1129" s="56"/>
      <c r="L1129" s="56"/>
      <c r="M1129" s="56"/>
      <c r="N1129" s="56"/>
      <c r="O1129" s="56"/>
      <c r="P1129" s="56"/>
      <c r="Q1129" s="56"/>
      <c r="R1129" s="56"/>
      <c r="S1129" s="56"/>
      <c r="T1129" s="56"/>
      <c r="U1129" s="56"/>
      <c r="V1129" s="56"/>
      <c r="W1129" s="56"/>
      <c r="X1129" s="5"/>
      <c r="Y1129" s="5"/>
      <c r="Z1129" s="5"/>
    </row>
    <row r="1130">
      <c r="A1130" s="56"/>
      <c r="B1130" s="57"/>
      <c r="C1130" s="56"/>
      <c r="D1130" s="56"/>
      <c r="E1130" s="56"/>
      <c r="F1130" s="56"/>
      <c r="G1130" s="56"/>
      <c r="H1130" s="56"/>
      <c r="I1130" s="56"/>
      <c r="J1130" s="56"/>
      <c r="K1130" s="56"/>
      <c r="L1130" s="56"/>
      <c r="M1130" s="56"/>
      <c r="N1130" s="56"/>
      <c r="O1130" s="56"/>
      <c r="P1130" s="56"/>
      <c r="Q1130" s="56"/>
      <c r="R1130" s="56"/>
      <c r="S1130" s="56"/>
      <c r="T1130" s="56"/>
      <c r="U1130" s="56"/>
      <c r="V1130" s="56"/>
      <c r="W1130" s="56"/>
      <c r="X1130" s="5"/>
      <c r="Y1130" s="5"/>
      <c r="Z1130" s="5"/>
    </row>
    <row r="1131">
      <c r="A1131" s="56"/>
      <c r="B1131" s="57"/>
      <c r="C1131" s="56"/>
      <c r="D1131" s="56"/>
      <c r="E1131" s="56"/>
      <c r="F1131" s="56"/>
      <c r="G1131" s="56"/>
      <c r="H1131" s="56"/>
      <c r="I1131" s="56"/>
      <c r="J1131" s="56"/>
      <c r="K1131" s="56"/>
      <c r="L1131" s="56"/>
      <c r="M1131" s="56"/>
      <c r="N1131" s="56"/>
      <c r="O1131" s="56"/>
      <c r="P1131" s="56"/>
      <c r="Q1131" s="56"/>
      <c r="R1131" s="56"/>
      <c r="S1131" s="56"/>
      <c r="T1131" s="56"/>
      <c r="U1131" s="56"/>
      <c r="V1131" s="56"/>
      <c r="W1131" s="56"/>
      <c r="X1131" s="5"/>
      <c r="Y1131" s="5"/>
      <c r="Z1131" s="5"/>
    </row>
    <row r="1132">
      <c r="A1132" s="56"/>
      <c r="B1132" s="57"/>
      <c r="C1132" s="56"/>
      <c r="D1132" s="56"/>
      <c r="E1132" s="56"/>
      <c r="F1132" s="56"/>
      <c r="G1132" s="56"/>
      <c r="H1132" s="56"/>
      <c r="I1132" s="56"/>
      <c r="J1132" s="56"/>
      <c r="K1132" s="56"/>
      <c r="L1132" s="56"/>
      <c r="M1132" s="56"/>
      <c r="N1132" s="56"/>
      <c r="O1132" s="56"/>
      <c r="P1132" s="56"/>
      <c r="Q1132" s="56"/>
      <c r="R1132" s="56"/>
      <c r="S1132" s="56"/>
      <c r="T1132" s="56"/>
      <c r="U1132" s="56"/>
      <c r="V1132" s="56"/>
      <c r="W1132" s="56"/>
      <c r="X1132" s="5"/>
      <c r="Y1132" s="5"/>
      <c r="Z1132" s="5"/>
    </row>
    <row r="1133">
      <c r="A1133" s="56"/>
      <c r="B1133" s="57"/>
      <c r="C1133" s="56"/>
      <c r="D1133" s="56"/>
      <c r="E1133" s="56"/>
      <c r="F1133" s="56"/>
      <c r="G1133" s="56"/>
      <c r="H1133" s="56"/>
      <c r="I1133" s="56"/>
      <c r="J1133" s="56"/>
      <c r="K1133" s="56"/>
      <c r="L1133" s="56"/>
      <c r="M1133" s="56"/>
      <c r="N1133" s="56"/>
      <c r="O1133" s="56"/>
      <c r="P1133" s="56"/>
      <c r="Q1133" s="56"/>
      <c r="R1133" s="56"/>
      <c r="S1133" s="56"/>
      <c r="T1133" s="56"/>
      <c r="U1133" s="56"/>
      <c r="V1133" s="56"/>
      <c r="W1133" s="56"/>
      <c r="X1133" s="5"/>
      <c r="Y1133" s="5"/>
      <c r="Z1133" s="5"/>
    </row>
    <row r="1134">
      <c r="A1134" s="56"/>
      <c r="B1134" s="57"/>
      <c r="C1134" s="56"/>
      <c r="D1134" s="56"/>
      <c r="E1134" s="56"/>
      <c r="F1134" s="56"/>
      <c r="G1134" s="56"/>
      <c r="H1134" s="56"/>
      <c r="I1134" s="56"/>
      <c r="J1134" s="56"/>
      <c r="K1134" s="56"/>
      <c r="L1134" s="56"/>
      <c r="M1134" s="56"/>
      <c r="N1134" s="56"/>
      <c r="O1134" s="56"/>
      <c r="P1134" s="56"/>
      <c r="Q1134" s="56"/>
      <c r="R1134" s="56"/>
      <c r="S1134" s="56"/>
      <c r="T1134" s="56"/>
      <c r="U1134" s="56"/>
      <c r="V1134" s="56"/>
      <c r="W1134" s="56"/>
      <c r="X1134" s="5"/>
      <c r="Y1134" s="5"/>
      <c r="Z1134" s="5"/>
    </row>
    <row r="1135">
      <c r="A1135" s="56"/>
      <c r="B1135" s="57"/>
      <c r="C1135" s="56"/>
      <c r="D1135" s="56"/>
      <c r="E1135" s="56"/>
      <c r="F1135" s="56"/>
      <c r="G1135" s="56"/>
      <c r="H1135" s="56"/>
      <c r="I1135" s="56"/>
      <c r="J1135" s="56"/>
      <c r="K1135" s="56"/>
      <c r="L1135" s="56"/>
      <c r="M1135" s="56"/>
      <c r="N1135" s="56"/>
      <c r="O1135" s="56"/>
      <c r="P1135" s="56"/>
      <c r="Q1135" s="56"/>
      <c r="R1135" s="56"/>
      <c r="S1135" s="56"/>
      <c r="T1135" s="56"/>
      <c r="U1135" s="56"/>
      <c r="V1135" s="56"/>
      <c r="W1135" s="56"/>
      <c r="X1135" s="5"/>
      <c r="Y1135" s="5"/>
      <c r="Z1135" s="5"/>
    </row>
    <row r="1136">
      <c r="A1136" s="56"/>
      <c r="B1136" s="57"/>
      <c r="C1136" s="56"/>
      <c r="D1136" s="56"/>
      <c r="E1136" s="56"/>
      <c r="F1136" s="56"/>
      <c r="G1136" s="56"/>
      <c r="H1136" s="56"/>
      <c r="I1136" s="56"/>
      <c r="J1136" s="56"/>
      <c r="K1136" s="56"/>
      <c r="L1136" s="56"/>
      <c r="M1136" s="56"/>
      <c r="N1136" s="56"/>
      <c r="O1136" s="56"/>
      <c r="P1136" s="56"/>
      <c r="Q1136" s="56"/>
      <c r="R1136" s="56"/>
      <c r="S1136" s="56"/>
      <c r="T1136" s="56"/>
      <c r="U1136" s="56"/>
      <c r="V1136" s="56"/>
      <c r="W1136" s="56"/>
      <c r="X1136" s="5"/>
      <c r="Y1136" s="5"/>
      <c r="Z1136" s="5"/>
    </row>
    <row r="1137">
      <c r="A1137" s="56"/>
      <c r="B1137" s="57"/>
      <c r="C1137" s="56"/>
      <c r="D1137" s="56"/>
      <c r="E1137" s="56"/>
      <c r="F1137" s="56"/>
      <c r="G1137" s="56"/>
      <c r="H1137" s="56"/>
      <c r="I1137" s="56"/>
      <c r="J1137" s="56"/>
      <c r="K1137" s="56"/>
      <c r="L1137" s="56"/>
      <c r="M1137" s="56"/>
      <c r="N1137" s="56"/>
      <c r="O1137" s="56"/>
      <c r="P1137" s="56"/>
      <c r="Q1137" s="56"/>
      <c r="R1137" s="56"/>
      <c r="S1137" s="56"/>
      <c r="T1137" s="56"/>
      <c r="U1137" s="56"/>
      <c r="V1137" s="56"/>
      <c r="W1137" s="56"/>
      <c r="X1137" s="5"/>
      <c r="Y1137" s="5"/>
      <c r="Z1137" s="5"/>
    </row>
    <row r="1138">
      <c r="A1138" s="56"/>
      <c r="B1138" s="57"/>
      <c r="C1138" s="56"/>
      <c r="D1138" s="56"/>
      <c r="E1138" s="56"/>
      <c r="F1138" s="56"/>
      <c r="G1138" s="56"/>
      <c r="H1138" s="56"/>
      <c r="I1138" s="56"/>
      <c r="J1138" s="56"/>
      <c r="K1138" s="56"/>
      <c r="L1138" s="56"/>
      <c r="M1138" s="56"/>
      <c r="N1138" s="56"/>
      <c r="O1138" s="56"/>
      <c r="P1138" s="56"/>
      <c r="Q1138" s="56"/>
      <c r="R1138" s="56"/>
      <c r="S1138" s="56"/>
      <c r="T1138" s="56"/>
      <c r="U1138" s="56"/>
      <c r="V1138" s="56"/>
      <c r="W1138" s="56"/>
      <c r="X1138" s="5"/>
      <c r="Y1138" s="5"/>
      <c r="Z1138" s="5"/>
    </row>
    <row r="1139">
      <c r="A1139" s="56"/>
      <c r="B1139" s="57"/>
      <c r="C1139" s="56"/>
      <c r="D1139" s="56"/>
      <c r="E1139" s="56"/>
      <c r="F1139" s="56"/>
      <c r="G1139" s="56"/>
      <c r="H1139" s="56"/>
      <c r="I1139" s="56"/>
      <c r="J1139" s="56"/>
      <c r="K1139" s="56"/>
      <c r="L1139" s="56"/>
      <c r="M1139" s="56"/>
      <c r="N1139" s="56"/>
      <c r="O1139" s="56"/>
      <c r="P1139" s="56"/>
      <c r="Q1139" s="56"/>
      <c r="R1139" s="56"/>
      <c r="S1139" s="56"/>
      <c r="T1139" s="56"/>
      <c r="U1139" s="56"/>
      <c r="V1139" s="56"/>
      <c r="W1139" s="56"/>
      <c r="X1139" s="5"/>
      <c r="Y1139" s="5"/>
      <c r="Z1139" s="5"/>
    </row>
    <row r="1140">
      <c r="A1140" s="56"/>
      <c r="B1140" s="57"/>
      <c r="C1140" s="56"/>
      <c r="D1140" s="56"/>
      <c r="E1140" s="56"/>
      <c r="F1140" s="56"/>
      <c r="G1140" s="56"/>
      <c r="H1140" s="56"/>
      <c r="I1140" s="56"/>
      <c r="J1140" s="56"/>
      <c r="K1140" s="56"/>
      <c r="L1140" s="56"/>
      <c r="M1140" s="56"/>
      <c r="N1140" s="56"/>
      <c r="O1140" s="56"/>
      <c r="P1140" s="56"/>
      <c r="Q1140" s="56"/>
      <c r="R1140" s="56"/>
      <c r="S1140" s="56"/>
      <c r="T1140" s="56"/>
      <c r="U1140" s="56"/>
      <c r="V1140" s="56"/>
      <c r="W1140" s="56"/>
      <c r="X1140" s="5"/>
      <c r="Y1140" s="5"/>
      <c r="Z1140" s="5"/>
    </row>
    <row r="1141">
      <c r="A1141" s="56"/>
      <c r="B1141" s="57"/>
      <c r="C1141" s="56"/>
      <c r="D1141" s="56"/>
      <c r="E1141" s="56"/>
      <c r="F1141" s="56"/>
      <c r="G1141" s="56"/>
      <c r="H1141" s="56"/>
      <c r="I1141" s="56"/>
      <c r="J1141" s="56"/>
      <c r="K1141" s="56"/>
      <c r="L1141" s="56"/>
      <c r="M1141" s="56"/>
      <c r="N1141" s="56"/>
      <c r="O1141" s="56"/>
      <c r="P1141" s="56"/>
      <c r="Q1141" s="56"/>
      <c r="R1141" s="56"/>
      <c r="S1141" s="56"/>
      <c r="T1141" s="56"/>
      <c r="U1141" s="56"/>
      <c r="V1141" s="56"/>
      <c r="W1141" s="56"/>
      <c r="X1141" s="5"/>
      <c r="Y1141" s="5"/>
      <c r="Z1141" s="5"/>
    </row>
    <row r="1142">
      <c r="A1142" s="56"/>
      <c r="B1142" s="57"/>
      <c r="C1142" s="56"/>
      <c r="D1142" s="56"/>
      <c r="E1142" s="56"/>
      <c r="F1142" s="56"/>
      <c r="G1142" s="56"/>
      <c r="H1142" s="56"/>
      <c r="I1142" s="56"/>
      <c r="J1142" s="56"/>
      <c r="K1142" s="56"/>
      <c r="L1142" s="56"/>
      <c r="M1142" s="56"/>
      <c r="N1142" s="56"/>
      <c r="O1142" s="56"/>
      <c r="P1142" s="56"/>
      <c r="Q1142" s="56"/>
      <c r="R1142" s="56"/>
      <c r="S1142" s="56"/>
      <c r="T1142" s="56"/>
      <c r="U1142" s="56"/>
      <c r="V1142" s="56"/>
      <c r="W1142" s="56"/>
      <c r="X1142" s="5"/>
      <c r="Y1142" s="5"/>
      <c r="Z1142" s="5"/>
    </row>
    <row r="1143">
      <c r="A1143" s="56"/>
      <c r="B1143" s="57"/>
      <c r="C1143" s="56"/>
      <c r="D1143" s="56"/>
      <c r="E1143" s="56"/>
      <c r="F1143" s="56"/>
      <c r="G1143" s="56"/>
      <c r="H1143" s="56"/>
      <c r="I1143" s="56"/>
      <c r="J1143" s="56"/>
      <c r="K1143" s="56"/>
      <c r="L1143" s="56"/>
      <c r="M1143" s="56"/>
      <c r="N1143" s="56"/>
      <c r="O1143" s="56"/>
      <c r="P1143" s="56"/>
      <c r="Q1143" s="56"/>
      <c r="R1143" s="56"/>
      <c r="S1143" s="56"/>
      <c r="T1143" s="56"/>
      <c r="U1143" s="56"/>
      <c r="V1143" s="56"/>
      <c r="W1143" s="56"/>
      <c r="X1143" s="5"/>
      <c r="Y1143" s="5"/>
      <c r="Z1143" s="5"/>
    </row>
    <row r="1144">
      <c r="A1144" s="56"/>
      <c r="B1144" s="57"/>
      <c r="C1144" s="56"/>
      <c r="D1144" s="56"/>
      <c r="E1144" s="56"/>
      <c r="F1144" s="56"/>
      <c r="G1144" s="56"/>
      <c r="H1144" s="56"/>
      <c r="I1144" s="56"/>
      <c r="J1144" s="56"/>
      <c r="K1144" s="56"/>
      <c r="L1144" s="56"/>
      <c r="M1144" s="56"/>
      <c r="N1144" s="56"/>
      <c r="O1144" s="56"/>
      <c r="P1144" s="56"/>
      <c r="Q1144" s="56"/>
      <c r="R1144" s="56"/>
      <c r="S1144" s="56"/>
      <c r="T1144" s="56"/>
      <c r="U1144" s="56"/>
      <c r="V1144" s="56"/>
      <c r="W1144" s="56"/>
      <c r="X1144" s="5"/>
      <c r="Y1144" s="5"/>
      <c r="Z1144" s="5"/>
    </row>
    <row r="1145">
      <c r="A1145" s="56"/>
      <c r="B1145" s="57"/>
      <c r="C1145" s="56"/>
      <c r="D1145" s="56"/>
      <c r="E1145" s="56"/>
      <c r="F1145" s="56"/>
      <c r="G1145" s="56"/>
      <c r="H1145" s="56"/>
      <c r="I1145" s="56"/>
      <c r="J1145" s="56"/>
      <c r="K1145" s="56"/>
      <c r="L1145" s="56"/>
      <c r="M1145" s="56"/>
      <c r="N1145" s="56"/>
      <c r="O1145" s="56"/>
      <c r="P1145" s="56"/>
      <c r="Q1145" s="56"/>
      <c r="R1145" s="56"/>
      <c r="S1145" s="56"/>
      <c r="T1145" s="56"/>
      <c r="U1145" s="56"/>
      <c r="V1145" s="56"/>
      <c r="W1145" s="56"/>
      <c r="X1145" s="5"/>
      <c r="Y1145" s="5"/>
      <c r="Z1145" s="5"/>
    </row>
    <row r="1146">
      <c r="A1146" s="56"/>
      <c r="B1146" s="57"/>
      <c r="C1146" s="56"/>
      <c r="D1146" s="56"/>
      <c r="E1146" s="56"/>
      <c r="F1146" s="56"/>
      <c r="G1146" s="56"/>
      <c r="H1146" s="56"/>
      <c r="I1146" s="56"/>
      <c r="J1146" s="56"/>
      <c r="K1146" s="56"/>
      <c r="L1146" s="56"/>
      <c r="M1146" s="56"/>
      <c r="N1146" s="56"/>
      <c r="O1146" s="56"/>
      <c r="P1146" s="56"/>
      <c r="Q1146" s="56"/>
      <c r="R1146" s="56"/>
      <c r="S1146" s="56"/>
      <c r="T1146" s="56"/>
      <c r="U1146" s="56"/>
      <c r="V1146" s="56"/>
      <c r="W1146" s="56"/>
      <c r="X1146" s="5"/>
      <c r="Y1146" s="5"/>
      <c r="Z1146" s="5"/>
    </row>
    <row r="1147">
      <c r="A1147" s="56"/>
      <c r="B1147" s="57"/>
      <c r="C1147" s="56"/>
      <c r="D1147" s="56"/>
      <c r="E1147" s="56"/>
      <c r="F1147" s="56"/>
      <c r="G1147" s="56"/>
      <c r="H1147" s="56"/>
      <c r="I1147" s="56"/>
      <c r="J1147" s="56"/>
      <c r="K1147" s="56"/>
      <c r="L1147" s="56"/>
      <c r="M1147" s="56"/>
      <c r="N1147" s="56"/>
      <c r="O1147" s="56"/>
      <c r="P1147" s="56"/>
      <c r="Q1147" s="56"/>
      <c r="R1147" s="56"/>
      <c r="S1147" s="56"/>
      <c r="T1147" s="56"/>
      <c r="U1147" s="56"/>
      <c r="V1147" s="56"/>
      <c r="W1147" s="56"/>
      <c r="X1147" s="5"/>
      <c r="Y1147" s="5"/>
      <c r="Z1147" s="5"/>
    </row>
    <row r="1148">
      <c r="A1148" s="56"/>
      <c r="B1148" s="57"/>
      <c r="C1148" s="56"/>
      <c r="D1148" s="56"/>
      <c r="E1148" s="56"/>
      <c r="F1148" s="56"/>
      <c r="G1148" s="56"/>
      <c r="H1148" s="56"/>
      <c r="I1148" s="56"/>
      <c r="J1148" s="56"/>
      <c r="K1148" s="56"/>
      <c r="L1148" s="56"/>
      <c r="M1148" s="56"/>
      <c r="N1148" s="56"/>
      <c r="O1148" s="56"/>
      <c r="P1148" s="56"/>
      <c r="Q1148" s="56"/>
      <c r="R1148" s="56"/>
      <c r="S1148" s="56"/>
      <c r="T1148" s="56"/>
      <c r="U1148" s="56"/>
      <c r="V1148" s="56"/>
      <c r="W1148" s="56"/>
      <c r="X1148" s="5"/>
      <c r="Y1148" s="5"/>
      <c r="Z1148" s="5"/>
    </row>
    <row r="1149">
      <c r="A1149" s="56"/>
      <c r="B1149" s="57"/>
      <c r="C1149" s="56"/>
      <c r="D1149" s="56"/>
      <c r="E1149" s="56"/>
      <c r="F1149" s="56"/>
      <c r="G1149" s="56"/>
      <c r="H1149" s="56"/>
      <c r="I1149" s="56"/>
      <c r="J1149" s="56"/>
      <c r="K1149" s="56"/>
      <c r="L1149" s="56"/>
      <c r="M1149" s="56"/>
      <c r="N1149" s="56"/>
      <c r="O1149" s="56"/>
      <c r="P1149" s="56"/>
      <c r="Q1149" s="56"/>
      <c r="R1149" s="56"/>
      <c r="S1149" s="56"/>
      <c r="T1149" s="56"/>
      <c r="U1149" s="56"/>
      <c r="V1149" s="56"/>
      <c r="W1149" s="56"/>
      <c r="X1149" s="5"/>
      <c r="Y1149" s="5"/>
      <c r="Z1149" s="5"/>
    </row>
    <row r="1150">
      <c r="A1150" s="56"/>
      <c r="B1150" s="57"/>
      <c r="C1150" s="56"/>
      <c r="D1150" s="56"/>
      <c r="E1150" s="56"/>
      <c r="F1150" s="56"/>
      <c r="G1150" s="56"/>
      <c r="H1150" s="56"/>
      <c r="I1150" s="56"/>
      <c r="J1150" s="56"/>
      <c r="K1150" s="56"/>
      <c r="L1150" s="56"/>
      <c r="M1150" s="56"/>
      <c r="N1150" s="56"/>
      <c r="O1150" s="56"/>
      <c r="P1150" s="56"/>
      <c r="Q1150" s="56"/>
      <c r="R1150" s="56"/>
      <c r="S1150" s="56"/>
      <c r="T1150" s="56"/>
      <c r="U1150" s="56"/>
      <c r="V1150" s="56"/>
      <c r="W1150" s="56"/>
      <c r="X1150" s="5"/>
      <c r="Y1150" s="5"/>
      <c r="Z1150" s="5"/>
    </row>
    <row r="1151">
      <c r="A1151" s="56"/>
      <c r="B1151" s="57"/>
      <c r="C1151" s="56"/>
      <c r="D1151" s="56"/>
      <c r="E1151" s="56"/>
      <c r="F1151" s="56"/>
      <c r="G1151" s="56"/>
      <c r="H1151" s="56"/>
      <c r="I1151" s="56"/>
      <c r="J1151" s="56"/>
      <c r="K1151" s="56"/>
      <c r="L1151" s="56"/>
      <c r="M1151" s="56"/>
      <c r="N1151" s="56"/>
      <c r="O1151" s="56"/>
      <c r="P1151" s="56"/>
      <c r="Q1151" s="56"/>
      <c r="R1151" s="56"/>
      <c r="S1151" s="56"/>
      <c r="T1151" s="56"/>
      <c r="U1151" s="56"/>
      <c r="V1151" s="56"/>
      <c r="W1151" s="56"/>
      <c r="X1151" s="5"/>
      <c r="Y1151" s="5"/>
      <c r="Z1151" s="5"/>
    </row>
    <row r="1152">
      <c r="A1152" s="56"/>
      <c r="B1152" s="57"/>
      <c r="C1152" s="56"/>
      <c r="D1152" s="56"/>
      <c r="E1152" s="56"/>
      <c r="F1152" s="56"/>
      <c r="G1152" s="56"/>
      <c r="H1152" s="56"/>
      <c r="I1152" s="56"/>
      <c r="J1152" s="56"/>
      <c r="K1152" s="56"/>
      <c r="L1152" s="56"/>
      <c r="M1152" s="56"/>
      <c r="N1152" s="56"/>
      <c r="O1152" s="56"/>
      <c r="P1152" s="56"/>
      <c r="Q1152" s="56"/>
      <c r="R1152" s="56"/>
      <c r="S1152" s="56"/>
      <c r="T1152" s="56"/>
      <c r="U1152" s="56"/>
      <c r="V1152" s="56"/>
      <c r="W1152" s="56"/>
      <c r="X1152" s="5"/>
      <c r="Y1152" s="5"/>
      <c r="Z1152" s="5"/>
    </row>
    <row r="1153">
      <c r="A1153" s="56"/>
      <c r="B1153" s="57"/>
      <c r="C1153" s="56"/>
      <c r="D1153" s="56"/>
      <c r="E1153" s="56"/>
      <c r="F1153" s="56"/>
      <c r="G1153" s="56"/>
      <c r="H1153" s="56"/>
      <c r="I1153" s="56"/>
      <c r="J1153" s="56"/>
      <c r="K1153" s="56"/>
      <c r="L1153" s="56"/>
      <c r="M1153" s="56"/>
      <c r="N1153" s="56"/>
      <c r="O1153" s="56"/>
      <c r="P1153" s="56"/>
      <c r="Q1153" s="56"/>
      <c r="R1153" s="56"/>
      <c r="S1153" s="56"/>
      <c r="T1153" s="56"/>
      <c r="U1153" s="56"/>
      <c r="V1153" s="56"/>
      <c r="W1153" s="56"/>
      <c r="X1153" s="5"/>
      <c r="Y1153" s="5"/>
      <c r="Z1153" s="5"/>
    </row>
    <row r="1154">
      <c r="A1154" s="56"/>
      <c r="B1154" s="57"/>
      <c r="C1154" s="56"/>
      <c r="D1154" s="56"/>
      <c r="E1154" s="56"/>
      <c r="F1154" s="56"/>
      <c r="G1154" s="56"/>
      <c r="H1154" s="56"/>
      <c r="I1154" s="56"/>
      <c r="J1154" s="56"/>
      <c r="K1154" s="56"/>
      <c r="L1154" s="56"/>
      <c r="M1154" s="56"/>
      <c r="N1154" s="56"/>
      <c r="O1154" s="56"/>
      <c r="P1154" s="56"/>
      <c r="Q1154" s="56"/>
      <c r="R1154" s="56"/>
      <c r="S1154" s="56"/>
      <c r="T1154" s="56"/>
      <c r="U1154" s="56"/>
      <c r="V1154" s="56"/>
      <c r="W1154" s="56"/>
      <c r="X1154" s="5"/>
      <c r="Y1154" s="5"/>
      <c r="Z1154" s="5"/>
    </row>
    <row r="1155">
      <c r="A1155" s="56"/>
      <c r="B1155" s="57"/>
      <c r="C1155" s="56"/>
      <c r="D1155" s="56"/>
      <c r="E1155" s="56"/>
      <c r="F1155" s="56"/>
      <c r="G1155" s="56"/>
      <c r="H1155" s="56"/>
      <c r="I1155" s="56"/>
      <c r="J1155" s="56"/>
      <c r="K1155" s="56"/>
      <c r="L1155" s="56"/>
      <c r="M1155" s="56"/>
      <c r="N1155" s="56"/>
      <c r="O1155" s="56"/>
      <c r="P1155" s="56"/>
      <c r="Q1155" s="56"/>
      <c r="R1155" s="56"/>
      <c r="S1155" s="56"/>
      <c r="T1155" s="56"/>
      <c r="U1155" s="56"/>
      <c r="V1155" s="56"/>
      <c r="W1155" s="56"/>
      <c r="X1155" s="5"/>
      <c r="Y1155" s="5"/>
      <c r="Z1155" s="5"/>
    </row>
    <row r="1156">
      <c r="A1156" s="56"/>
      <c r="B1156" s="57"/>
      <c r="C1156" s="56"/>
      <c r="D1156" s="56"/>
      <c r="E1156" s="56"/>
      <c r="F1156" s="56"/>
      <c r="G1156" s="56"/>
      <c r="H1156" s="56"/>
      <c r="I1156" s="56"/>
      <c r="J1156" s="56"/>
      <c r="K1156" s="56"/>
      <c r="L1156" s="56"/>
      <c r="M1156" s="56"/>
      <c r="N1156" s="56"/>
      <c r="O1156" s="56"/>
      <c r="P1156" s="56"/>
      <c r="Q1156" s="56"/>
      <c r="R1156" s="56"/>
      <c r="S1156" s="56"/>
      <c r="T1156" s="56"/>
      <c r="U1156" s="56"/>
      <c r="V1156" s="56"/>
      <c r="W1156" s="56"/>
      <c r="X1156" s="5"/>
      <c r="Y1156" s="5"/>
      <c r="Z1156" s="5"/>
    </row>
    <row r="1157">
      <c r="A1157" s="56"/>
      <c r="B1157" s="57"/>
      <c r="C1157" s="56"/>
      <c r="D1157" s="56"/>
      <c r="E1157" s="56"/>
      <c r="F1157" s="56"/>
      <c r="G1157" s="56"/>
      <c r="H1157" s="56"/>
      <c r="I1157" s="56"/>
      <c r="J1157" s="56"/>
      <c r="K1157" s="56"/>
      <c r="L1157" s="56"/>
      <c r="M1157" s="56"/>
      <c r="N1157" s="56"/>
      <c r="O1157" s="56"/>
      <c r="P1157" s="56"/>
      <c r="Q1157" s="56"/>
      <c r="R1157" s="56"/>
      <c r="S1157" s="56"/>
      <c r="T1157" s="56"/>
      <c r="U1157" s="56"/>
      <c r="V1157" s="56"/>
      <c r="W1157" s="56"/>
      <c r="X1157" s="5"/>
      <c r="Y1157" s="5"/>
      <c r="Z1157" s="5"/>
    </row>
    <row r="1158">
      <c r="A1158" s="56"/>
      <c r="B1158" s="57"/>
      <c r="C1158" s="56"/>
      <c r="D1158" s="56"/>
      <c r="E1158" s="56"/>
      <c r="F1158" s="56"/>
      <c r="G1158" s="56"/>
      <c r="H1158" s="56"/>
      <c r="I1158" s="56"/>
      <c r="J1158" s="56"/>
      <c r="K1158" s="56"/>
      <c r="L1158" s="56"/>
      <c r="M1158" s="56"/>
      <c r="N1158" s="56"/>
      <c r="O1158" s="56"/>
      <c r="P1158" s="56"/>
      <c r="Q1158" s="56"/>
      <c r="R1158" s="56"/>
      <c r="S1158" s="56"/>
      <c r="T1158" s="56"/>
      <c r="U1158" s="56"/>
      <c r="V1158" s="56"/>
      <c r="W1158" s="56"/>
      <c r="X1158" s="5"/>
      <c r="Y1158" s="5"/>
      <c r="Z1158" s="5"/>
    </row>
    <row r="1159">
      <c r="A1159" s="56"/>
      <c r="B1159" s="57"/>
      <c r="C1159" s="56"/>
      <c r="D1159" s="56"/>
      <c r="E1159" s="56"/>
      <c r="F1159" s="56"/>
      <c r="G1159" s="56"/>
      <c r="H1159" s="56"/>
      <c r="I1159" s="56"/>
      <c r="J1159" s="56"/>
      <c r="K1159" s="56"/>
      <c r="L1159" s="56"/>
      <c r="M1159" s="56"/>
      <c r="N1159" s="56"/>
      <c r="O1159" s="56"/>
      <c r="P1159" s="56"/>
      <c r="Q1159" s="56"/>
      <c r="R1159" s="56"/>
      <c r="S1159" s="56"/>
      <c r="T1159" s="56"/>
      <c r="U1159" s="56"/>
      <c r="V1159" s="56"/>
      <c r="W1159" s="56"/>
      <c r="X1159" s="5"/>
      <c r="Y1159" s="5"/>
      <c r="Z1159" s="5"/>
    </row>
    <row r="1160">
      <c r="A1160" s="56"/>
      <c r="B1160" s="57"/>
      <c r="C1160" s="56"/>
      <c r="D1160" s="56"/>
      <c r="E1160" s="56"/>
      <c r="F1160" s="56"/>
      <c r="G1160" s="56"/>
      <c r="H1160" s="56"/>
      <c r="I1160" s="56"/>
      <c r="J1160" s="56"/>
      <c r="K1160" s="56"/>
      <c r="L1160" s="56"/>
      <c r="M1160" s="56"/>
      <c r="N1160" s="56"/>
      <c r="O1160" s="56"/>
      <c r="P1160" s="56"/>
      <c r="Q1160" s="56"/>
      <c r="R1160" s="56"/>
      <c r="S1160" s="56"/>
      <c r="T1160" s="56"/>
      <c r="U1160" s="56"/>
      <c r="V1160" s="56"/>
      <c r="W1160" s="56"/>
      <c r="X1160" s="5"/>
      <c r="Y1160" s="5"/>
      <c r="Z1160" s="5"/>
    </row>
    <row r="1161">
      <c r="A1161" s="56"/>
      <c r="B1161" s="57"/>
      <c r="C1161" s="56"/>
      <c r="D1161" s="56"/>
      <c r="E1161" s="56"/>
      <c r="F1161" s="56"/>
      <c r="G1161" s="56"/>
      <c r="H1161" s="56"/>
      <c r="I1161" s="56"/>
      <c r="J1161" s="56"/>
      <c r="K1161" s="56"/>
      <c r="L1161" s="56"/>
      <c r="M1161" s="56"/>
      <c r="N1161" s="56"/>
      <c r="O1161" s="56"/>
      <c r="P1161" s="56"/>
      <c r="Q1161" s="56"/>
      <c r="R1161" s="56"/>
      <c r="S1161" s="56"/>
      <c r="T1161" s="56"/>
      <c r="U1161" s="56"/>
      <c r="V1161" s="56"/>
      <c r="W1161" s="56"/>
      <c r="X1161" s="5"/>
      <c r="Y1161" s="5"/>
      <c r="Z1161" s="5"/>
    </row>
    <row r="1162">
      <c r="A1162" s="56"/>
      <c r="B1162" s="57"/>
      <c r="C1162" s="56"/>
      <c r="D1162" s="56"/>
      <c r="E1162" s="56"/>
      <c r="F1162" s="56"/>
      <c r="G1162" s="56"/>
      <c r="H1162" s="56"/>
      <c r="I1162" s="56"/>
      <c r="J1162" s="56"/>
      <c r="K1162" s="56"/>
      <c r="L1162" s="56"/>
      <c r="M1162" s="56"/>
      <c r="N1162" s="56"/>
      <c r="O1162" s="56"/>
      <c r="P1162" s="56"/>
      <c r="Q1162" s="56"/>
      <c r="R1162" s="56"/>
      <c r="S1162" s="56"/>
      <c r="T1162" s="56"/>
      <c r="U1162" s="56"/>
      <c r="V1162" s="56"/>
      <c r="W1162" s="56"/>
      <c r="X1162" s="5"/>
      <c r="Y1162" s="5"/>
      <c r="Z1162" s="5"/>
    </row>
    <row r="1163">
      <c r="A1163" s="56"/>
      <c r="B1163" s="57"/>
      <c r="C1163" s="56"/>
      <c r="D1163" s="56"/>
      <c r="E1163" s="56"/>
      <c r="F1163" s="56"/>
      <c r="G1163" s="56"/>
      <c r="H1163" s="56"/>
      <c r="I1163" s="56"/>
      <c r="J1163" s="56"/>
      <c r="K1163" s="56"/>
      <c r="L1163" s="56"/>
      <c r="M1163" s="56"/>
      <c r="N1163" s="56"/>
      <c r="O1163" s="56"/>
      <c r="P1163" s="56"/>
      <c r="Q1163" s="56"/>
      <c r="R1163" s="56"/>
      <c r="S1163" s="56"/>
      <c r="T1163" s="56"/>
      <c r="U1163" s="56"/>
      <c r="V1163" s="56"/>
      <c r="W1163" s="56"/>
      <c r="X1163" s="5"/>
      <c r="Y1163" s="5"/>
      <c r="Z1163" s="5"/>
    </row>
    <row r="1164">
      <c r="A1164" s="56"/>
      <c r="B1164" s="57"/>
      <c r="C1164" s="56"/>
      <c r="D1164" s="56"/>
      <c r="E1164" s="56"/>
      <c r="F1164" s="56"/>
      <c r="G1164" s="56"/>
      <c r="H1164" s="56"/>
      <c r="I1164" s="56"/>
      <c r="J1164" s="56"/>
      <c r="K1164" s="56"/>
      <c r="L1164" s="56"/>
      <c r="M1164" s="56"/>
      <c r="N1164" s="56"/>
      <c r="O1164" s="56"/>
      <c r="P1164" s="56"/>
      <c r="Q1164" s="56"/>
      <c r="R1164" s="56"/>
      <c r="S1164" s="56"/>
      <c r="T1164" s="56"/>
      <c r="U1164" s="56"/>
      <c r="V1164" s="56"/>
      <c r="W1164" s="56"/>
      <c r="X1164" s="5"/>
      <c r="Y1164" s="5"/>
      <c r="Z1164" s="5"/>
    </row>
    <row r="1165">
      <c r="A1165" s="56"/>
      <c r="B1165" s="57"/>
      <c r="C1165" s="56"/>
      <c r="D1165" s="56"/>
      <c r="E1165" s="56"/>
      <c r="F1165" s="56"/>
      <c r="G1165" s="56"/>
      <c r="H1165" s="56"/>
      <c r="I1165" s="56"/>
      <c r="J1165" s="56"/>
      <c r="K1165" s="56"/>
      <c r="L1165" s="56"/>
      <c r="M1165" s="56"/>
      <c r="N1165" s="56"/>
      <c r="O1165" s="56"/>
      <c r="P1165" s="56"/>
      <c r="Q1165" s="56"/>
      <c r="R1165" s="56"/>
      <c r="S1165" s="56"/>
      <c r="T1165" s="56"/>
      <c r="U1165" s="56"/>
      <c r="V1165" s="56"/>
      <c r="W1165" s="56"/>
      <c r="X1165" s="5"/>
      <c r="Y1165" s="5"/>
      <c r="Z1165" s="5"/>
    </row>
    <row r="1166">
      <c r="A1166" s="56"/>
      <c r="B1166" s="57"/>
      <c r="C1166" s="56"/>
      <c r="D1166" s="56"/>
      <c r="E1166" s="56"/>
      <c r="F1166" s="56"/>
      <c r="G1166" s="56"/>
      <c r="H1166" s="56"/>
      <c r="I1166" s="56"/>
      <c r="J1166" s="56"/>
      <c r="K1166" s="56"/>
      <c r="L1166" s="56"/>
      <c r="M1166" s="56"/>
      <c r="N1166" s="56"/>
      <c r="O1166" s="56"/>
      <c r="P1166" s="56"/>
      <c r="Q1166" s="56"/>
      <c r="R1166" s="56"/>
      <c r="S1166" s="56"/>
      <c r="T1166" s="56"/>
      <c r="U1166" s="56"/>
      <c r="V1166" s="56"/>
      <c r="W1166" s="56"/>
      <c r="X1166" s="5"/>
      <c r="Y1166" s="5"/>
      <c r="Z1166" s="5"/>
    </row>
    <row r="1167">
      <c r="A1167" s="56"/>
      <c r="B1167" s="57"/>
      <c r="C1167" s="56"/>
      <c r="D1167" s="56"/>
      <c r="E1167" s="56"/>
      <c r="F1167" s="56"/>
      <c r="G1167" s="56"/>
      <c r="H1167" s="56"/>
      <c r="I1167" s="56"/>
      <c r="J1167" s="56"/>
      <c r="K1167" s="56"/>
      <c r="L1167" s="56"/>
      <c r="M1167" s="56"/>
      <c r="N1167" s="56"/>
      <c r="O1167" s="56"/>
      <c r="P1167" s="56"/>
      <c r="Q1167" s="56"/>
      <c r="R1167" s="56"/>
      <c r="S1167" s="56"/>
      <c r="T1167" s="56"/>
      <c r="U1167" s="56"/>
      <c r="V1167" s="56"/>
      <c r="W1167" s="56"/>
      <c r="X1167" s="5"/>
      <c r="Y1167" s="5"/>
      <c r="Z1167" s="5"/>
    </row>
    <row r="1168">
      <c r="A1168" s="56"/>
      <c r="B1168" s="57"/>
      <c r="C1168" s="56"/>
      <c r="D1168" s="56"/>
      <c r="E1168" s="56"/>
      <c r="F1168" s="56"/>
      <c r="G1168" s="56"/>
      <c r="H1168" s="56"/>
      <c r="I1168" s="56"/>
      <c r="J1168" s="56"/>
      <c r="K1168" s="56"/>
      <c r="L1168" s="56"/>
      <c r="M1168" s="56"/>
      <c r="N1168" s="56"/>
      <c r="O1168" s="56"/>
      <c r="P1168" s="56"/>
      <c r="Q1168" s="56"/>
      <c r="R1168" s="56"/>
      <c r="S1168" s="56"/>
      <c r="T1168" s="56"/>
      <c r="U1168" s="56"/>
      <c r="V1168" s="56"/>
      <c r="W1168" s="56"/>
      <c r="X1168" s="5"/>
      <c r="Y1168" s="5"/>
      <c r="Z1168" s="5"/>
    </row>
    <row r="1169">
      <c r="A1169" s="56"/>
      <c r="B1169" s="57"/>
      <c r="C1169" s="56"/>
      <c r="D1169" s="56"/>
      <c r="E1169" s="56"/>
      <c r="F1169" s="56"/>
      <c r="G1169" s="56"/>
      <c r="H1169" s="56"/>
      <c r="I1169" s="56"/>
      <c r="J1169" s="56"/>
      <c r="K1169" s="56"/>
      <c r="L1169" s="56"/>
      <c r="M1169" s="56"/>
      <c r="N1169" s="56"/>
      <c r="O1169" s="56"/>
      <c r="P1169" s="56"/>
      <c r="Q1169" s="56"/>
      <c r="R1169" s="56"/>
      <c r="S1169" s="56"/>
      <c r="T1169" s="56"/>
      <c r="U1169" s="56"/>
      <c r="V1169" s="56"/>
      <c r="W1169" s="56"/>
      <c r="X1169" s="5"/>
      <c r="Y1169" s="5"/>
      <c r="Z1169" s="5"/>
    </row>
    <row r="1170">
      <c r="A1170" s="56"/>
      <c r="B1170" s="57"/>
      <c r="C1170" s="56"/>
      <c r="D1170" s="56"/>
      <c r="E1170" s="56"/>
      <c r="F1170" s="56"/>
      <c r="G1170" s="56"/>
      <c r="H1170" s="56"/>
      <c r="I1170" s="56"/>
      <c r="J1170" s="56"/>
      <c r="K1170" s="56"/>
      <c r="L1170" s="56"/>
      <c r="M1170" s="56"/>
      <c r="N1170" s="56"/>
      <c r="O1170" s="56"/>
      <c r="P1170" s="56"/>
      <c r="Q1170" s="56"/>
      <c r="R1170" s="56"/>
      <c r="S1170" s="56"/>
      <c r="T1170" s="56"/>
      <c r="U1170" s="56"/>
      <c r="V1170" s="56"/>
      <c r="W1170" s="56"/>
      <c r="X1170" s="5"/>
      <c r="Y1170" s="5"/>
      <c r="Z1170" s="5"/>
    </row>
    <row r="1171">
      <c r="A1171" s="56"/>
      <c r="B1171" s="57"/>
      <c r="C1171" s="56"/>
      <c r="D1171" s="56"/>
      <c r="E1171" s="56"/>
      <c r="F1171" s="56"/>
      <c r="G1171" s="56"/>
      <c r="H1171" s="56"/>
      <c r="I1171" s="56"/>
      <c r="J1171" s="56"/>
      <c r="K1171" s="56"/>
      <c r="L1171" s="56"/>
      <c r="M1171" s="56"/>
      <c r="N1171" s="56"/>
      <c r="O1171" s="56"/>
      <c r="P1171" s="56"/>
      <c r="Q1171" s="56"/>
      <c r="R1171" s="56"/>
      <c r="S1171" s="56"/>
      <c r="T1171" s="56"/>
      <c r="U1171" s="56"/>
      <c r="V1171" s="56"/>
      <c r="W1171" s="56"/>
      <c r="X1171" s="5"/>
      <c r="Y1171" s="5"/>
      <c r="Z1171" s="5"/>
    </row>
    <row r="1172">
      <c r="A1172" s="56"/>
      <c r="B1172" s="57"/>
      <c r="C1172" s="56"/>
      <c r="D1172" s="56"/>
      <c r="E1172" s="56"/>
      <c r="F1172" s="56"/>
      <c r="G1172" s="56"/>
      <c r="H1172" s="56"/>
      <c r="I1172" s="56"/>
      <c r="J1172" s="56"/>
      <c r="K1172" s="56"/>
      <c r="L1172" s="56"/>
      <c r="M1172" s="56"/>
      <c r="N1172" s="56"/>
      <c r="O1172" s="56"/>
      <c r="P1172" s="56"/>
      <c r="Q1172" s="56"/>
      <c r="R1172" s="56"/>
      <c r="S1172" s="56"/>
      <c r="T1172" s="56"/>
      <c r="U1172" s="56"/>
      <c r="V1172" s="56"/>
      <c r="W1172" s="56"/>
      <c r="X1172" s="5"/>
      <c r="Y1172" s="5"/>
      <c r="Z1172" s="5"/>
    </row>
    <row r="1173">
      <c r="A1173" s="56"/>
      <c r="B1173" s="57"/>
      <c r="C1173" s="56"/>
      <c r="D1173" s="56"/>
      <c r="E1173" s="56"/>
      <c r="F1173" s="56"/>
      <c r="G1173" s="56"/>
      <c r="H1173" s="56"/>
      <c r="I1173" s="56"/>
      <c r="J1173" s="56"/>
      <c r="K1173" s="56"/>
      <c r="L1173" s="56"/>
      <c r="M1173" s="56"/>
      <c r="N1173" s="56"/>
      <c r="O1173" s="56"/>
      <c r="P1173" s="56"/>
      <c r="Q1173" s="56"/>
      <c r="R1173" s="56"/>
      <c r="S1173" s="56"/>
      <c r="T1173" s="56"/>
      <c r="U1173" s="56"/>
      <c r="V1173" s="56"/>
      <c r="W1173" s="56"/>
      <c r="X1173" s="5"/>
      <c r="Y1173" s="5"/>
      <c r="Z1173" s="5"/>
    </row>
    <row r="1174">
      <c r="A1174" s="56"/>
      <c r="B1174" s="57"/>
      <c r="C1174" s="56"/>
      <c r="D1174" s="56"/>
      <c r="E1174" s="56"/>
      <c r="F1174" s="56"/>
      <c r="G1174" s="56"/>
      <c r="H1174" s="56"/>
      <c r="I1174" s="56"/>
      <c r="J1174" s="56"/>
      <c r="K1174" s="56"/>
      <c r="L1174" s="56"/>
      <c r="M1174" s="56"/>
      <c r="N1174" s="56"/>
      <c r="O1174" s="56"/>
      <c r="P1174" s="56"/>
      <c r="Q1174" s="56"/>
      <c r="R1174" s="56"/>
      <c r="S1174" s="56"/>
      <c r="T1174" s="56"/>
      <c r="U1174" s="56"/>
      <c r="V1174" s="56"/>
      <c r="W1174" s="56"/>
      <c r="X1174" s="5"/>
      <c r="Y1174" s="5"/>
      <c r="Z1174" s="5"/>
    </row>
    <row r="1175">
      <c r="A1175" s="56"/>
      <c r="B1175" s="57"/>
      <c r="C1175" s="56"/>
      <c r="D1175" s="56"/>
      <c r="E1175" s="56"/>
      <c r="F1175" s="56"/>
      <c r="G1175" s="56"/>
      <c r="H1175" s="56"/>
      <c r="I1175" s="56"/>
      <c r="J1175" s="56"/>
      <c r="K1175" s="56"/>
      <c r="L1175" s="56"/>
      <c r="M1175" s="56"/>
      <c r="N1175" s="56"/>
      <c r="O1175" s="56"/>
      <c r="P1175" s="56"/>
      <c r="Q1175" s="56"/>
      <c r="R1175" s="56"/>
      <c r="S1175" s="56"/>
      <c r="T1175" s="56"/>
      <c r="U1175" s="56"/>
      <c r="V1175" s="56"/>
      <c r="W1175" s="56"/>
      <c r="X1175" s="5"/>
      <c r="Y1175" s="5"/>
      <c r="Z1175" s="5"/>
    </row>
    <row r="1176">
      <c r="A1176" s="56"/>
      <c r="B1176" s="57"/>
      <c r="C1176" s="56"/>
      <c r="D1176" s="56"/>
      <c r="E1176" s="56"/>
      <c r="F1176" s="56"/>
      <c r="G1176" s="56"/>
      <c r="H1176" s="56"/>
      <c r="I1176" s="56"/>
      <c r="J1176" s="56"/>
      <c r="K1176" s="56"/>
      <c r="L1176" s="56"/>
      <c r="M1176" s="56"/>
      <c r="N1176" s="56"/>
      <c r="O1176" s="56"/>
      <c r="P1176" s="56"/>
      <c r="Q1176" s="56"/>
      <c r="R1176" s="56"/>
      <c r="S1176" s="56"/>
      <c r="T1176" s="56"/>
      <c r="U1176" s="56"/>
      <c r="V1176" s="56"/>
      <c r="W1176" s="56"/>
      <c r="X1176" s="5"/>
      <c r="Y1176" s="5"/>
      <c r="Z1176" s="5"/>
    </row>
    <row r="1177">
      <c r="A1177" s="56"/>
      <c r="B1177" s="57"/>
      <c r="C1177" s="56"/>
      <c r="D1177" s="56"/>
      <c r="E1177" s="56"/>
      <c r="F1177" s="56"/>
      <c r="G1177" s="56"/>
      <c r="H1177" s="56"/>
      <c r="I1177" s="56"/>
      <c r="J1177" s="56"/>
      <c r="K1177" s="56"/>
      <c r="L1177" s="56"/>
      <c r="M1177" s="56"/>
      <c r="N1177" s="56"/>
      <c r="O1177" s="56"/>
      <c r="P1177" s="56"/>
      <c r="Q1177" s="56"/>
      <c r="R1177" s="56"/>
      <c r="S1177" s="56"/>
      <c r="T1177" s="56"/>
      <c r="U1177" s="56"/>
      <c r="V1177" s="56"/>
      <c r="W1177" s="56"/>
      <c r="X1177" s="5"/>
      <c r="Y1177" s="5"/>
      <c r="Z1177" s="5"/>
    </row>
    <row r="1178">
      <c r="A1178" s="56"/>
      <c r="B1178" s="57"/>
      <c r="C1178" s="56"/>
      <c r="D1178" s="56"/>
      <c r="E1178" s="56"/>
      <c r="F1178" s="56"/>
      <c r="G1178" s="56"/>
      <c r="H1178" s="56"/>
      <c r="I1178" s="56"/>
      <c r="J1178" s="56"/>
      <c r="K1178" s="56"/>
      <c r="L1178" s="56"/>
      <c r="M1178" s="56"/>
      <c r="N1178" s="56"/>
      <c r="O1178" s="56"/>
      <c r="P1178" s="56"/>
      <c r="Q1178" s="56"/>
      <c r="R1178" s="56"/>
      <c r="S1178" s="56"/>
      <c r="T1178" s="56"/>
      <c r="U1178" s="56"/>
      <c r="V1178" s="56"/>
      <c r="W1178" s="56"/>
      <c r="X1178" s="5"/>
      <c r="Y1178" s="5"/>
      <c r="Z1178" s="5"/>
    </row>
    <row r="1179">
      <c r="A1179" s="56"/>
      <c r="B1179" s="57"/>
      <c r="C1179" s="56"/>
      <c r="D1179" s="56"/>
      <c r="E1179" s="56"/>
      <c r="F1179" s="56"/>
      <c r="G1179" s="56"/>
      <c r="H1179" s="56"/>
      <c r="I1179" s="56"/>
      <c r="J1179" s="56"/>
      <c r="K1179" s="56"/>
      <c r="L1179" s="56"/>
      <c r="M1179" s="56"/>
      <c r="N1179" s="56"/>
      <c r="O1179" s="56"/>
      <c r="P1179" s="56"/>
      <c r="Q1179" s="56"/>
      <c r="R1179" s="56"/>
      <c r="S1179" s="56"/>
      <c r="T1179" s="56"/>
      <c r="U1179" s="56"/>
      <c r="V1179" s="56"/>
      <c r="W1179" s="56"/>
      <c r="X1179" s="5"/>
      <c r="Y1179" s="5"/>
      <c r="Z1179" s="5"/>
    </row>
    <row r="1180">
      <c r="A1180" s="56"/>
      <c r="B1180" s="57"/>
      <c r="C1180" s="56"/>
      <c r="D1180" s="56"/>
      <c r="E1180" s="56"/>
      <c r="F1180" s="56"/>
      <c r="G1180" s="56"/>
      <c r="H1180" s="56"/>
      <c r="I1180" s="56"/>
      <c r="J1180" s="56"/>
      <c r="K1180" s="56"/>
      <c r="L1180" s="56"/>
      <c r="M1180" s="56"/>
      <c r="N1180" s="56"/>
      <c r="O1180" s="56"/>
      <c r="P1180" s="56"/>
      <c r="Q1180" s="56"/>
      <c r="R1180" s="56"/>
      <c r="S1180" s="56"/>
      <c r="T1180" s="56"/>
      <c r="U1180" s="56"/>
      <c r="V1180" s="56"/>
      <c r="W1180" s="56"/>
      <c r="X1180" s="5"/>
      <c r="Y1180" s="5"/>
      <c r="Z1180" s="5"/>
    </row>
    <row r="1181">
      <c r="A1181" s="56"/>
      <c r="B1181" s="57"/>
      <c r="C1181" s="56"/>
      <c r="D1181" s="56"/>
      <c r="E1181" s="56"/>
      <c r="F1181" s="56"/>
      <c r="G1181" s="56"/>
      <c r="H1181" s="56"/>
      <c r="I1181" s="56"/>
      <c r="J1181" s="56"/>
      <c r="K1181" s="56"/>
      <c r="L1181" s="56"/>
      <c r="M1181" s="56"/>
      <c r="N1181" s="56"/>
      <c r="O1181" s="56"/>
      <c r="P1181" s="56"/>
      <c r="Q1181" s="56"/>
      <c r="R1181" s="56"/>
      <c r="S1181" s="56"/>
      <c r="T1181" s="56"/>
      <c r="U1181" s="56"/>
      <c r="V1181" s="56"/>
      <c r="W1181" s="56"/>
      <c r="X1181" s="5"/>
      <c r="Y1181" s="5"/>
      <c r="Z1181" s="5"/>
    </row>
    <row r="1182">
      <c r="A1182" s="56"/>
      <c r="B1182" s="57"/>
      <c r="C1182" s="56"/>
      <c r="D1182" s="56"/>
      <c r="E1182" s="56"/>
      <c r="F1182" s="56"/>
      <c r="G1182" s="56"/>
      <c r="H1182" s="56"/>
      <c r="I1182" s="56"/>
      <c r="J1182" s="56"/>
      <c r="K1182" s="56"/>
      <c r="L1182" s="56"/>
      <c r="M1182" s="56"/>
      <c r="N1182" s="56"/>
      <c r="O1182" s="56"/>
      <c r="P1182" s="56"/>
      <c r="Q1182" s="56"/>
      <c r="R1182" s="56"/>
      <c r="S1182" s="56"/>
      <c r="T1182" s="56"/>
      <c r="U1182" s="56"/>
      <c r="V1182" s="56"/>
      <c r="W1182" s="56"/>
      <c r="X1182" s="5"/>
      <c r="Y1182" s="5"/>
      <c r="Z1182" s="5"/>
    </row>
    <row r="1183">
      <c r="A1183" s="56"/>
      <c r="B1183" s="57"/>
      <c r="C1183" s="56"/>
      <c r="D1183" s="56"/>
      <c r="E1183" s="56"/>
      <c r="F1183" s="56"/>
      <c r="G1183" s="56"/>
      <c r="H1183" s="56"/>
      <c r="I1183" s="56"/>
      <c r="J1183" s="56"/>
      <c r="K1183" s="56"/>
      <c r="L1183" s="56"/>
      <c r="M1183" s="56"/>
      <c r="N1183" s="56"/>
      <c r="O1183" s="56"/>
      <c r="P1183" s="56"/>
      <c r="Q1183" s="56"/>
      <c r="R1183" s="56"/>
      <c r="S1183" s="56"/>
      <c r="T1183" s="56"/>
      <c r="U1183" s="56"/>
      <c r="V1183" s="56"/>
      <c r="W1183" s="56"/>
      <c r="X1183" s="5"/>
      <c r="Y1183" s="5"/>
      <c r="Z1183" s="5"/>
    </row>
    <row r="1184">
      <c r="A1184" s="56"/>
      <c r="B1184" s="57"/>
      <c r="C1184" s="56"/>
      <c r="D1184" s="56"/>
      <c r="E1184" s="56"/>
      <c r="F1184" s="56"/>
      <c r="G1184" s="56"/>
      <c r="H1184" s="56"/>
      <c r="I1184" s="56"/>
      <c r="J1184" s="56"/>
      <c r="K1184" s="56"/>
      <c r="L1184" s="56"/>
      <c r="M1184" s="56"/>
      <c r="N1184" s="56"/>
      <c r="O1184" s="56"/>
      <c r="P1184" s="56"/>
      <c r="Q1184" s="56"/>
      <c r="R1184" s="56"/>
      <c r="S1184" s="56"/>
      <c r="T1184" s="56"/>
      <c r="U1184" s="56"/>
      <c r="V1184" s="56"/>
      <c r="W1184" s="56"/>
      <c r="X1184" s="5"/>
      <c r="Y1184" s="5"/>
      <c r="Z1184" s="5"/>
    </row>
    <row r="1185">
      <c r="A1185" s="56"/>
      <c r="B1185" s="57"/>
      <c r="C1185" s="56"/>
      <c r="D1185" s="56"/>
      <c r="E1185" s="56"/>
      <c r="F1185" s="56"/>
      <c r="G1185" s="56"/>
      <c r="H1185" s="56"/>
      <c r="I1185" s="56"/>
      <c r="J1185" s="56"/>
      <c r="K1185" s="56"/>
      <c r="L1185" s="56"/>
      <c r="M1185" s="56"/>
      <c r="N1185" s="56"/>
      <c r="O1185" s="56"/>
      <c r="P1185" s="56"/>
      <c r="Q1185" s="56"/>
      <c r="R1185" s="56"/>
      <c r="S1185" s="56"/>
      <c r="T1185" s="56"/>
      <c r="U1185" s="56"/>
      <c r="V1185" s="56"/>
      <c r="W1185" s="56"/>
      <c r="X1185" s="5"/>
      <c r="Y1185" s="5"/>
      <c r="Z1185" s="5"/>
    </row>
    <row r="1186">
      <c r="A1186" s="56"/>
      <c r="B1186" s="57"/>
      <c r="C1186" s="56"/>
      <c r="D1186" s="56"/>
      <c r="E1186" s="56"/>
      <c r="F1186" s="56"/>
      <c r="G1186" s="56"/>
      <c r="H1186" s="56"/>
      <c r="I1186" s="56"/>
      <c r="J1186" s="56"/>
      <c r="K1186" s="56"/>
      <c r="L1186" s="56"/>
      <c r="M1186" s="56"/>
      <c r="N1186" s="56"/>
      <c r="O1186" s="56"/>
      <c r="P1186" s="56"/>
      <c r="Q1186" s="56"/>
      <c r="R1186" s="56"/>
      <c r="S1186" s="56"/>
      <c r="T1186" s="56"/>
      <c r="U1186" s="56"/>
      <c r="V1186" s="56"/>
      <c r="W1186" s="56"/>
      <c r="X1186" s="5"/>
      <c r="Y1186" s="5"/>
      <c r="Z1186" s="5"/>
    </row>
    <row r="1187">
      <c r="A1187" s="56"/>
      <c r="B1187" s="57"/>
      <c r="C1187" s="56"/>
      <c r="D1187" s="56"/>
      <c r="E1187" s="56"/>
      <c r="F1187" s="56"/>
      <c r="G1187" s="56"/>
      <c r="H1187" s="56"/>
      <c r="I1187" s="56"/>
      <c r="J1187" s="56"/>
      <c r="K1187" s="56"/>
      <c r="L1187" s="56"/>
      <c r="M1187" s="56"/>
      <c r="N1187" s="56"/>
      <c r="O1187" s="56"/>
      <c r="P1187" s="56"/>
      <c r="Q1187" s="56"/>
      <c r="R1187" s="56"/>
      <c r="S1187" s="56"/>
      <c r="T1187" s="56"/>
      <c r="U1187" s="56"/>
      <c r="V1187" s="56"/>
      <c r="W1187" s="56"/>
      <c r="X1187" s="5"/>
      <c r="Y1187" s="5"/>
      <c r="Z1187" s="5"/>
    </row>
    <row r="1188">
      <c r="A1188" s="56"/>
      <c r="B1188" s="57"/>
      <c r="C1188" s="56"/>
      <c r="D1188" s="56"/>
      <c r="E1188" s="56"/>
      <c r="F1188" s="56"/>
      <c r="G1188" s="56"/>
      <c r="H1188" s="56"/>
      <c r="I1188" s="56"/>
      <c r="J1188" s="56"/>
      <c r="K1188" s="56"/>
      <c r="L1188" s="56"/>
      <c r="M1188" s="56"/>
      <c r="N1188" s="56"/>
      <c r="O1188" s="56"/>
      <c r="P1188" s="56"/>
      <c r="Q1188" s="56"/>
      <c r="R1188" s="56"/>
      <c r="S1188" s="56"/>
      <c r="T1188" s="56"/>
      <c r="U1188" s="56"/>
      <c r="V1188" s="56"/>
      <c r="W1188" s="56"/>
      <c r="X1188" s="5"/>
      <c r="Y1188" s="5"/>
      <c r="Z1188" s="5"/>
    </row>
    <row r="1189">
      <c r="A1189" s="56"/>
      <c r="B1189" s="57"/>
      <c r="C1189" s="56"/>
      <c r="D1189" s="56"/>
      <c r="E1189" s="56"/>
      <c r="F1189" s="56"/>
      <c r="G1189" s="56"/>
      <c r="H1189" s="56"/>
      <c r="I1189" s="56"/>
      <c r="J1189" s="56"/>
      <c r="K1189" s="56"/>
      <c r="L1189" s="56"/>
      <c r="M1189" s="56"/>
      <c r="N1189" s="56"/>
      <c r="O1189" s="56"/>
      <c r="P1189" s="56"/>
      <c r="Q1189" s="56"/>
      <c r="R1189" s="56"/>
      <c r="S1189" s="56"/>
      <c r="T1189" s="56"/>
      <c r="U1189" s="56"/>
      <c r="V1189" s="56"/>
      <c r="W1189" s="56"/>
      <c r="X1189" s="5"/>
      <c r="Y1189" s="5"/>
      <c r="Z1189" s="5"/>
    </row>
    <row r="1190">
      <c r="A1190" s="56"/>
      <c r="B1190" s="57"/>
      <c r="C1190" s="56"/>
      <c r="D1190" s="56"/>
      <c r="E1190" s="56"/>
      <c r="F1190" s="56"/>
      <c r="G1190" s="56"/>
      <c r="H1190" s="56"/>
      <c r="I1190" s="56"/>
      <c r="J1190" s="56"/>
      <c r="K1190" s="56"/>
      <c r="L1190" s="56"/>
      <c r="M1190" s="56"/>
      <c r="N1190" s="56"/>
      <c r="O1190" s="56"/>
      <c r="P1190" s="56"/>
      <c r="Q1190" s="56"/>
      <c r="R1190" s="56"/>
      <c r="S1190" s="56"/>
      <c r="T1190" s="56"/>
      <c r="U1190" s="56"/>
      <c r="V1190" s="56"/>
      <c r="W1190" s="56"/>
      <c r="X1190" s="5"/>
      <c r="Y1190" s="5"/>
      <c r="Z1190" s="5"/>
    </row>
    <row r="1191">
      <c r="A1191" s="56"/>
      <c r="B1191" s="57"/>
      <c r="C1191" s="56"/>
      <c r="D1191" s="56"/>
      <c r="E1191" s="56"/>
      <c r="F1191" s="56"/>
      <c r="G1191" s="56"/>
      <c r="H1191" s="56"/>
      <c r="I1191" s="56"/>
      <c r="J1191" s="56"/>
      <c r="K1191" s="56"/>
      <c r="L1191" s="56"/>
      <c r="M1191" s="56"/>
      <c r="N1191" s="56"/>
      <c r="O1191" s="56"/>
      <c r="P1191" s="56"/>
      <c r="Q1191" s="56"/>
      <c r="R1191" s="56"/>
      <c r="S1191" s="56"/>
      <c r="T1191" s="56"/>
      <c r="U1191" s="56"/>
      <c r="V1191" s="56"/>
      <c r="W1191" s="56"/>
      <c r="X1191" s="5"/>
      <c r="Y1191" s="5"/>
      <c r="Z1191" s="5"/>
    </row>
    <row r="1192">
      <c r="A1192" s="56"/>
      <c r="B1192" s="57"/>
      <c r="C1192" s="56"/>
      <c r="D1192" s="56"/>
      <c r="E1192" s="56"/>
      <c r="F1192" s="56"/>
      <c r="G1192" s="56"/>
      <c r="H1192" s="56"/>
      <c r="I1192" s="56"/>
      <c r="J1192" s="56"/>
      <c r="K1192" s="56"/>
      <c r="L1192" s="56"/>
      <c r="M1192" s="56"/>
      <c r="N1192" s="56"/>
      <c r="O1192" s="56"/>
      <c r="P1192" s="56"/>
      <c r="Q1192" s="56"/>
      <c r="R1192" s="56"/>
      <c r="S1192" s="56"/>
      <c r="T1192" s="56"/>
      <c r="U1192" s="56"/>
      <c r="V1192" s="56"/>
      <c r="W1192" s="56"/>
      <c r="X1192" s="5"/>
      <c r="Y1192" s="5"/>
      <c r="Z1192" s="5"/>
    </row>
    <row r="1193">
      <c r="A1193" s="56"/>
      <c r="B1193" s="57"/>
      <c r="C1193" s="56"/>
      <c r="D1193" s="56"/>
      <c r="E1193" s="56"/>
      <c r="F1193" s="56"/>
      <c r="G1193" s="56"/>
      <c r="H1193" s="56"/>
      <c r="I1193" s="56"/>
      <c r="J1193" s="56"/>
      <c r="K1193" s="56"/>
      <c r="L1193" s="56"/>
      <c r="M1193" s="56"/>
      <c r="N1193" s="56"/>
      <c r="O1193" s="56"/>
      <c r="P1193" s="56"/>
      <c r="Q1193" s="56"/>
      <c r="R1193" s="56"/>
      <c r="S1193" s="56"/>
      <c r="T1193" s="56"/>
      <c r="U1193" s="56"/>
      <c r="V1193" s="56"/>
      <c r="W1193" s="56"/>
      <c r="X1193" s="5"/>
      <c r="Y1193" s="5"/>
      <c r="Z1193" s="5"/>
    </row>
    <row r="1194">
      <c r="A1194" s="56"/>
      <c r="B1194" s="57"/>
      <c r="C1194" s="56"/>
      <c r="D1194" s="56"/>
      <c r="E1194" s="56"/>
      <c r="F1194" s="56"/>
      <c r="G1194" s="56"/>
      <c r="H1194" s="56"/>
      <c r="I1194" s="56"/>
      <c r="J1194" s="56"/>
      <c r="K1194" s="56"/>
      <c r="L1194" s="56"/>
      <c r="M1194" s="56"/>
      <c r="N1194" s="56"/>
      <c r="O1194" s="56"/>
      <c r="P1194" s="56"/>
      <c r="Q1194" s="56"/>
      <c r="R1194" s="56"/>
      <c r="S1194" s="56"/>
      <c r="T1194" s="56"/>
      <c r="U1194" s="56"/>
      <c r="V1194" s="56"/>
      <c r="W1194" s="56"/>
      <c r="X1194" s="5"/>
      <c r="Y1194" s="5"/>
      <c r="Z1194" s="5"/>
    </row>
    <row r="1195">
      <c r="A1195" s="56"/>
      <c r="B1195" s="57"/>
      <c r="C1195" s="56"/>
      <c r="D1195" s="56"/>
      <c r="E1195" s="56"/>
      <c r="F1195" s="56"/>
      <c r="G1195" s="56"/>
      <c r="H1195" s="56"/>
      <c r="I1195" s="56"/>
      <c r="J1195" s="56"/>
      <c r="K1195" s="56"/>
      <c r="L1195" s="56"/>
      <c r="M1195" s="56"/>
      <c r="N1195" s="56"/>
      <c r="O1195" s="56"/>
      <c r="P1195" s="56"/>
      <c r="Q1195" s="56"/>
      <c r="R1195" s="56"/>
      <c r="S1195" s="56"/>
      <c r="T1195" s="56"/>
      <c r="U1195" s="56"/>
      <c r="V1195" s="56"/>
      <c r="W1195" s="56"/>
      <c r="X1195" s="5"/>
      <c r="Y1195" s="5"/>
      <c r="Z1195" s="5"/>
    </row>
    <row r="1196">
      <c r="A1196" s="56"/>
      <c r="B1196" s="57"/>
      <c r="C1196" s="56"/>
      <c r="D1196" s="56"/>
      <c r="E1196" s="56"/>
      <c r="F1196" s="56"/>
      <c r="G1196" s="56"/>
      <c r="H1196" s="56"/>
      <c r="I1196" s="56"/>
      <c r="J1196" s="56"/>
      <c r="K1196" s="56"/>
      <c r="L1196" s="56"/>
      <c r="M1196" s="56"/>
      <c r="N1196" s="56"/>
      <c r="O1196" s="56"/>
      <c r="P1196" s="56"/>
      <c r="Q1196" s="56"/>
      <c r="R1196" s="56"/>
      <c r="S1196" s="56"/>
      <c r="T1196" s="56"/>
      <c r="U1196" s="56"/>
      <c r="V1196" s="56"/>
      <c r="W1196" s="56"/>
      <c r="X1196" s="5"/>
      <c r="Y1196" s="5"/>
      <c r="Z1196" s="5"/>
    </row>
    <row r="1197">
      <c r="A1197" s="56"/>
      <c r="B1197" s="57"/>
      <c r="C1197" s="56"/>
      <c r="D1197" s="56"/>
      <c r="E1197" s="56"/>
      <c r="F1197" s="56"/>
      <c r="G1197" s="56"/>
      <c r="H1197" s="56"/>
      <c r="I1197" s="56"/>
      <c r="J1197" s="56"/>
      <c r="K1197" s="56"/>
      <c r="L1197" s="56"/>
      <c r="M1197" s="56"/>
      <c r="N1197" s="56"/>
      <c r="O1197" s="56"/>
      <c r="P1197" s="56"/>
      <c r="Q1197" s="56"/>
      <c r="R1197" s="56"/>
      <c r="S1197" s="56"/>
      <c r="T1197" s="56"/>
      <c r="U1197" s="56"/>
      <c r="V1197" s="56"/>
      <c r="W1197" s="56"/>
      <c r="X1197" s="5"/>
      <c r="Y1197" s="5"/>
      <c r="Z1197" s="5"/>
    </row>
    <row r="1198">
      <c r="A1198" s="56"/>
      <c r="B1198" s="57"/>
      <c r="C1198" s="56"/>
      <c r="D1198" s="56"/>
      <c r="E1198" s="56"/>
      <c r="F1198" s="56"/>
      <c r="G1198" s="56"/>
      <c r="H1198" s="56"/>
      <c r="I1198" s="56"/>
      <c r="J1198" s="56"/>
      <c r="K1198" s="56"/>
      <c r="L1198" s="56"/>
      <c r="M1198" s="56"/>
      <c r="N1198" s="56"/>
      <c r="O1198" s="56"/>
      <c r="P1198" s="56"/>
      <c r="Q1198" s="56"/>
      <c r="R1198" s="56"/>
      <c r="S1198" s="56"/>
      <c r="T1198" s="56"/>
      <c r="U1198" s="56"/>
      <c r="V1198" s="56"/>
      <c r="W1198" s="56"/>
      <c r="X1198" s="5"/>
      <c r="Y1198" s="5"/>
      <c r="Z1198" s="5"/>
    </row>
    <row r="1199">
      <c r="A1199" s="56"/>
      <c r="B1199" s="57"/>
      <c r="C1199" s="56"/>
      <c r="D1199" s="56"/>
      <c r="E1199" s="56"/>
      <c r="F1199" s="56"/>
      <c r="G1199" s="56"/>
      <c r="H1199" s="56"/>
      <c r="I1199" s="56"/>
      <c r="J1199" s="56"/>
      <c r="K1199" s="56"/>
      <c r="L1199" s="56"/>
      <c r="M1199" s="56"/>
      <c r="N1199" s="56"/>
      <c r="O1199" s="56"/>
      <c r="P1199" s="56"/>
      <c r="Q1199" s="56"/>
      <c r="R1199" s="56"/>
      <c r="S1199" s="56"/>
      <c r="T1199" s="56"/>
      <c r="U1199" s="56"/>
      <c r="V1199" s="56"/>
      <c r="W1199" s="56"/>
      <c r="X1199" s="5"/>
      <c r="Y1199" s="5"/>
      <c r="Z1199" s="5"/>
    </row>
    <row r="1200">
      <c r="A1200" s="56"/>
      <c r="B1200" s="57"/>
      <c r="C1200" s="56"/>
      <c r="D1200" s="56"/>
      <c r="E1200" s="56"/>
      <c r="F1200" s="56"/>
      <c r="G1200" s="56"/>
      <c r="H1200" s="56"/>
      <c r="I1200" s="56"/>
      <c r="J1200" s="56"/>
      <c r="K1200" s="56"/>
      <c r="L1200" s="56"/>
      <c r="M1200" s="56"/>
      <c r="N1200" s="56"/>
      <c r="O1200" s="56"/>
      <c r="P1200" s="56"/>
      <c r="Q1200" s="56"/>
      <c r="R1200" s="56"/>
      <c r="S1200" s="56"/>
      <c r="T1200" s="56"/>
      <c r="U1200" s="56"/>
      <c r="V1200" s="56"/>
      <c r="W1200" s="56"/>
      <c r="X1200" s="5"/>
      <c r="Y1200" s="5"/>
      <c r="Z1200" s="5"/>
    </row>
    <row r="1201">
      <c r="A1201" s="56"/>
      <c r="B1201" s="57"/>
      <c r="C1201" s="56"/>
      <c r="D1201" s="56"/>
      <c r="E1201" s="56"/>
      <c r="F1201" s="56"/>
      <c r="G1201" s="56"/>
      <c r="H1201" s="56"/>
      <c r="I1201" s="56"/>
      <c r="J1201" s="56"/>
      <c r="K1201" s="56"/>
      <c r="L1201" s="56"/>
      <c r="M1201" s="56"/>
      <c r="N1201" s="56"/>
      <c r="O1201" s="56"/>
      <c r="P1201" s="56"/>
      <c r="Q1201" s="56"/>
      <c r="R1201" s="56"/>
      <c r="S1201" s="56"/>
      <c r="T1201" s="56"/>
      <c r="U1201" s="56"/>
      <c r="V1201" s="56"/>
      <c r="W1201" s="56"/>
      <c r="X1201" s="5"/>
      <c r="Y1201" s="5"/>
      <c r="Z1201" s="5"/>
    </row>
    <row r="1202">
      <c r="A1202" s="56"/>
      <c r="B1202" s="57"/>
      <c r="C1202" s="56"/>
      <c r="D1202" s="56"/>
      <c r="E1202" s="56"/>
      <c r="F1202" s="56"/>
      <c r="G1202" s="56"/>
      <c r="H1202" s="56"/>
      <c r="I1202" s="56"/>
      <c r="J1202" s="56"/>
      <c r="K1202" s="56"/>
      <c r="L1202" s="56"/>
      <c r="M1202" s="56"/>
      <c r="N1202" s="56"/>
      <c r="O1202" s="56"/>
      <c r="P1202" s="56"/>
      <c r="Q1202" s="56"/>
      <c r="R1202" s="56"/>
      <c r="S1202" s="56"/>
      <c r="T1202" s="56"/>
      <c r="U1202" s="56"/>
      <c r="V1202" s="56"/>
      <c r="W1202" s="56"/>
      <c r="X1202" s="5"/>
      <c r="Y1202" s="5"/>
      <c r="Z1202" s="5"/>
    </row>
    <row r="1203">
      <c r="A1203" s="56"/>
      <c r="B1203" s="57"/>
      <c r="C1203" s="56"/>
      <c r="D1203" s="56"/>
      <c r="E1203" s="56"/>
      <c r="F1203" s="56"/>
      <c r="G1203" s="56"/>
      <c r="H1203" s="56"/>
      <c r="I1203" s="56"/>
      <c r="J1203" s="56"/>
      <c r="K1203" s="56"/>
      <c r="L1203" s="56"/>
      <c r="M1203" s="56"/>
      <c r="N1203" s="56"/>
      <c r="O1203" s="56"/>
      <c r="P1203" s="56"/>
      <c r="Q1203" s="56"/>
      <c r="R1203" s="56"/>
      <c r="S1203" s="56"/>
      <c r="T1203" s="56"/>
      <c r="U1203" s="56"/>
      <c r="V1203" s="56"/>
      <c r="W1203" s="56"/>
      <c r="X1203" s="5"/>
      <c r="Y1203" s="5"/>
      <c r="Z1203" s="5"/>
    </row>
    <row r="1204">
      <c r="A1204" s="56"/>
      <c r="B1204" s="57"/>
      <c r="C1204" s="56"/>
      <c r="D1204" s="56"/>
      <c r="E1204" s="56"/>
      <c r="F1204" s="56"/>
      <c r="G1204" s="56"/>
      <c r="H1204" s="56"/>
      <c r="I1204" s="56"/>
      <c r="J1204" s="56"/>
      <c r="K1204" s="56"/>
      <c r="L1204" s="56"/>
      <c r="M1204" s="56"/>
      <c r="N1204" s="56"/>
      <c r="O1204" s="56"/>
      <c r="P1204" s="56"/>
      <c r="Q1204" s="56"/>
      <c r="R1204" s="56"/>
      <c r="S1204" s="56"/>
      <c r="T1204" s="56"/>
      <c r="U1204" s="56"/>
      <c r="V1204" s="56"/>
      <c r="W1204" s="56"/>
      <c r="X1204" s="5"/>
      <c r="Y1204" s="5"/>
      <c r="Z1204" s="5"/>
    </row>
    <row r="1205">
      <c r="A1205" s="56"/>
      <c r="B1205" s="57"/>
      <c r="C1205" s="56"/>
      <c r="D1205" s="56"/>
      <c r="E1205" s="56"/>
      <c r="F1205" s="56"/>
      <c r="G1205" s="56"/>
      <c r="H1205" s="56"/>
      <c r="I1205" s="56"/>
      <c r="J1205" s="56"/>
      <c r="K1205" s="56"/>
      <c r="L1205" s="56"/>
      <c r="M1205" s="56"/>
      <c r="N1205" s="56"/>
      <c r="O1205" s="56"/>
      <c r="P1205" s="56"/>
      <c r="Q1205" s="56"/>
      <c r="R1205" s="56"/>
      <c r="S1205" s="56"/>
      <c r="T1205" s="56"/>
      <c r="U1205" s="56"/>
      <c r="V1205" s="56"/>
      <c r="W1205" s="56"/>
      <c r="X1205" s="5"/>
      <c r="Y1205" s="5"/>
      <c r="Z1205" s="5"/>
    </row>
    <row r="1206">
      <c r="A1206" s="56"/>
      <c r="B1206" s="57"/>
      <c r="C1206" s="56"/>
      <c r="D1206" s="56"/>
      <c r="E1206" s="56"/>
      <c r="F1206" s="56"/>
      <c r="G1206" s="56"/>
      <c r="H1206" s="56"/>
      <c r="I1206" s="56"/>
      <c r="J1206" s="56"/>
      <c r="K1206" s="56"/>
      <c r="L1206" s="56"/>
      <c r="M1206" s="56"/>
      <c r="N1206" s="56"/>
      <c r="O1206" s="56"/>
      <c r="P1206" s="56"/>
      <c r="Q1206" s="56"/>
      <c r="R1206" s="56"/>
      <c r="S1206" s="56"/>
      <c r="T1206" s="56"/>
      <c r="U1206" s="56"/>
      <c r="V1206" s="56"/>
      <c r="W1206" s="56"/>
      <c r="X1206" s="5"/>
      <c r="Y1206" s="5"/>
      <c r="Z1206" s="5"/>
    </row>
    <row r="1207">
      <c r="A1207" s="56"/>
      <c r="B1207" s="57"/>
      <c r="C1207" s="56"/>
      <c r="D1207" s="56"/>
      <c r="E1207" s="56"/>
      <c r="F1207" s="56"/>
      <c r="G1207" s="56"/>
      <c r="H1207" s="56"/>
      <c r="I1207" s="56"/>
      <c r="J1207" s="56"/>
      <c r="K1207" s="56"/>
      <c r="L1207" s="56"/>
      <c r="M1207" s="56"/>
      <c r="N1207" s="56"/>
      <c r="O1207" s="56"/>
      <c r="P1207" s="56"/>
      <c r="Q1207" s="56"/>
      <c r="R1207" s="56"/>
      <c r="S1207" s="56"/>
      <c r="T1207" s="56"/>
      <c r="U1207" s="56"/>
      <c r="V1207" s="56"/>
      <c r="W1207" s="56"/>
      <c r="X1207" s="5"/>
      <c r="Y1207" s="5"/>
      <c r="Z1207" s="5"/>
    </row>
    <row r="1208">
      <c r="A1208" s="56"/>
      <c r="B1208" s="57"/>
      <c r="C1208" s="56"/>
      <c r="D1208" s="56"/>
      <c r="E1208" s="56"/>
      <c r="F1208" s="56"/>
      <c r="G1208" s="56"/>
      <c r="H1208" s="56"/>
      <c r="I1208" s="56"/>
      <c r="J1208" s="56"/>
      <c r="K1208" s="56"/>
      <c r="L1208" s="56"/>
      <c r="M1208" s="56"/>
      <c r="N1208" s="56"/>
      <c r="O1208" s="56"/>
      <c r="P1208" s="56"/>
      <c r="Q1208" s="56"/>
      <c r="R1208" s="56"/>
      <c r="S1208" s="56"/>
      <c r="T1208" s="56"/>
      <c r="U1208" s="56"/>
      <c r="V1208" s="56"/>
      <c r="W1208" s="56"/>
      <c r="X1208" s="5"/>
      <c r="Y1208" s="5"/>
      <c r="Z1208" s="5"/>
    </row>
    <row r="1209">
      <c r="A1209" s="56"/>
      <c r="B1209" s="57"/>
      <c r="C1209" s="56"/>
      <c r="D1209" s="56"/>
      <c r="E1209" s="56"/>
      <c r="F1209" s="56"/>
      <c r="G1209" s="56"/>
      <c r="H1209" s="56"/>
      <c r="I1209" s="56"/>
      <c r="J1209" s="56"/>
      <c r="K1209" s="56"/>
      <c r="L1209" s="56"/>
      <c r="M1209" s="56"/>
      <c r="N1209" s="56"/>
      <c r="O1209" s="56"/>
      <c r="P1209" s="56"/>
      <c r="Q1209" s="56"/>
      <c r="R1209" s="56"/>
      <c r="S1209" s="56"/>
      <c r="T1209" s="56"/>
      <c r="U1209" s="56"/>
      <c r="V1209" s="56"/>
      <c r="W1209" s="56"/>
      <c r="X1209" s="5"/>
      <c r="Y1209" s="5"/>
      <c r="Z1209" s="5"/>
    </row>
    <row r="1210">
      <c r="A1210" s="56"/>
      <c r="B1210" s="57"/>
      <c r="C1210" s="56"/>
      <c r="D1210" s="56"/>
      <c r="E1210" s="56"/>
      <c r="F1210" s="56"/>
      <c r="G1210" s="56"/>
      <c r="H1210" s="56"/>
      <c r="I1210" s="56"/>
      <c r="J1210" s="56"/>
      <c r="K1210" s="56"/>
      <c r="L1210" s="56"/>
      <c r="M1210" s="56"/>
      <c r="N1210" s="56"/>
      <c r="O1210" s="56"/>
      <c r="P1210" s="56"/>
      <c r="Q1210" s="56"/>
      <c r="R1210" s="56"/>
      <c r="S1210" s="56"/>
      <c r="T1210" s="56"/>
      <c r="U1210" s="56"/>
      <c r="V1210" s="56"/>
      <c r="W1210" s="56"/>
      <c r="X1210" s="5"/>
      <c r="Y1210" s="5"/>
      <c r="Z1210" s="5"/>
    </row>
    <row r="1211">
      <c r="A1211" s="56"/>
      <c r="B1211" s="57"/>
      <c r="C1211" s="56"/>
      <c r="D1211" s="56"/>
      <c r="E1211" s="56"/>
      <c r="F1211" s="56"/>
      <c r="G1211" s="56"/>
      <c r="H1211" s="56"/>
      <c r="I1211" s="56"/>
      <c r="J1211" s="56"/>
      <c r="K1211" s="56"/>
      <c r="L1211" s="56"/>
      <c r="M1211" s="56"/>
      <c r="N1211" s="56"/>
      <c r="O1211" s="56"/>
      <c r="P1211" s="56"/>
      <c r="Q1211" s="56"/>
      <c r="R1211" s="56"/>
      <c r="S1211" s="56"/>
      <c r="T1211" s="56"/>
      <c r="U1211" s="56"/>
      <c r="V1211" s="56"/>
      <c r="W1211" s="56"/>
      <c r="X1211" s="5"/>
      <c r="Y1211" s="5"/>
      <c r="Z1211" s="5"/>
    </row>
    <row r="1212">
      <c r="A1212" s="56"/>
      <c r="B1212" s="57"/>
      <c r="C1212" s="56"/>
      <c r="D1212" s="56"/>
      <c r="E1212" s="56"/>
      <c r="F1212" s="56"/>
      <c r="G1212" s="56"/>
      <c r="H1212" s="56"/>
      <c r="I1212" s="56"/>
      <c r="J1212" s="56"/>
      <c r="K1212" s="56"/>
      <c r="L1212" s="56"/>
      <c r="M1212" s="56"/>
      <c r="N1212" s="56"/>
      <c r="O1212" s="56"/>
      <c r="P1212" s="56"/>
      <c r="Q1212" s="56"/>
      <c r="R1212" s="56"/>
      <c r="S1212" s="56"/>
      <c r="T1212" s="56"/>
      <c r="U1212" s="56"/>
      <c r="V1212" s="56"/>
      <c r="W1212" s="56"/>
      <c r="X1212" s="5"/>
      <c r="Y1212" s="5"/>
      <c r="Z1212" s="5"/>
    </row>
    <row r="1213">
      <c r="A1213" s="56"/>
      <c r="B1213" s="57"/>
      <c r="C1213" s="56"/>
      <c r="D1213" s="56"/>
      <c r="E1213" s="56"/>
      <c r="F1213" s="56"/>
      <c r="G1213" s="56"/>
      <c r="H1213" s="56"/>
      <c r="I1213" s="56"/>
      <c r="J1213" s="56"/>
      <c r="K1213" s="56"/>
      <c r="L1213" s="56"/>
      <c r="M1213" s="56"/>
      <c r="N1213" s="56"/>
      <c r="O1213" s="56"/>
      <c r="P1213" s="56"/>
      <c r="Q1213" s="56"/>
      <c r="R1213" s="56"/>
      <c r="S1213" s="56"/>
      <c r="T1213" s="56"/>
      <c r="U1213" s="56"/>
      <c r="V1213" s="56"/>
      <c r="W1213" s="56"/>
      <c r="X1213" s="5"/>
      <c r="Y1213" s="5"/>
      <c r="Z1213" s="5"/>
    </row>
    <row r="1214">
      <c r="A1214" s="56"/>
      <c r="B1214" s="57"/>
      <c r="C1214" s="56"/>
      <c r="D1214" s="56"/>
      <c r="E1214" s="56"/>
      <c r="F1214" s="56"/>
      <c r="G1214" s="56"/>
      <c r="H1214" s="56"/>
      <c r="I1214" s="56"/>
      <c r="J1214" s="56"/>
      <c r="K1214" s="56"/>
      <c r="L1214" s="56"/>
      <c r="M1214" s="56"/>
      <c r="N1214" s="56"/>
      <c r="O1214" s="56"/>
      <c r="P1214" s="56"/>
      <c r="Q1214" s="56"/>
      <c r="R1214" s="56"/>
      <c r="S1214" s="56"/>
      <c r="T1214" s="56"/>
      <c r="U1214" s="56"/>
      <c r="V1214" s="56"/>
      <c r="W1214" s="56"/>
      <c r="X1214" s="5"/>
      <c r="Y1214" s="5"/>
      <c r="Z1214" s="5"/>
    </row>
    <row r="1215">
      <c r="A1215" s="56"/>
      <c r="B1215" s="57"/>
      <c r="C1215" s="56"/>
      <c r="D1215" s="56"/>
      <c r="E1215" s="56"/>
      <c r="F1215" s="56"/>
      <c r="G1215" s="56"/>
      <c r="H1215" s="56"/>
      <c r="I1215" s="56"/>
      <c r="J1215" s="56"/>
      <c r="K1215" s="56"/>
      <c r="L1215" s="56"/>
      <c r="M1215" s="56"/>
      <c r="N1215" s="56"/>
      <c r="O1215" s="56"/>
      <c r="P1215" s="56"/>
      <c r="Q1215" s="56"/>
      <c r="R1215" s="56"/>
      <c r="S1215" s="56"/>
      <c r="T1215" s="56"/>
      <c r="U1215" s="56"/>
      <c r="V1215" s="56"/>
      <c r="W1215" s="56"/>
      <c r="X1215" s="5"/>
      <c r="Y1215" s="5"/>
      <c r="Z1215" s="5"/>
    </row>
    <row r="1216">
      <c r="A1216" s="56"/>
      <c r="B1216" s="57"/>
      <c r="C1216" s="56"/>
      <c r="D1216" s="56"/>
      <c r="E1216" s="56"/>
      <c r="F1216" s="56"/>
      <c r="G1216" s="56"/>
      <c r="H1216" s="56"/>
      <c r="I1216" s="56"/>
      <c r="J1216" s="56"/>
      <c r="K1216" s="56"/>
      <c r="L1216" s="56"/>
      <c r="M1216" s="56"/>
      <c r="N1216" s="56"/>
      <c r="O1216" s="56"/>
      <c r="P1216" s="56"/>
      <c r="Q1216" s="56"/>
      <c r="R1216" s="56"/>
      <c r="S1216" s="56"/>
      <c r="T1216" s="56"/>
      <c r="U1216" s="56"/>
      <c r="V1216" s="56"/>
      <c r="W1216" s="56"/>
      <c r="X1216" s="5"/>
      <c r="Y1216" s="5"/>
      <c r="Z1216" s="5"/>
    </row>
    <row r="1217">
      <c r="A1217" s="56"/>
      <c r="B1217" s="57"/>
      <c r="C1217" s="56"/>
      <c r="D1217" s="56"/>
      <c r="E1217" s="56"/>
      <c r="F1217" s="56"/>
      <c r="G1217" s="56"/>
      <c r="H1217" s="56"/>
      <c r="I1217" s="56"/>
      <c r="J1217" s="56"/>
      <c r="K1217" s="56"/>
      <c r="L1217" s="56"/>
      <c r="M1217" s="56"/>
      <c r="N1217" s="56"/>
      <c r="O1217" s="56"/>
      <c r="P1217" s="56"/>
      <c r="Q1217" s="56"/>
      <c r="R1217" s="56"/>
      <c r="S1217" s="56"/>
      <c r="T1217" s="56"/>
      <c r="U1217" s="56"/>
      <c r="V1217" s="56"/>
      <c r="W1217" s="56"/>
      <c r="X1217" s="5"/>
      <c r="Y1217" s="5"/>
      <c r="Z1217" s="5"/>
    </row>
    <row r="1218">
      <c r="A1218" s="56"/>
      <c r="B1218" s="57"/>
      <c r="C1218" s="56"/>
      <c r="D1218" s="56"/>
      <c r="E1218" s="56"/>
      <c r="F1218" s="56"/>
      <c r="G1218" s="56"/>
      <c r="H1218" s="56"/>
      <c r="I1218" s="56"/>
      <c r="J1218" s="56"/>
      <c r="K1218" s="56"/>
      <c r="L1218" s="56"/>
      <c r="M1218" s="56"/>
      <c r="N1218" s="56"/>
      <c r="O1218" s="56"/>
      <c r="P1218" s="56"/>
      <c r="Q1218" s="56"/>
      <c r="R1218" s="56"/>
      <c r="S1218" s="56"/>
      <c r="T1218" s="56"/>
      <c r="U1218" s="56"/>
      <c r="V1218" s="56"/>
      <c r="W1218" s="56"/>
      <c r="X1218" s="5"/>
      <c r="Y1218" s="5"/>
      <c r="Z1218" s="5"/>
    </row>
    <row r="1219">
      <c r="A1219" s="56"/>
      <c r="B1219" s="57"/>
      <c r="C1219" s="56"/>
      <c r="D1219" s="56"/>
      <c r="E1219" s="56"/>
      <c r="F1219" s="56"/>
      <c r="G1219" s="56"/>
      <c r="H1219" s="56"/>
      <c r="I1219" s="56"/>
      <c r="J1219" s="56"/>
      <c r="K1219" s="56"/>
      <c r="L1219" s="56"/>
      <c r="M1219" s="56"/>
      <c r="N1219" s="56"/>
      <c r="O1219" s="56"/>
      <c r="P1219" s="56"/>
      <c r="Q1219" s="56"/>
      <c r="R1219" s="56"/>
      <c r="S1219" s="56"/>
      <c r="T1219" s="56"/>
      <c r="U1219" s="56"/>
      <c r="V1219" s="56"/>
      <c r="W1219" s="56"/>
      <c r="X1219" s="5"/>
      <c r="Y1219" s="5"/>
      <c r="Z1219" s="5"/>
    </row>
    <row r="1220">
      <c r="A1220" s="56"/>
      <c r="B1220" s="57"/>
      <c r="C1220" s="56"/>
      <c r="D1220" s="56"/>
      <c r="E1220" s="56"/>
      <c r="F1220" s="56"/>
      <c r="G1220" s="56"/>
      <c r="H1220" s="56"/>
      <c r="I1220" s="56"/>
      <c r="J1220" s="56"/>
      <c r="K1220" s="56"/>
      <c r="L1220" s="56"/>
      <c r="M1220" s="56"/>
      <c r="N1220" s="56"/>
      <c r="O1220" s="56"/>
      <c r="P1220" s="56"/>
      <c r="Q1220" s="56"/>
      <c r="R1220" s="56"/>
      <c r="S1220" s="56"/>
      <c r="T1220" s="56"/>
      <c r="U1220" s="56"/>
      <c r="V1220" s="56"/>
      <c r="W1220" s="56"/>
      <c r="X1220" s="5"/>
      <c r="Y1220" s="5"/>
      <c r="Z1220" s="5"/>
    </row>
    <row r="1221">
      <c r="A1221" s="56"/>
      <c r="B1221" s="57"/>
      <c r="C1221" s="56"/>
      <c r="D1221" s="56"/>
      <c r="E1221" s="56"/>
      <c r="F1221" s="56"/>
      <c r="G1221" s="56"/>
      <c r="H1221" s="56"/>
      <c r="I1221" s="56"/>
      <c r="J1221" s="56"/>
      <c r="K1221" s="56"/>
      <c r="L1221" s="56"/>
      <c r="M1221" s="56"/>
      <c r="N1221" s="56"/>
      <c r="O1221" s="56"/>
      <c r="P1221" s="56"/>
      <c r="Q1221" s="56"/>
      <c r="R1221" s="56"/>
      <c r="S1221" s="56"/>
      <c r="T1221" s="56"/>
      <c r="U1221" s="56"/>
      <c r="V1221" s="56"/>
      <c r="W1221" s="56"/>
      <c r="X1221" s="5"/>
      <c r="Y1221" s="5"/>
      <c r="Z1221" s="5"/>
    </row>
    <row r="1222">
      <c r="A1222" s="56"/>
      <c r="B1222" s="57"/>
      <c r="C1222" s="56"/>
      <c r="D1222" s="56"/>
      <c r="E1222" s="56"/>
      <c r="F1222" s="56"/>
      <c r="G1222" s="56"/>
      <c r="H1222" s="56"/>
      <c r="I1222" s="56"/>
      <c r="J1222" s="56"/>
      <c r="K1222" s="56"/>
      <c r="L1222" s="56"/>
      <c r="M1222" s="56"/>
      <c r="N1222" s="56"/>
      <c r="O1222" s="56"/>
      <c r="P1222" s="56"/>
      <c r="Q1222" s="56"/>
      <c r="R1222" s="56"/>
      <c r="S1222" s="56"/>
      <c r="T1222" s="56"/>
      <c r="U1222" s="56"/>
      <c r="V1222" s="56"/>
      <c r="W1222" s="56"/>
      <c r="X1222" s="5"/>
      <c r="Y1222" s="5"/>
      <c r="Z1222" s="5"/>
    </row>
    <row r="1223">
      <c r="A1223" s="56"/>
      <c r="B1223" s="57"/>
      <c r="C1223" s="56"/>
      <c r="D1223" s="56"/>
      <c r="E1223" s="56"/>
      <c r="F1223" s="56"/>
      <c r="G1223" s="56"/>
      <c r="H1223" s="56"/>
      <c r="I1223" s="56"/>
      <c r="J1223" s="56"/>
      <c r="K1223" s="56"/>
      <c r="L1223" s="56"/>
      <c r="M1223" s="56"/>
      <c r="N1223" s="56"/>
      <c r="O1223" s="56"/>
      <c r="P1223" s="56"/>
      <c r="Q1223" s="56"/>
      <c r="R1223" s="56"/>
      <c r="S1223" s="56"/>
      <c r="T1223" s="56"/>
      <c r="U1223" s="56"/>
      <c r="V1223" s="56"/>
      <c r="W1223" s="56"/>
      <c r="X1223" s="5"/>
      <c r="Y1223" s="5"/>
      <c r="Z1223" s="5"/>
    </row>
    <row r="1224">
      <c r="A1224" s="56"/>
      <c r="B1224" s="57"/>
      <c r="C1224" s="56"/>
      <c r="D1224" s="56"/>
      <c r="E1224" s="56"/>
      <c r="F1224" s="56"/>
      <c r="G1224" s="56"/>
      <c r="H1224" s="56"/>
      <c r="I1224" s="56"/>
      <c r="J1224" s="56"/>
      <c r="K1224" s="56"/>
      <c r="L1224" s="56"/>
      <c r="M1224" s="56"/>
      <c r="N1224" s="56"/>
      <c r="O1224" s="56"/>
      <c r="P1224" s="56"/>
      <c r="Q1224" s="56"/>
      <c r="R1224" s="56"/>
      <c r="S1224" s="56"/>
      <c r="T1224" s="56"/>
      <c r="U1224" s="56"/>
      <c r="V1224" s="56"/>
      <c r="W1224" s="56"/>
      <c r="X1224" s="5"/>
      <c r="Y1224" s="5"/>
      <c r="Z1224" s="5"/>
    </row>
    <row r="1225">
      <c r="A1225" s="56"/>
      <c r="B1225" s="57"/>
      <c r="C1225" s="56"/>
      <c r="D1225" s="56"/>
      <c r="E1225" s="56"/>
      <c r="F1225" s="56"/>
      <c r="G1225" s="56"/>
      <c r="H1225" s="56"/>
      <c r="I1225" s="56"/>
      <c r="J1225" s="56"/>
      <c r="K1225" s="56"/>
      <c r="L1225" s="56"/>
      <c r="M1225" s="56"/>
      <c r="N1225" s="56"/>
      <c r="O1225" s="56"/>
      <c r="P1225" s="56"/>
      <c r="Q1225" s="56"/>
      <c r="R1225" s="56"/>
      <c r="S1225" s="56"/>
      <c r="T1225" s="56"/>
      <c r="U1225" s="56"/>
      <c r="V1225" s="56"/>
      <c r="W1225" s="56"/>
      <c r="X1225" s="5"/>
      <c r="Y1225" s="5"/>
      <c r="Z1225" s="5"/>
    </row>
    <row r="1226">
      <c r="A1226" s="56"/>
      <c r="B1226" s="57"/>
      <c r="C1226" s="56"/>
      <c r="D1226" s="56"/>
      <c r="E1226" s="56"/>
      <c r="F1226" s="56"/>
      <c r="G1226" s="56"/>
      <c r="H1226" s="56"/>
      <c r="I1226" s="56"/>
      <c r="J1226" s="56"/>
      <c r="K1226" s="56"/>
      <c r="L1226" s="56"/>
      <c r="M1226" s="56"/>
      <c r="N1226" s="56"/>
      <c r="O1226" s="56"/>
      <c r="P1226" s="56"/>
      <c r="Q1226" s="56"/>
      <c r="R1226" s="56"/>
      <c r="S1226" s="56"/>
      <c r="T1226" s="56"/>
      <c r="U1226" s="56"/>
      <c r="V1226" s="56"/>
      <c r="W1226" s="56"/>
      <c r="X1226" s="5"/>
      <c r="Y1226" s="5"/>
      <c r="Z1226" s="5"/>
    </row>
    <row r="1227">
      <c r="A1227" s="56"/>
      <c r="B1227" s="57"/>
      <c r="C1227" s="56"/>
      <c r="D1227" s="56"/>
      <c r="E1227" s="56"/>
      <c r="F1227" s="56"/>
      <c r="G1227" s="56"/>
      <c r="H1227" s="56"/>
      <c r="I1227" s="56"/>
      <c r="J1227" s="56"/>
      <c r="K1227" s="56"/>
      <c r="L1227" s="56"/>
      <c r="M1227" s="56"/>
      <c r="N1227" s="56"/>
      <c r="O1227" s="56"/>
      <c r="P1227" s="56"/>
      <c r="Q1227" s="56"/>
      <c r="R1227" s="56"/>
      <c r="S1227" s="56"/>
      <c r="T1227" s="56"/>
      <c r="U1227" s="56"/>
      <c r="V1227" s="56"/>
      <c r="W1227" s="56"/>
      <c r="X1227" s="5"/>
      <c r="Y1227" s="5"/>
      <c r="Z1227" s="5"/>
    </row>
    <row r="1228">
      <c r="A1228" s="56"/>
      <c r="B1228" s="57"/>
      <c r="C1228" s="56"/>
      <c r="D1228" s="56"/>
      <c r="E1228" s="56"/>
      <c r="F1228" s="56"/>
      <c r="G1228" s="56"/>
      <c r="H1228" s="56"/>
      <c r="I1228" s="56"/>
      <c r="J1228" s="56"/>
      <c r="K1228" s="56"/>
      <c r="L1228" s="56"/>
      <c r="M1228" s="56"/>
      <c r="N1228" s="56"/>
      <c r="O1228" s="56"/>
      <c r="P1228" s="56"/>
      <c r="Q1228" s="56"/>
      <c r="R1228" s="56"/>
      <c r="S1228" s="56"/>
      <c r="T1228" s="56"/>
      <c r="U1228" s="56"/>
      <c r="V1228" s="56"/>
      <c r="W1228" s="56"/>
      <c r="X1228" s="5"/>
      <c r="Y1228" s="5"/>
      <c r="Z1228" s="5"/>
    </row>
    <row r="1229">
      <c r="A1229" s="56"/>
      <c r="B1229" s="57"/>
      <c r="C1229" s="56"/>
      <c r="D1229" s="56"/>
      <c r="E1229" s="56"/>
      <c r="F1229" s="56"/>
      <c r="G1229" s="56"/>
      <c r="H1229" s="56"/>
      <c r="I1229" s="56"/>
      <c r="J1229" s="56"/>
      <c r="K1229" s="56"/>
      <c r="L1229" s="56"/>
      <c r="M1229" s="56"/>
      <c r="N1229" s="56"/>
      <c r="O1229" s="56"/>
      <c r="P1229" s="56"/>
      <c r="Q1229" s="56"/>
      <c r="R1229" s="56"/>
      <c r="S1229" s="56"/>
      <c r="T1229" s="56"/>
      <c r="U1229" s="56"/>
      <c r="V1229" s="56"/>
      <c r="W1229" s="56"/>
      <c r="X1229" s="5"/>
      <c r="Y1229" s="5"/>
      <c r="Z1229" s="5"/>
    </row>
    <row r="1230">
      <c r="A1230" s="56"/>
      <c r="B1230" s="57"/>
      <c r="C1230" s="56"/>
      <c r="D1230" s="56"/>
      <c r="E1230" s="56"/>
      <c r="F1230" s="56"/>
      <c r="G1230" s="56"/>
      <c r="H1230" s="56"/>
      <c r="I1230" s="56"/>
      <c r="J1230" s="56"/>
      <c r="K1230" s="56"/>
      <c r="L1230" s="56"/>
      <c r="M1230" s="56"/>
      <c r="N1230" s="56"/>
      <c r="O1230" s="56"/>
      <c r="P1230" s="56"/>
      <c r="Q1230" s="56"/>
      <c r="R1230" s="56"/>
      <c r="S1230" s="56"/>
      <c r="T1230" s="56"/>
      <c r="U1230" s="56"/>
      <c r="V1230" s="56"/>
      <c r="W1230" s="56"/>
      <c r="X1230" s="5"/>
      <c r="Y1230" s="5"/>
      <c r="Z1230" s="5"/>
    </row>
    <row r="1231">
      <c r="A1231" s="56"/>
      <c r="B1231" s="57"/>
      <c r="C1231" s="56"/>
      <c r="D1231" s="56"/>
      <c r="E1231" s="56"/>
      <c r="F1231" s="56"/>
      <c r="G1231" s="56"/>
      <c r="H1231" s="56"/>
      <c r="I1231" s="56"/>
      <c r="J1231" s="56"/>
      <c r="K1231" s="56"/>
      <c r="L1231" s="56"/>
      <c r="M1231" s="56"/>
      <c r="N1231" s="56"/>
      <c r="O1231" s="56"/>
      <c r="P1231" s="56"/>
      <c r="Q1231" s="56"/>
      <c r="R1231" s="56"/>
      <c r="S1231" s="56"/>
      <c r="T1231" s="56"/>
      <c r="U1231" s="56"/>
      <c r="V1231" s="56"/>
      <c r="W1231" s="56"/>
      <c r="X1231" s="5"/>
      <c r="Y1231" s="5"/>
      <c r="Z1231" s="5"/>
    </row>
    <row r="1232">
      <c r="A1232" s="56"/>
      <c r="B1232" s="57"/>
      <c r="C1232" s="56"/>
      <c r="D1232" s="56"/>
      <c r="E1232" s="56"/>
      <c r="F1232" s="56"/>
      <c r="G1232" s="56"/>
      <c r="H1232" s="56"/>
      <c r="I1232" s="56"/>
      <c r="J1232" s="56"/>
      <c r="K1232" s="56"/>
      <c r="L1232" s="56"/>
      <c r="M1232" s="56"/>
      <c r="N1232" s="56"/>
      <c r="O1232" s="56"/>
      <c r="P1232" s="56"/>
      <c r="Q1232" s="56"/>
      <c r="R1232" s="56"/>
      <c r="S1232" s="56"/>
      <c r="T1232" s="56"/>
      <c r="U1232" s="56"/>
      <c r="V1232" s="56"/>
      <c r="W1232" s="56"/>
      <c r="X1232" s="5"/>
      <c r="Y1232" s="5"/>
      <c r="Z1232" s="5"/>
    </row>
    <row r="1233">
      <c r="A1233" s="56"/>
      <c r="B1233" s="57"/>
      <c r="C1233" s="56"/>
      <c r="D1233" s="56"/>
      <c r="E1233" s="56"/>
      <c r="F1233" s="56"/>
      <c r="G1233" s="56"/>
      <c r="H1233" s="56"/>
      <c r="I1233" s="56"/>
      <c r="J1233" s="56"/>
      <c r="K1233" s="56"/>
      <c r="L1233" s="56"/>
      <c r="M1233" s="56"/>
      <c r="N1233" s="56"/>
      <c r="O1233" s="56"/>
      <c r="P1233" s="56"/>
      <c r="Q1233" s="56"/>
      <c r="R1233" s="56"/>
      <c r="S1233" s="56"/>
      <c r="T1233" s="56"/>
      <c r="U1233" s="56"/>
      <c r="V1233" s="56"/>
      <c r="W1233" s="56"/>
      <c r="X1233" s="5"/>
      <c r="Y1233" s="5"/>
      <c r="Z1233" s="5"/>
    </row>
    <row r="1234">
      <c r="A1234" s="56"/>
      <c r="B1234" s="57"/>
      <c r="C1234" s="56"/>
      <c r="D1234" s="56"/>
      <c r="E1234" s="56"/>
      <c r="F1234" s="56"/>
      <c r="G1234" s="56"/>
      <c r="H1234" s="56"/>
      <c r="I1234" s="56"/>
      <c r="J1234" s="56"/>
      <c r="K1234" s="56"/>
      <c r="L1234" s="56"/>
      <c r="M1234" s="56"/>
      <c r="N1234" s="56"/>
      <c r="O1234" s="56"/>
      <c r="P1234" s="56"/>
      <c r="Q1234" s="56"/>
      <c r="R1234" s="56"/>
      <c r="S1234" s="56"/>
      <c r="T1234" s="56"/>
      <c r="U1234" s="56"/>
      <c r="V1234" s="56"/>
      <c r="W1234" s="56"/>
      <c r="X1234" s="5"/>
      <c r="Y1234" s="5"/>
      <c r="Z1234" s="5"/>
    </row>
    <row r="1235">
      <c r="A1235" s="56"/>
      <c r="B1235" s="57"/>
      <c r="C1235" s="56"/>
      <c r="D1235" s="56"/>
      <c r="E1235" s="56"/>
      <c r="F1235" s="56"/>
      <c r="G1235" s="56"/>
      <c r="H1235" s="56"/>
      <c r="I1235" s="56"/>
      <c r="J1235" s="56"/>
      <c r="K1235" s="56"/>
      <c r="L1235" s="56"/>
      <c r="M1235" s="56"/>
      <c r="N1235" s="56"/>
      <c r="O1235" s="56"/>
      <c r="P1235" s="56"/>
      <c r="Q1235" s="56"/>
      <c r="R1235" s="56"/>
      <c r="S1235" s="56"/>
      <c r="T1235" s="56"/>
      <c r="U1235" s="56"/>
      <c r="V1235" s="56"/>
      <c r="W1235" s="56"/>
      <c r="X1235" s="5"/>
      <c r="Y1235" s="5"/>
      <c r="Z1235" s="5"/>
    </row>
    <row r="1236">
      <c r="A1236" s="56"/>
      <c r="B1236" s="57"/>
      <c r="C1236" s="56"/>
      <c r="D1236" s="56"/>
      <c r="E1236" s="56"/>
      <c r="F1236" s="56"/>
      <c r="G1236" s="56"/>
      <c r="H1236" s="56"/>
      <c r="I1236" s="56"/>
      <c r="J1236" s="56"/>
      <c r="K1236" s="56"/>
      <c r="L1236" s="56"/>
      <c r="M1236" s="56"/>
      <c r="N1236" s="56"/>
      <c r="O1236" s="56"/>
      <c r="P1236" s="56"/>
      <c r="Q1236" s="56"/>
      <c r="R1236" s="56"/>
      <c r="S1236" s="56"/>
      <c r="T1236" s="56"/>
      <c r="U1236" s="56"/>
      <c r="V1236" s="56"/>
      <c r="W1236" s="56"/>
      <c r="X1236" s="5"/>
      <c r="Y1236" s="5"/>
      <c r="Z1236" s="5"/>
    </row>
    <row r="1237">
      <c r="A1237" s="56"/>
      <c r="B1237" s="57"/>
      <c r="C1237" s="56"/>
      <c r="D1237" s="56"/>
      <c r="E1237" s="56"/>
      <c r="F1237" s="56"/>
      <c r="G1237" s="56"/>
      <c r="H1237" s="56"/>
      <c r="I1237" s="56"/>
      <c r="J1237" s="56"/>
      <c r="K1237" s="56"/>
      <c r="L1237" s="56"/>
      <c r="M1237" s="56"/>
      <c r="N1237" s="56"/>
      <c r="O1237" s="56"/>
      <c r="P1237" s="56"/>
      <c r="Q1237" s="56"/>
      <c r="R1237" s="56"/>
      <c r="S1237" s="56"/>
      <c r="T1237" s="56"/>
      <c r="U1237" s="56"/>
      <c r="V1237" s="56"/>
      <c r="W1237" s="56"/>
      <c r="X1237" s="5"/>
      <c r="Y1237" s="5"/>
      <c r="Z1237" s="5"/>
    </row>
    <row r="1238">
      <c r="A1238" s="56"/>
      <c r="B1238" s="57"/>
      <c r="C1238" s="56"/>
      <c r="D1238" s="56"/>
      <c r="E1238" s="56"/>
      <c r="F1238" s="56"/>
      <c r="G1238" s="56"/>
      <c r="H1238" s="56"/>
      <c r="I1238" s="56"/>
      <c r="J1238" s="56"/>
      <c r="K1238" s="56"/>
      <c r="L1238" s="56"/>
      <c r="M1238" s="56"/>
      <c r="N1238" s="56"/>
      <c r="O1238" s="56"/>
      <c r="P1238" s="56"/>
      <c r="Q1238" s="56"/>
      <c r="R1238" s="56"/>
      <c r="S1238" s="56"/>
      <c r="T1238" s="56"/>
      <c r="U1238" s="56"/>
      <c r="V1238" s="56"/>
      <c r="W1238" s="56"/>
      <c r="X1238" s="5"/>
      <c r="Y1238" s="5"/>
      <c r="Z1238" s="5"/>
    </row>
    <row r="1239">
      <c r="A1239" s="56"/>
      <c r="B1239" s="57"/>
      <c r="C1239" s="56"/>
      <c r="D1239" s="56"/>
      <c r="E1239" s="56"/>
      <c r="F1239" s="56"/>
      <c r="G1239" s="56"/>
      <c r="H1239" s="56"/>
      <c r="I1239" s="56"/>
      <c r="J1239" s="56"/>
      <c r="K1239" s="56"/>
      <c r="L1239" s="56"/>
      <c r="M1239" s="56"/>
      <c r="N1239" s="56"/>
      <c r="O1239" s="56"/>
      <c r="P1239" s="56"/>
      <c r="Q1239" s="56"/>
      <c r="R1239" s="56"/>
      <c r="S1239" s="56"/>
      <c r="T1239" s="56"/>
      <c r="U1239" s="56"/>
      <c r="V1239" s="56"/>
      <c r="W1239" s="56"/>
      <c r="X1239" s="5"/>
      <c r="Y1239" s="5"/>
      <c r="Z1239" s="5"/>
    </row>
    <row r="1240">
      <c r="A1240" s="56"/>
      <c r="B1240" s="57"/>
      <c r="C1240" s="56"/>
      <c r="D1240" s="56"/>
      <c r="E1240" s="56"/>
      <c r="F1240" s="56"/>
      <c r="G1240" s="56"/>
      <c r="H1240" s="56"/>
      <c r="I1240" s="56"/>
      <c r="J1240" s="56"/>
      <c r="K1240" s="56"/>
      <c r="L1240" s="56"/>
      <c r="M1240" s="56"/>
      <c r="N1240" s="56"/>
      <c r="O1240" s="56"/>
      <c r="P1240" s="56"/>
      <c r="Q1240" s="56"/>
      <c r="R1240" s="56"/>
      <c r="S1240" s="56"/>
      <c r="T1240" s="56"/>
      <c r="U1240" s="56"/>
      <c r="V1240" s="56"/>
      <c r="W1240" s="56"/>
      <c r="X1240" s="5"/>
      <c r="Y1240" s="5"/>
      <c r="Z1240" s="5"/>
    </row>
    <row r="1241">
      <c r="A1241" s="56"/>
      <c r="B1241" s="57"/>
      <c r="C1241" s="56"/>
      <c r="D1241" s="56"/>
      <c r="E1241" s="56"/>
      <c r="F1241" s="56"/>
      <c r="G1241" s="56"/>
      <c r="H1241" s="56"/>
      <c r="I1241" s="56"/>
      <c r="J1241" s="56"/>
      <c r="K1241" s="56"/>
      <c r="L1241" s="56"/>
      <c r="M1241" s="56"/>
      <c r="N1241" s="56"/>
      <c r="O1241" s="56"/>
      <c r="P1241" s="56"/>
      <c r="Q1241" s="56"/>
      <c r="R1241" s="56"/>
      <c r="S1241" s="56"/>
      <c r="T1241" s="56"/>
      <c r="U1241" s="56"/>
      <c r="V1241" s="56"/>
      <c r="W1241" s="56"/>
      <c r="X1241" s="5"/>
      <c r="Y1241" s="5"/>
      <c r="Z1241" s="5"/>
    </row>
    <row r="1242">
      <c r="A1242" s="56"/>
      <c r="B1242" s="57"/>
      <c r="C1242" s="56"/>
      <c r="D1242" s="56"/>
      <c r="E1242" s="56"/>
      <c r="F1242" s="56"/>
      <c r="G1242" s="56"/>
      <c r="H1242" s="56"/>
      <c r="I1242" s="56"/>
      <c r="J1242" s="56"/>
      <c r="K1242" s="56"/>
      <c r="L1242" s="56"/>
      <c r="M1242" s="56"/>
      <c r="N1242" s="56"/>
      <c r="O1242" s="56"/>
      <c r="P1242" s="56"/>
      <c r="Q1242" s="56"/>
      <c r="R1242" s="56"/>
      <c r="S1242" s="56"/>
      <c r="T1242" s="56"/>
      <c r="U1242" s="56"/>
      <c r="V1242" s="56"/>
      <c r="W1242" s="56"/>
      <c r="X1242" s="5"/>
      <c r="Y1242" s="5"/>
      <c r="Z1242" s="5"/>
    </row>
    <row r="1243">
      <c r="A1243" s="56"/>
      <c r="B1243" s="57"/>
      <c r="C1243" s="56"/>
      <c r="D1243" s="56"/>
      <c r="E1243" s="56"/>
      <c r="F1243" s="56"/>
      <c r="G1243" s="56"/>
      <c r="H1243" s="56"/>
      <c r="I1243" s="56"/>
      <c r="J1243" s="56"/>
      <c r="K1243" s="56"/>
      <c r="L1243" s="56"/>
      <c r="M1243" s="56"/>
      <c r="N1243" s="56"/>
      <c r="O1243" s="56"/>
      <c r="P1243" s="56"/>
      <c r="Q1243" s="56"/>
      <c r="R1243" s="56"/>
      <c r="S1243" s="56"/>
      <c r="T1243" s="56"/>
      <c r="U1243" s="56"/>
      <c r="V1243" s="56"/>
      <c r="W1243" s="56"/>
      <c r="X1243" s="5"/>
      <c r="Y1243" s="5"/>
      <c r="Z1243" s="5"/>
    </row>
    <row r="1244">
      <c r="A1244" s="56"/>
      <c r="B1244" s="57"/>
      <c r="C1244" s="56"/>
      <c r="D1244" s="56"/>
      <c r="E1244" s="56"/>
      <c r="F1244" s="56"/>
      <c r="G1244" s="56"/>
      <c r="H1244" s="56"/>
      <c r="I1244" s="56"/>
      <c r="J1244" s="56"/>
      <c r="K1244" s="56"/>
      <c r="L1244" s="56"/>
      <c r="M1244" s="56"/>
      <c r="N1244" s="56"/>
      <c r="O1244" s="56"/>
      <c r="P1244" s="56"/>
      <c r="Q1244" s="56"/>
      <c r="R1244" s="56"/>
      <c r="S1244" s="56"/>
      <c r="T1244" s="56"/>
      <c r="U1244" s="56"/>
      <c r="V1244" s="56"/>
      <c r="W1244" s="56"/>
      <c r="X1244" s="5"/>
      <c r="Y1244" s="5"/>
      <c r="Z1244" s="5"/>
    </row>
    <row r="1245">
      <c r="A1245" s="56"/>
      <c r="B1245" s="57"/>
      <c r="C1245" s="56"/>
      <c r="D1245" s="56"/>
      <c r="E1245" s="56"/>
      <c r="F1245" s="56"/>
      <c r="G1245" s="56"/>
      <c r="H1245" s="56"/>
      <c r="I1245" s="56"/>
      <c r="J1245" s="56"/>
      <c r="K1245" s="56"/>
      <c r="L1245" s="56"/>
      <c r="M1245" s="56"/>
      <c r="N1245" s="56"/>
      <c r="O1245" s="56"/>
      <c r="P1245" s="56"/>
      <c r="Q1245" s="56"/>
      <c r="R1245" s="56"/>
      <c r="S1245" s="56"/>
      <c r="T1245" s="56"/>
      <c r="U1245" s="56"/>
      <c r="V1245" s="56"/>
      <c r="W1245" s="56"/>
      <c r="X1245" s="5"/>
      <c r="Y1245" s="5"/>
      <c r="Z1245" s="5"/>
    </row>
    <row r="1246">
      <c r="A1246" s="56"/>
      <c r="B1246" s="57"/>
      <c r="C1246" s="56"/>
      <c r="D1246" s="56"/>
      <c r="E1246" s="56"/>
      <c r="F1246" s="56"/>
      <c r="G1246" s="56"/>
      <c r="H1246" s="56"/>
      <c r="I1246" s="56"/>
      <c r="J1246" s="56"/>
      <c r="K1246" s="56"/>
      <c r="L1246" s="56"/>
      <c r="M1246" s="56"/>
      <c r="N1246" s="56"/>
      <c r="O1246" s="56"/>
      <c r="P1246" s="56"/>
      <c r="Q1246" s="56"/>
      <c r="R1246" s="56"/>
      <c r="S1246" s="56"/>
      <c r="T1246" s="56"/>
      <c r="U1246" s="56"/>
      <c r="V1246" s="56"/>
      <c r="W1246" s="56"/>
      <c r="X1246" s="5"/>
      <c r="Y1246" s="5"/>
      <c r="Z1246" s="5"/>
    </row>
    <row r="1247">
      <c r="A1247" s="56"/>
      <c r="B1247" s="57"/>
      <c r="C1247" s="56"/>
      <c r="D1247" s="56"/>
      <c r="E1247" s="56"/>
      <c r="F1247" s="56"/>
      <c r="G1247" s="56"/>
      <c r="H1247" s="56"/>
      <c r="I1247" s="56"/>
      <c r="J1247" s="56"/>
      <c r="K1247" s="56"/>
      <c r="L1247" s="56"/>
      <c r="M1247" s="56"/>
      <c r="N1247" s="56"/>
      <c r="O1247" s="56"/>
      <c r="P1247" s="56"/>
      <c r="Q1247" s="56"/>
      <c r="R1247" s="56"/>
      <c r="S1247" s="56"/>
      <c r="T1247" s="56"/>
      <c r="U1247" s="56"/>
      <c r="V1247" s="56"/>
      <c r="W1247" s="56"/>
      <c r="X1247" s="5"/>
      <c r="Y1247" s="5"/>
      <c r="Z1247" s="5"/>
    </row>
    <row r="1248">
      <c r="A1248" s="56"/>
      <c r="B1248" s="57"/>
      <c r="C1248" s="56"/>
      <c r="D1248" s="56"/>
      <c r="E1248" s="56"/>
      <c r="F1248" s="56"/>
      <c r="G1248" s="56"/>
      <c r="H1248" s="56"/>
      <c r="I1248" s="56"/>
      <c r="J1248" s="56"/>
      <c r="K1248" s="56"/>
      <c r="L1248" s="56"/>
      <c r="M1248" s="56"/>
      <c r="N1248" s="56"/>
      <c r="O1248" s="56"/>
      <c r="P1248" s="56"/>
      <c r="Q1248" s="56"/>
      <c r="R1248" s="56"/>
      <c r="S1248" s="56"/>
      <c r="T1248" s="56"/>
      <c r="U1248" s="56"/>
      <c r="V1248" s="56"/>
      <c r="W1248" s="56"/>
      <c r="X1248" s="5"/>
      <c r="Y1248" s="5"/>
      <c r="Z1248" s="5"/>
    </row>
    <row r="1249">
      <c r="A1249" s="56"/>
      <c r="B1249" s="57"/>
      <c r="C1249" s="56"/>
      <c r="D1249" s="56"/>
      <c r="E1249" s="56"/>
      <c r="F1249" s="56"/>
      <c r="G1249" s="56"/>
      <c r="H1249" s="56"/>
      <c r="I1249" s="56"/>
      <c r="J1249" s="56"/>
      <c r="K1249" s="56"/>
      <c r="L1249" s="56"/>
      <c r="M1249" s="56"/>
      <c r="N1249" s="56"/>
      <c r="O1249" s="56"/>
      <c r="P1249" s="56"/>
      <c r="Q1249" s="56"/>
      <c r="R1249" s="56"/>
      <c r="S1249" s="56"/>
      <c r="T1249" s="56"/>
      <c r="U1249" s="56"/>
      <c r="V1249" s="56"/>
      <c r="W1249" s="56"/>
      <c r="X1249" s="5"/>
      <c r="Y1249" s="5"/>
      <c r="Z1249" s="5"/>
    </row>
    <row r="1250">
      <c r="A1250" s="56"/>
      <c r="B1250" s="57"/>
      <c r="C1250" s="56"/>
      <c r="D1250" s="56"/>
      <c r="E1250" s="56"/>
      <c r="F1250" s="56"/>
      <c r="G1250" s="56"/>
      <c r="H1250" s="56"/>
      <c r="I1250" s="56"/>
      <c r="J1250" s="56"/>
      <c r="K1250" s="56"/>
      <c r="L1250" s="56"/>
      <c r="M1250" s="56"/>
      <c r="N1250" s="56"/>
      <c r="O1250" s="56"/>
      <c r="P1250" s="56"/>
      <c r="Q1250" s="56"/>
      <c r="R1250" s="56"/>
      <c r="S1250" s="56"/>
      <c r="T1250" s="56"/>
      <c r="U1250" s="56"/>
      <c r="V1250" s="56"/>
      <c r="W1250" s="56"/>
      <c r="X1250" s="5"/>
      <c r="Y1250" s="5"/>
      <c r="Z1250" s="5"/>
    </row>
    <row r="1251">
      <c r="A1251" s="56"/>
      <c r="B1251" s="57"/>
      <c r="C1251" s="56"/>
      <c r="D1251" s="56"/>
      <c r="E1251" s="56"/>
      <c r="F1251" s="56"/>
      <c r="G1251" s="56"/>
      <c r="H1251" s="56"/>
      <c r="I1251" s="56"/>
      <c r="J1251" s="56"/>
      <c r="K1251" s="56"/>
      <c r="L1251" s="56"/>
      <c r="M1251" s="56"/>
      <c r="N1251" s="56"/>
      <c r="O1251" s="56"/>
      <c r="P1251" s="56"/>
      <c r="Q1251" s="56"/>
      <c r="R1251" s="56"/>
      <c r="S1251" s="56"/>
      <c r="T1251" s="56"/>
      <c r="U1251" s="56"/>
      <c r="V1251" s="56"/>
      <c r="W1251" s="56"/>
      <c r="X1251" s="5"/>
      <c r="Y1251" s="5"/>
      <c r="Z1251" s="5"/>
    </row>
    <row r="1252">
      <c r="A1252" s="56"/>
      <c r="B1252" s="57"/>
      <c r="C1252" s="56"/>
      <c r="D1252" s="56"/>
      <c r="E1252" s="56"/>
      <c r="F1252" s="56"/>
      <c r="G1252" s="56"/>
      <c r="H1252" s="56"/>
      <c r="I1252" s="56"/>
      <c r="J1252" s="56"/>
      <c r="K1252" s="56"/>
      <c r="L1252" s="56"/>
      <c r="M1252" s="56"/>
      <c r="N1252" s="56"/>
      <c r="O1252" s="56"/>
      <c r="P1252" s="56"/>
      <c r="Q1252" s="56"/>
      <c r="R1252" s="56"/>
      <c r="S1252" s="56"/>
      <c r="T1252" s="56"/>
      <c r="U1252" s="56"/>
      <c r="V1252" s="56"/>
      <c r="W1252" s="56"/>
      <c r="X1252" s="5"/>
      <c r="Y1252" s="5"/>
      <c r="Z1252" s="5"/>
    </row>
    <row r="1253">
      <c r="A1253" s="56"/>
      <c r="B1253" s="57"/>
      <c r="C1253" s="56"/>
      <c r="D1253" s="56"/>
      <c r="E1253" s="56"/>
      <c r="F1253" s="56"/>
      <c r="G1253" s="56"/>
      <c r="H1253" s="56"/>
      <c r="I1253" s="56"/>
      <c r="J1253" s="56"/>
      <c r="K1253" s="56"/>
      <c r="L1253" s="56"/>
      <c r="M1253" s="56"/>
      <c r="N1253" s="56"/>
      <c r="O1253" s="56"/>
      <c r="P1253" s="56"/>
      <c r="Q1253" s="56"/>
      <c r="R1253" s="56"/>
      <c r="S1253" s="56"/>
      <c r="T1253" s="56"/>
      <c r="U1253" s="56"/>
      <c r="V1253" s="56"/>
      <c r="W1253" s="56"/>
      <c r="X1253" s="5"/>
      <c r="Y1253" s="5"/>
      <c r="Z1253" s="5"/>
    </row>
    <row r="1254">
      <c r="A1254" s="56"/>
      <c r="B1254" s="57"/>
      <c r="C1254" s="56"/>
      <c r="D1254" s="56"/>
      <c r="E1254" s="56"/>
      <c r="F1254" s="56"/>
      <c r="G1254" s="56"/>
      <c r="H1254" s="56"/>
      <c r="I1254" s="56"/>
      <c r="J1254" s="56"/>
      <c r="K1254" s="56"/>
      <c r="L1254" s="56"/>
      <c r="M1254" s="56"/>
      <c r="N1254" s="56"/>
      <c r="O1254" s="56"/>
      <c r="P1254" s="56"/>
      <c r="Q1254" s="56"/>
      <c r="R1254" s="56"/>
      <c r="S1254" s="56"/>
      <c r="T1254" s="56"/>
      <c r="U1254" s="56"/>
      <c r="V1254" s="56"/>
      <c r="W1254" s="56"/>
      <c r="X1254" s="5"/>
      <c r="Y1254" s="5"/>
      <c r="Z1254" s="5"/>
    </row>
    <row r="1255">
      <c r="A1255" s="56"/>
      <c r="B1255" s="57"/>
      <c r="C1255" s="56"/>
      <c r="D1255" s="56"/>
      <c r="E1255" s="56"/>
      <c r="F1255" s="56"/>
      <c r="G1255" s="56"/>
      <c r="H1255" s="56"/>
      <c r="I1255" s="56"/>
      <c r="J1255" s="56"/>
      <c r="K1255" s="56"/>
      <c r="L1255" s="56"/>
      <c r="M1255" s="56"/>
      <c r="N1255" s="56"/>
      <c r="O1255" s="56"/>
      <c r="P1255" s="56"/>
      <c r="Q1255" s="56"/>
      <c r="R1255" s="56"/>
      <c r="S1255" s="56"/>
      <c r="T1255" s="56"/>
      <c r="U1255" s="56"/>
      <c r="V1255" s="56"/>
      <c r="W1255" s="56"/>
      <c r="X1255" s="5"/>
      <c r="Y1255" s="5"/>
      <c r="Z1255" s="5"/>
    </row>
    <row r="1256">
      <c r="A1256" s="56"/>
      <c r="B1256" s="57"/>
      <c r="C1256" s="56"/>
      <c r="D1256" s="56"/>
      <c r="E1256" s="56"/>
      <c r="F1256" s="56"/>
      <c r="G1256" s="56"/>
      <c r="H1256" s="56"/>
      <c r="I1256" s="56"/>
      <c r="J1256" s="56"/>
      <c r="K1256" s="56"/>
      <c r="L1256" s="56"/>
      <c r="M1256" s="56"/>
      <c r="N1256" s="56"/>
      <c r="O1256" s="56"/>
      <c r="P1256" s="56"/>
      <c r="Q1256" s="56"/>
      <c r="R1256" s="56"/>
      <c r="S1256" s="56"/>
      <c r="T1256" s="56"/>
      <c r="U1256" s="56"/>
      <c r="V1256" s="56"/>
      <c r="W1256" s="56"/>
      <c r="X1256" s="5"/>
      <c r="Y1256" s="5"/>
      <c r="Z1256" s="5"/>
    </row>
    <row r="1257">
      <c r="A1257" s="56"/>
      <c r="B1257" s="57"/>
      <c r="C1257" s="56"/>
      <c r="D1257" s="56"/>
      <c r="E1257" s="56"/>
      <c r="F1257" s="56"/>
      <c r="G1257" s="56"/>
      <c r="H1257" s="56"/>
      <c r="I1257" s="56"/>
      <c r="J1257" s="56"/>
      <c r="K1257" s="56"/>
      <c r="L1257" s="56"/>
      <c r="M1257" s="56"/>
      <c r="N1257" s="56"/>
      <c r="O1257" s="56"/>
      <c r="P1257" s="56"/>
      <c r="Q1257" s="56"/>
      <c r="R1257" s="56"/>
      <c r="S1257" s="56"/>
      <c r="T1257" s="56"/>
      <c r="U1257" s="56"/>
      <c r="V1257" s="56"/>
      <c r="W1257" s="56"/>
      <c r="X1257" s="5"/>
      <c r="Y1257" s="5"/>
      <c r="Z1257" s="5"/>
    </row>
    <row r="1258">
      <c r="A1258" s="56"/>
      <c r="B1258" s="57"/>
      <c r="C1258" s="56"/>
      <c r="D1258" s="56"/>
      <c r="E1258" s="56"/>
      <c r="F1258" s="56"/>
      <c r="G1258" s="56"/>
      <c r="H1258" s="56"/>
      <c r="I1258" s="56"/>
      <c r="J1258" s="56"/>
      <c r="K1258" s="56"/>
      <c r="L1258" s="56"/>
      <c r="M1258" s="56"/>
      <c r="N1258" s="56"/>
      <c r="O1258" s="56"/>
      <c r="P1258" s="56"/>
      <c r="Q1258" s="56"/>
      <c r="R1258" s="56"/>
      <c r="S1258" s="56"/>
      <c r="T1258" s="56"/>
      <c r="U1258" s="56"/>
      <c r="V1258" s="56"/>
      <c r="W1258" s="56"/>
      <c r="X1258" s="5"/>
      <c r="Y1258" s="5"/>
      <c r="Z1258" s="5"/>
    </row>
    <row r="1259">
      <c r="A1259" s="56"/>
      <c r="B1259" s="57"/>
      <c r="C1259" s="56"/>
      <c r="D1259" s="56"/>
      <c r="E1259" s="56"/>
      <c r="F1259" s="56"/>
      <c r="G1259" s="56"/>
      <c r="H1259" s="56"/>
      <c r="I1259" s="56"/>
      <c r="J1259" s="56"/>
      <c r="K1259" s="56"/>
      <c r="L1259" s="56"/>
      <c r="M1259" s="56"/>
      <c r="N1259" s="56"/>
      <c r="O1259" s="56"/>
      <c r="P1259" s="56"/>
      <c r="Q1259" s="56"/>
      <c r="R1259" s="56"/>
      <c r="S1259" s="56"/>
      <c r="T1259" s="56"/>
      <c r="U1259" s="56"/>
      <c r="V1259" s="56"/>
      <c r="W1259" s="56"/>
      <c r="X1259" s="5"/>
      <c r="Y1259" s="5"/>
      <c r="Z1259" s="5"/>
    </row>
    <row r="1260">
      <c r="A1260" s="56"/>
      <c r="B1260" s="57"/>
      <c r="C1260" s="56"/>
      <c r="D1260" s="56"/>
      <c r="E1260" s="56"/>
      <c r="F1260" s="56"/>
      <c r="G1260" s="56"/>
      <c r="H1260" s="56"/>
      <c r="I1260" s="56"/>
      <c r="J1260" s="56"/>
      <c r="K1260" s="56"/>
      <c r="L1260" s="56"/>
      <c r="M1260" s="56"/>
      <c r="N1260" s="56"/>
      <c r="O1260" s="56"/>
      <c r="P1260" s="56"/>
      <c r="Q1260" s="56"/>
      <c r="R1260" s="56"/>
      <c r="S1260" s="56"/>
      <c r="T1260" s="56"/>
      <c r="U1260" s="56"/>
      <c r="V1260" s="56"/>
      <c r="W1260" s="56"/>
      <c r="X1260" s="5"/>
      <c r="Y1260" s="5"/>
      <c r="Z1260" s="5"/>
    </row>
    <row r="1261">
      <c r="A1261" s="56"/>
      <c r="B1261" s="57"/>
      <c r="C1261" s="56"/>
      <c r="D1261" s="56"/>
      <c r="E1261" s="56"/>
      <c r="F1261" s="56"/>
      <c r="G1261" s="56"/>
      <c r="H1261" s="56"/>
      <c r="I1261" s="56"/>
      <c r="J1261" s="56"/>
      <c r="K1261" s="56"/>
      <c r="L1261" s="56"/>
      <c r="M1261" s="56"/>
      <c r="N1261" s="56"/>
      <c r="O1261" s="56"/>
      <c r="P1261" s="56"/>
      <c r="Q1261" s="56"/>
      <c r="R1261" s="56"/>
      <c r="S1261" s="56"/>
      <c r="T1261" s="56"/>
      <c r="U1261" s="56"/>
      <c r="V1261" s="56"/>
      <c r="W1261" s="56"/>
      <c r="X1261" s="5"/>
      <c r="Y1261" s="5"/>
      <c r="Z1261" s="5"/>
    </row>
    <row r="1262">
      <c r="A1262" s="56"/>
      <c r="B1262" s="57"/>
      <c r="C1262" s="56"/>
      <c r="D1262" s="56"/>
      <c r="E1262" s="56"/>
      <c r="F1262" s="56"/>
      <c r="G1262" s="56"/>
      <c r="H1262" s="56"/>
      <c r="I1262" s="56"/>
      <c r="J1262" s="56"/>
      <c r="K1262" s="56"/>
      <c r="L1262" s="56"/>
      <c r="M1262" s="56"/>
      <c r="N1262" s="56"/>
      <c r="O1262" s="56"/>
      <c r="P1262" s="56"/>
      <c r="Q1262" s="56"/>
      <c r="R1262" s="56"/>
      <c r="S1262" s="56"/>
      <c r="T1262" s="56"/>
      <c r="U1262" s="56"/>
      <c r="V1262" s="56"/>
      <c r="W1262" s="56"/>
      <c r="X1262" s="5"/>
      <c r="Y1262" s="5"/>
      <c r="Z1262" s="5"/>
    </row>
    <row r="1263">
      <c r="A1263" s="56"/>
      <c r="B1263" s="57"/>
      <c r="C1263" s="56"/>
      <c r="D1263" s="56"/>
      <c r="E1263" s="56"/>
      <c r="F1263" s="56"/>
      <c r="G1263" s="56"/>
      <c r="H1263" s="56"/>
      <c r="I1263" s="56"/>
      <c r="J1263" s="56"/>
      <c r="K1263" s="56"/>
      <c r="L1263" s="56"/>
      <c r="M1263" s="56"/>
      <c r="N1263" s="56"/>
      <c r="O1263" s="56"/>
      <c r="P1263" s="56"/>
      <c r="Q1263" s="56"/>
      <c r="R1263" s="56"/>
      <c r="S1263" s="56"/>
      <c r="T1263" s="56"/>
      <c r="U1263" s="56"/>
      <c r="V1263" s="56"/>
      <c r="W1263" s="56"/>
      <c r="X1263" s="5"/>
      <c r="Y1263" s="5"/>
      <c r="Z1263" s="5"/>
    </row>
    <row r="1264">
      <c r="A1264" s="56"/>
      <c r="B1264" s="57"/>
      <c r="C1264" s="56"/>
      <c r="D1264" s="56"/>
      <c r="E1264" s="56"/>
      <c r="F1264" s="56"/>
      <c r="G1264" s="56"/>
      <c r="H1264" s="56"/>
      <c r="I1264" s="56"/>
      <c r="J1264" s="56"/>
      <c r="K1264" s="56"/>
      <c r="L1264" s="56"/>
      <c r="M1264" s="56"/>
      <c r="N1264" s="56"/>
      <c r="O1264" s="56"/>
      <c r="P1264" s="56"/>
      <c r="Q1264" s="56"/>
      <c r="R1264" s="56"/>
      <c r="S1264" s="56"/>
      <c r="T1264" s="56"/>
      <c r="U1264" s="56"/>
      <c r="V1264" s="56"/>
      <c r="W1264" s="56"/>
      <c r="X1264" s="5"/>
      <c r="Y1264" s="5"/>
      <c r="Z1264" s="5"/>
    </row>
    <row r="1265">
      <c r="A1265" s="56"/>
      <c r="B1265" s="57"/>
      <c r="C1265" s="56"/>
      <c r="D1265" s="56"/>
      <c r="E1265" s="56"/>
      <c r="F1265" s="56"/>
      <c r="G1265" s="56"/>
      <c r="H1265" s="56"/>
      <c r="I1265" s="56"/>
      <c r="J1265" s="56"/>
      <c r="K1265" s="56"/>
      <c r="L1265" s="56"/>
      <c r="M1265" s="56"/>
      <c r="N1265" s="56"/>
      <c r="O1265" s="56"/>
      <c r="P1265" s="56"/>
      <c r="Q1265" s="56"/>
      <c r="R1265" s="56"/>
      <c r="S1265" s="56"/>
      <c r="T1265" s="56"/>
      <c r="U1265" s="56"/>
      <c r="V1265" s="56"/>
      <c r="W1265" s="56"/>
      <c r="X1265" s="5"/>
      <c r="Y1265" s="5"/>
      <c r="Z1265" s="5"/>
    </row>
    <row r="1266">
      <c r="A1266" s="56"/>
      <c r="B1266" s="57"/>
      <c r="C1266" s="56"/>
      <c r="D1266" s="56"/>
      <c r="E1266" s="56"/>
      <c r="F1266" s="56"/>
      <c r="G1266" s="56"/>
      <c r="H1266" s="56"/>
      <c r="I1266" s="56"/>
      <c r="J1266" s="56"/>
      <c r="K1266" s="56"/>
      <c r="L1266" s="56"/>
      <c r="M1266" s="56"/>
      <c r="N1266" s="56"/>
      <c r="O1266" s="56"/>
      <c r="P1266" s="56"/>
      <c r="Q1266" s="56"/>
      <c r="R1266" s="56"/>
      <c r="S1266" s="56"/>
      <c r="T1266" s="56"/>
      <c r="U1266" s="56"/>
      <c r="V1266" s="56"/>
      <c r="W1266" s="56"/>
      <c r="X1266" s="5"/>
      <c r="Y1266" s="5"/>
      <c r="Z1266" s="5"/>
    </row>
    <row r="1267">
      <c r="A1267" s="56"/>
      <c r="B1267" s="57"/>
      <c r="C1267" s="56"/>
      <c r="D1267" s="56"/>
      <c r="E1267" s="56"/>
      <c r="F1267" s="56"/>
      <c r="G1267" s="56"/>
      <c r="H1267" s="56"/>
      <c r="I1267" s="56"/>
      <c r="J1267" s="56"/>
      <c r="K1267" s="56"/>
      <c r="L1267" s="56"/>
      <c r="M1267" s="56"/>
      <c r="N1267" s="56"/>
      <c r="O1267" s="56"/>
      <c r="P1267" s="56"/>
      <c r="Q1267" s="56"/>
      <c r="R1267" s="56"/>
      <c r="S1267" s="56"/>
      <c r="T1267" s="56"/>
      <c r="U1267" s="56"/>
      <c r="V1267" s="56"/>
      <c r="W1267" s="56"/>
      <c r="X1267" s="5"/>
      <c r="Y1267" s="5"/>
      <c r="Z1267" s="5"/>
    </row>
    <row r="1268">
      <c r="A1268" s="56"/>
      <c r="B1268" s="57"/>
      <c r="C1268" s="56"/>
      <c r="D1268" s="56"/>
      <c r="E1268" s="56"/>
      <c r="F1268" s="56"/>
      <c r="G1268" s="56"/>
      <c r="H1268" s="56"/>
      <c r="I1268" s="56"/>
      <c r="J1268" s="56"/>
      <c r="K1268" s="56"/>
      <c r="L1268" s="56"/>
      <c r="M1268" s="56"/>
      <c r="N1268" s="56"/>
      <c r="O1268" s="56"/>
      <c r="P1268" s="56"/>
      <c r="Q1268" s="56"/>
      <c r="R1268" s="56"/>
      <c r="S1268" s="56"/>
      <c r="T1268" s="56"/>
      <c r="U1268" s="56"/>
      <c r="V1268" s="56"/>
      <c r="W1268" s="56"/>
      <c r="X1268" s="5"/>
      <c r="Y1268" s="5"/>
      <c r="Z1268" s="5"/>
    </row>
    <row r="1269">
      <c r="A1269" s="56"/>
      <c r="B1269" s="57"/>
      <c r="C1269" s="56"/>
      <c r="D1269" s="56"/>
      <c r="E1269" s="56"/>
      <c r="F1269" s="56"/>
      <c r="G1269" s="56"/>
      <c r="H1269" s="56"/>
      <c r="I1269" s="56"/>
      <c r="J1269" s="56"/>
      <c r="K1269" s="56"/>
      <c r="L1269" s="56"/>
      <c r="M1269" s="56"/>
      <c r="N1269" s="56"/>
      <c r="O1269" s="56"/>
      <c r="P1269" s="56"/>
      <c r="Q1269" s="56"/>
      <c r="R1269" s="56"/>
      <c r="S1269" s="56"/>
      <c r="T1269" s="56"/>
      <c r="U1269" s="56"/>
      <c r="V1269" s="56"/>
      <c r="W1269" s="56"/>
      <c r="X1269" s="5"/>
      <c r="Y1269" s="5"/>
      <c r="Z1269" s="5"/>
    </row>
    <row r="1270">
      <c r="A1270" s="56"/>
      <c r="B1270" s="57"/>
      <c r="C1270" s="56"/>
      <c r="D1270" s="56"/>
      <c r="E1270" s="56"/>
      <c r="F1270" s="56"/>
      <c r="G1270" s="56"/>
      <c r="H1270" s="56"/>
      <c r="I1270" s="56"/>
      <c r="J1270" s="56"/>
      <c r="K1270" s="56"/>
      <c r="L1270" s="56"/>
      <c r="M1270" s="56"/>
      <c r="N1270" s="56"/>
      <c r="O1270" s="56"/>
      <c r="P1270" s="56"/>
      <c r="Q1270" s="56"/>
      <c r="R1270" s="56"/>
      <c r="S1270" s="56"/>
      <c r="T1270" s="56"/>
      <c r="U1270" s="56"/>
      <c r="V1270" s="56"/>
      <c r="W1270" s="56"/>
      <c r="X1270" s="5"/>
      <c r="Y1270" s="5"/>
      <c r="Z1270" s="5"/>
    </row>
    <row r="1271">
      <c r="A1271" s="56"/>
      <c r="B1271" s="57"/>
      <c r="C1271" s="56"/>
      <c r="D1271" s="56"/>
      <c r="E1271" s="56"/>
      <c r="F1271" s="56"/>
      <c r="G1271" s="56"/>
      <c r="H1271" s="56"/>
      <c r="I1271" s="56"/>
      <c r="J1271" s="56"/>
      <c r="K1271" s="56"/>
      <c r="L1271" s="56"/>
      <c r="M1271" s="56"/>
      <c r="N1271" s="56"/>
      <c r="O1271" s="56"/>
      <c r="P1271" s="56"/>
      <c r="Q1271" s="56"/>
      <c r="R1271" s="56"/>
      <c r="S1271" s="56"/>
      <c r="T1271" s="56"/>
      <c r="U1271" s="56"/>
      <c r="V1271" s="56"/>
      <c r="W1271" s="56"/>
      <c r="X1271" s="5"/>
      <c r="Y1271" s="5"/>
      <c r="Z1271" s="5"/>
    </row>
    <row r="1272">
      <c r="A1272" s="56"/>
      <c r="B1272" s="57"/>
      <c r="C1272" s="56"/>
      <c r="D1272" s="56"/>
      <c r="E1272" s="56"/>
      <c r="F1272" s="56"/>
      <c r="G1272" s="56"/>
      <c r="H1272" s="56"/>
      <c r="I1272" s="56"/>
      <c r="J1272" s="56"/>
      <c r="K1272" s="56"/>
      <c r="L1272" s="56"/>
      <c r="M1272" s="56"/>
      <c r="N1272" s="56"/>
      <c r="O1272" s="56"/>
      <c r="P1272" s="56"/>
      <c r="Q1272" s="56"/>
      <c r="R1272" s="56"/>
      <c r="S1272" s="56"/>
      <c r="T1272" s="56"/>
      <c r="U1272" s="56"/>
      <c r="V1272" s="56"/>
      <c r="W1272" s="56"/>
      <c r="X1272" s="5"/>
      <c r="Y1272" s="5"/>
      <c r="Z1272" s="5"/>
    </row>
    <row r="1273">
      <c r="A1273" s="56"/>
      <c r="B1273" s="57"/>
      <c r="C1273" s="56"/>
      <c r="D1273" s="56"/>
      <c r="E1273" s="56"/>
      <c r="F1273" s="56"/>
      <c r="G1273" s="56"/>
      <c r="H1273" s="56"/>
      <c r="I1273" s="56"/>
      <c r="J1273" s="56"/>
      <c r="K1273" s="56"/>
      <c r="L1273" s="56"/>
      <c r="M1273" s="56"/>
      <c r="N1273" s="56"/>
      <c r="O1273" s="56"/>
      <c r="P1273" s="56"/>
      <c r="Q1273" s="56"/>
      <c r="R1273" s="56"/>
      <c r="S1273" s="56"/>
      <c r="T1273" s="56"/>
      <c r="U1273" s="56"/>
      <c r="V1273" s="56"/>
      <c r="W1273" s="56"/>
      <c r="X1273" s="5"/>
      <c r="Y1273" s="5"/>
      <c r="Z1273" s="5"/>
    </row>
    <row r="1274">
      <c r="A1274" s="56"/>
      <c r="B1274" s="57"/>
      <c r="C1274" s="56"/>
      <c r="D1274" s="56"/>
      <c r="E1274" s="56"/>
      <c r="F1274" s="56"/>
      <c r="G1274" s="56"/>
      <c r="H1274" s="56"/>
      <c r="I1274" s="56"/>
      <c r="J1274" s="56"/>
      <c r="K1274" s="56"/>
      <c r="L1274" s="56"/>
      <c r="M1274" s="56"/>
      <c r="N1274" s="56"/>
      <c r="O1274" s="56"/>
      <c r="P1274" s="56"/>
      <c r="Q1274" s="56"/>
      <c r="R1274" s="56"/>
      <c r="S1274" s="56"/>
      <c r="T1274" s="56"/>
      <c r="U1274" s="56"/>
      <c r="V1274" s="56"/>
      <c r="W1274" s="56"/>
      <c r="X1274" s="5"/>
      <c r="Y1274" s="5"/>
      <c r="Z1274" s="5"/>
    </row>
    <row r="1275">
      <c r="A1275" s="56"/>
      <c r="B1275" s="57"/>
      <c r="C1275" s="56"/>
      <c r="D1275" s="56"/>
      <c r="E1275" s="56"/>
      <c r="F1275" s="56"/>
      <c r="G1275" s="56"/>
      <c r="H1275" s="56"/>
      <c r="I1275" s="56"/>
      <c r="J1275" s="56"/>
      <c r="K1275" s="56"/>
      <c r="L1275" s="56"/>
      <c r="M1275" s="56"/>
      <c r="N1275" s="56"/>
      <c r="O1275" s="56"/>
      <c r="P1275" s="56"/>
      <c r="Q1275" s="56"/>
      <c r="R1275" s="56"/>
      <c r="S1275" s="56"/>
      <c r="T1275" s="56"/>
      <c r="U1275" s="56"/>
      <c r="V1275" s="56"/>
      <c r="W1275" s="56"/>
      <c r="X1275" s="5"/>
      <c r="Y1275" s="5"/>
      <c r="Z1275" s="5"/>
    </row>
    <row r="1276">
      <c r="A1276" s="56"/>
      <c r="B1276" s="57"/>
      <c r="C1276" s="56"/>
      <c r="D1276" s="56"/>
      <c r="E1276" s="56"/>
      <c r="F1276" s="56"/>
      <c r="G1276" s="56"/>
      <c r="H1276" s="56"/>
      <c r="I1276" s="56"/>
      <c r="J1276" s="56"/>
      <c r="K1276" s="56"/>
      <c r="L1276" s="56"/>
      <c r="M1276" s="56"/>
      <c r="N1276" s="56"/>
      <c r="O1276" s="56"/>
      <c r="P1276" s="56"/>
      <c r="Q1276" s="56"/>
      <c r="R1276" s="56"/>
      <c r="S1276" s="56"/>
      <c r="T1276" s="56"/>
      <c r="U1276" s="56"/>
      <c r="V1276" s="56"/>
      <c r="W1276" s="56"/>
      <c r="X1276" s="5"/>
      <c r="Y1276" s="5"/>
      <c r="Z1276" s="5"/>
    </row>
    <row r="1277">
      <c r="A1277" s="56"/>
      <c r="B1277" s="57"/>
      <c r="C1277" s="56"/>
      <c r="D1277" s="56"/>
      <c r="E1277" s="56"/>
      <c r="F1277" s="56"/>
      <c r="G1277" s="56"/>
      <c r="H1277" s="56"/>
      <c r="I1277" s="56"/>
      <c r="J1277" s="56"/>
      <c r="K1277" s="56"/>
      <c r="L1277" s="56"/>
      <c r="M1277" s="56"/>
      <c r="N1277" s="56"/>
      <c r="O1277" s="56"/>
      <c r="P1277" s="56"/>
      <c r="Q1277" s="56"/>
      <c r="R1277" s="56"/>
      <c r="S1277" s="56"/>
      <c r="T1277" s="56"/>
      <c r="U1277" s="56"/>
      <c r="V1277" s="56"/>
      <c r="W1277" s="56"/>
      <c r="X1277" s="5"/>
      <c r="Y1277" s="5"/>
      <c r="Z1277" s="5"/>
    </row>
    <row r="1278">
      <c r="A1278" s="56"/>
      <c r="B1278" s="57"/>
      <c r="C1278" s="56"/>
      <c r="D1278" s="56"/>
      <c r="E1278" s="56"/>
      <c r="F1278" s="56"/>
      <c r="G1278" s="56"/>
      <c r="H1278" s="56"/>
      <c r="I1278" s="56"/>
      <c r="J1278" s="56"/>
      <c r="K1278" s="56"/>
      <c r="L1278" s="56"/>
      <c r="M1278" s="56"/>
      <c r="N1278" s="56"/>
      <c r="O1278" s="56"/>
      <c r="P1278" s="56"/>
      <c r="Q1278" s="56"/>
      <c r="R1278" s="56"/>
      <c r="S1278" s="56"/>
      <c r="T1278" s="56"/>
      <c r="U1278" s="56"/>
      <c r="V1278" s="56"/>
      <c r="W1278" s="56"/>
      <c r="X1278" s="5"/>
      <c r="Y1278" s="5"/>
      <c r="Z1278" s="5"/>
    </row>
    <row r="1279">
      <c r="A1279" s="56"/>
      <c r="B1279" s="57"/>
      <c r="C1279" s="56"/>
      <c r="D1279" s="56"/>
      <c r="E1279" s="56"/>
      <c r="F1279" s="56"/>
      <c r="G1279" s="56"/>
      <c r="H1279" s="56"/>
      <c r="I1279" s="56"/>
      <c r="J1279" s="56"/>
      <c r="K1279" s="56"/>
      <c r="L1279" s="56"/>
      <c r="M1279" s="56"/>
      <c r="N1279" s="56"/>
      <c r="O1279" s="56"/>
      <c r="P1279" s="56"/>
      <c r="Q1279" s="56"/>
      <c r="R1279" s="56"/>
      <c r="S1279" s="56"/>
      <c r="T1279" s="56"/>
      <c r="U1279" s="56"/>
      <c r="V1279" s="56"/>
      <c r="W1279" s="56"/>
      <c r="X1279" s="5"/>
      <c r="Y1279" s="5"/>
      <c r="Z1279" s="5"/>
    </row>
    <row r="1280">
      <c r="A1280" s="56"/>
      <c r="B1280" s="57"/>
      <c r="C1280" s="56"/>
      <c r="D1280" s="56"/>
      <c r="E1280" s="56"/>
      <c r="F1280" s="56"/>
      <c r="G1280" s="56"/>
      <c r="H1280" s="56"/>
      <c r="I1280" s="56"/>
      <c r="J1280" s="56"/>
      <c r="K1280" s="56"/>
      <c r="L1280" s="56"/>
      <c r="M1280" s="56"/>
      <c r="N1280" s="56"/>
      <c r="O1280" s="56"/>
      <c r="P1280" s="56"/>
      <c r="Q1280" s="56"/>
      <c r="R1280" s="56"/>
      <c r="S1280" s="56"/>
      <c r="T1280" s="56"/>
      <c r="U1280" s="56"/>
      <c r="V1280" s="56"/>
      <c r="W1280" s="56"/>
      <c r="X1280" s="5"/>
      <c r="Y1280" s="5"/>
      <c r="Z1280" s="5"/>
    </row>
    <row r="1281">
      <c r="A1281" s="56"/>
      <c r="B1281" s="57"/>
      <c r="C1281" s="56"/>
      <c r="D1281" s="56"/>
      <c r="E1281" s="56"/>
      <c r="F1281" s="56"/>
      <c r="G1281" s="56"/>
      <c r="H1281" s="56"/>
      <c r="I1281" s="56"/>
      <c r="J1281" s="56"/>
      <c r="K1281" s="56"/>
      <c r="L1281" s="56"/>
      <c r="M1281" s="56"/>
      <c r="N1281" s="56"/>
      <c r="O1281" s="56"/>
      <c r="P1281" s="56"/>
      <c r="Q1281" s="56"/>
      <c r="R1281" s="56"/>
      <c r="S1281" s="56"/>
      <c r="T1281" s="56"/>
      <c r="U1281" s="56"/>
      <c r="V1281" s="56"/>
      <c r="W1281" s="56"/>
      <c r="X1281" s="5"/>
      <c r="Y1281" s="5"/>
      <c r="Z1281" s="5"/>
    </row>
    <row r="1282">
      <c r="A1282" s="56"/>
      <c r="B1282" s="57"/>
      <c r="C1282" s="56"/>
      <c r="D1282" s="56"/>
      <c r="E1282" s="56"/>
      <c r="F1282" s="56"/>
      <c r="G1282" s="56"/>
      <c r="H1282" s="56"/>
      <c r="I1282" s="56"/>
      <c r="J1282" s="56"/>
      <c r="K1282" s="56"/>
      <c r="L1282" s="56"/>
      <c r="M1282" s="56"/>
      <c r="N1282" s="56"/>
      <c r="O1282" s="56"/>
      <c r="P1282" s="56"/>
      <c r="Q1282" s="56"/>
      <c r="R1282" s="56"/>
      <c r="S1282" s="56"/>
      <c r="T1282" s="56"/>
      <c r="U1282" s="56"/>
      <c r="V1282" s="56"/>
      <c r="W1282" s="56"/>
      <c r="X1282" s="5"/>
      <c r="Y1282" s="5"/>
      <c r="Z1282" s="5"/>
    </row>
    <row r="1283">
      <c r="A1283" s="56"/>
      <c r="B1283" s="57"/>
      <c r="C1283" s="56"/>
      <c r="D1283" s="56"/>
      <c r="E1283" s="56"/>
      <c r="F1283" s="56"/>
      <c r="G1283" s="56"/>
      <c r="H1283" s="56"/>
      <c r="I1283" s="56"/>
      <c r="J1283" s="56"/>
      <c r="K1283" s="56"/>
      <c r="L1283" s="56"/>
      <c r="M1283" s="56"/>
      <c r="N1283" s="56"/>
      <c r="O1283" s="56"/>
      <c r="P1283" s="56"/>
      <c r="Q1283" s="56"/>
      <c r="R1283" s="56"/>
      <c r="S1283" s="56"/>
      <c r="T1283" s="56"/>
      <c r="U1283" s="56"/>
      <c r="V1283" s="56"/>
      <c r="W1283" s="56"/>
      <c r="X1283" s="5"/>
      <c r="Y1283" s="5"/>
      <c r="Z1283" s="5"/>
    </row>
    <row r="1284">
      <c r="A1284" s="56"/>
      <c r="B1284" s="57"/>
      <c r="C1284" s="56"/>
      <c r="D1284" s="56"/>
      <c r="E1284" s="56"/>
      <c r="F1284" s="56"/>
      <c r="G1284" s="56"/>
      <c r="H1284" s="56"/>
      <c r="I1284" s="56"/>
      <c r="J1284" s="56"/>
      <c r="K1284" s="56"/>
      <c r="L1284" s="56"/>
      <c r="M1284" s="56"/>
      <c r="N1284" s="56"/>
      <c r="O1284" s="56"/>
      <c r="P1284" s="56"/>
      <c r="Q1284" s="56"/>
      <c r="R1284" s="56"/>
      <c r="S1284" s="56"/>
      <c r="T1284" s="56"/>
      <c r="U1284" s="56"/>
      <c r="V1284" s="56"/>
      <c r="W1284" s="56"/>
      <c r="X1284" s="5"/>
      <c r="Y1284" s="5"/>
      <c r="Z1284" s="5"/>
    </row>
    <row r="1285">
      <c r="A1285" s="56"/>
      <c r="B1285" s="57"/>
      <c r="C1285" s="56"/>
      <c r="D1285" s="56"/>
      <c r="E1285" s="56"/>
      <c r="F1285" s="56"/>
      <c r="G1285" s="56"/>
      <c r="H1285" s="56"/>
      <c r="I1285" s="56"/>
      <c r="J1285" s="56"/>
      <c r="K1285" s="56"/>
      <c r="L1285" s="56"/>
      <c r="M1285" s="56"/>
      <c r="N1285" s="56"/>
      <c r="O1285" s="56"/>
      <c r="P1285" s="56"/>
      <c r="Q1285" s="56"/>
      <c r="R1285" s="56"/>
      <c r="S1285" s="56"/>
      <c r="T1285" s="56"/>
      <c r="U1285" s="56"/>
      <c r="V1285" s="56"/>
      <c r="W1285" s="56"/>
      <c r="X1285" s="5"/>
      <c r="Y1285" s="5"/>
      <c r="Z1285" s="5"/>
    </row>
    <row r="1286">
      <c r="A1286" s="56"/>
      <c r="B1286" s="57"/>
      <c r="C1286" s="56"/>
      <c r="D1286" s="56"/>
      <c r="E1286" s="56"/>
      <c r="F1286" s="56"/>
      <c r="G1286" s="56"/>
      <c r="H1286" s="56"/>
      <c r="I1286" s="56"/>
      <c r="J1286" s="56"/>
      <c r="K1286" s="56"/>
      <c r="L1286" s="56"/>
      <c r="M1286" s="56"/>
      <c r="N1286" s="56"/>
      <c r="O1286" s="56"/>
      <c r="P1286" s="56"/>
      <c r="Q1286" s="56"/>
      <c r="R1286" s="56"/>
      <c r="S1286" s="56"/>
      <c r="T1286" s="56"/>
      <c r="U1286" s="56"/>
      <c r="V1286" s="56"/>
      <c r="W1286" s="56"/>
      <c r="X1286" s="5"/>
      <c r="Y1286" s="5"/>
      <c r="Z1286" s="5"/>
    </row>
    <row r="1287">
      <c r="A1287" s="56"/>
      <c r="B1287" s="57"/>
      <c r="C1287" s="56"/>
      <c r="D1287" s="56"/>
      <c r="E1287" s="56"/>
      <c r="F1287" s="56"/>
      <c r="G1287" s="56"/>
      <c r="H1287" s="56"/>
      <c r="I1287" s="56"/>
      <c r="J1287" s="56"/>
      <c r="K1287" s="56"/>
      <c r="L1287" s="56"/>
      <c r="M1287" s="56"/>
      <c r="N1287" s="56"/>
      <c r="O1287" s="56"/>
      <c r="P1287" s="56"/>
      <c r="Q1287" s="56"/>
      <c r="R1287" s="56"/>
      <c r="S1287" s="56"/>
      <c r="T1287" s="56"/>
      <c r="U1287" s="56"/>
      <c r="V1287" s="56"/>
      <c r="W1287" s="56"/>
      <c r="X1287" s="5"/>
      <c r="Y1287" s="5"/>
      <c r="Z1287" s="5"/>
    </row>
    <row r="1288">
      <c r="A1288" s="56"/>
      <c r="B1288" s="57"/>
      <c r="C1288" s="56"/>
      <c r="D1288" s="56"/>
      <c r="E1288" s="56"/>
      <c r="F1288" s="56"/>
      <c r="G1288" s="56"/>
      <c r="H1288" s="56"/>
      <c r="I1288" s="56"/>
      <c r="J1288" s="56"/>
      <c r="K1288" s="56"/>
      <c r="L1288" s="56"/>
      <c r="M1288" s="56"/>
      <c r="N1288" s="56"/>
      <c r="O1288" s="56"/>
      <c r="P1288" s="56"/>
      <c r="Q1288" s="56"/>
      <c r="R1288" s="56"/>
      <c r="S1288" s="56"/>
      <c r="T1288" s="56"/>
      <c r="U1288" s="56"/>
      <c r="V1288" s="56"/>
      <c r="W1288" s="56"/>
      <c r="X1288" s="5"/>
      <c r="Y1288" s="5"/>
      <c r="Z1288" s="5"/>
    </row>
    <row r="1289">
      <c r="A1289" s="56"/>
      <c r="B1289" s="57"/>
      <c r="C1289" s="56"/>
      <c r="D1289" s="56"/>
      <c r="E1289" s="56"/>
      <c r="F1289" s="56"/>
      <c r="G1289" s="56"/>
      <c r="H1289" s="56"/>
      <c r="I1289" s="56"/>
      <c r="J1289" s="56"/>
      <c r="K1289" s="56"/>
      <c r="L1289" s="56"/>
      <c r="M1289" s="56"/>
      <c r="N1289" s="56"/>
      <c r="O1289" s="56"/>
      <c r="P1289" s="56"/>
      <c r="Q1289" s="56"/>
      <c r="R1289" s="56"/>
      <c r="S1289" s="56"/>
      <c r="T1289" s="56"/>
      <c r="U1289" s="56"/>
      <c r="V1289" s="56"/>
      <c r="W1289" s="56"/>
      <c r="X1289" s="5"/>
      <c r="Y1289" s="5"/>
      <c r="Z1289" s="5"/>
    </row>
    <row r="1290">
      <c r="A1290" s="56"/>
      <c r="B1290" s="57"/>
      <c r="C1290" s="56"/>
      <c r="D1290" s="56"/>
      <c r="E1290" s="56"/>
      <c r="F1290" s="56"/>
      <c r="G1290" s="56"/>
      <c r="H1290" s="56"/>
      <c r="I1290" s="56"/>
      <c r="J1290" s="56"/>
      <c r="K1290" s="56"/>
      <c r="L1290" s="56"/>
      <c r="M1290" s="56"/>
      <c r="N1290" s="56"/>
      <c r="O1290" s="56"/>
      <c r="P1290" s="56"/>
      <c r="Q1290" s="56"/>
      <c r="R1290" s="56"/>
      <c r="S1290" s="56"/>
      <c r="T1290" s="56"/>
      <c r="U1290" s="56"/>
      <c r="V1290" s="56"/>
      <c r="W1290" s="56"/>
      <c r="X1290" s="5"/>
      <c r="Y1290" s="5"/>
      <c r="Z1290" s="5"/>
    </row>
    <row r="1291">
      <c r="A1291" s="56"/>
      <c r="B1291" s="57"/>
      <c r="C1291" s="56"/>
      <c r="D1291" s="56"/>
      <c r="E1291" s="56"/>
      <c r="F1291" s="56"/>
      <c r="G1291" s="56"/>
      <c r="H1291" s="56"/>
      <c r="I1291" s="56"/>
      <c r="J1291" s="56"/>
      <c r="K1291" s="56"/>
      <c r="L1291" s="56"/>
      <c r="M1291" s="56"/>
      <c r="N1291" s="56"/>
      <c r="O1291" s="56"/>
      <c r="P1291" s="56"/>
      <c r="Q1291" s="56"/>
      <c r="R1291" s="56"/>
      <c r="S1291" s="56"/>
      <c r="T1291" s="56"/>
      <c r="U1291" s="56"/>
      <c r="V1291" s="56"/>
      <c r="W1291" s="56"/>
      <c r="X1291" s="5"/>
      <c r="Y1291" s="5"/>
      <c r="Z1291" s="5"/>
    </row>
    <row r="1292">
      <c r="A1292" s="56"/>
      <c r="B1292" s="57"/>
      <c r="C1292" s="56"/>
      <c r="D1292" s="56"/>
      <c r="E1292" s="56"/>
      <c r="F1292" s="56"/>
      <c r="G1292" s="56"/>
      <c r="H1292" s="56"/>
      <c r="I1292" s="56"/>
      <c r="J1292" s="56"/>
      <c r="K1292" s="56"/>
      <c r="L1292" s="56"/>
      <c r="M1292" s="56"/>
      <c r="N1292" s="56"/>
      <c r="O1292" s="56"/>
      <c r="P1292" s="56"/>
      <c r="Q1292" s="56"/>
      <c r="R1292" s="56"/>
      <c r="S1292" s="56"/>
      <c r="T1292" s="56"/>
      <c r="U1292" s="56"/>
      <c r="V1292" s="56"/>
      <c r="W1292" s="56"/>
      <c r="X1292" s="5"/>
      <c r="Y1292" s="5"/>
      <c r="Z1292" s="5"/>
    </row>
    <row r="1293">
      <c r="A1293" s="56"/>
      <c r="B1293" s="57"/>
      <c r="C1293" s="56"/>
      <c r="D1293" s="56"/>
      <c r="E1293" s="56"/>
      <c r="F1293" s="56"/>
      <c r="G1293" s="56"/>
      <c r="H1293" s="56"/>
      <c r="I1293" s="56"/>
      <c r="J1293" s="56"/>
      <c r="K1293" s="56"/>
      <c r="L1293" s="56"/>
      <c r="M1293" s="56"/>
      <c r="N1293" s="56"/>
      <c r="O1293" s="56"/>
      <c r="P1293" s="56"/>
      <c r="Q1293" s="56"/>
      <c r="R1293" s="56"/>
      <c r="S1293" s="56"/>
      <c r="T1293" s="56"/>
      <c r="U1293" s="56"/>
      <c r="V1293" s="56"/>
      <c r="W1293" s="56"/>
      <c r="X1293" s="5"/>
      <c r="Y1293" s="5"/>
      <c r="Z1293" s="5"/>
    </row>
    <row r="1294">
      <c r="A1294" s="56"/>
      <c r="B1294" s="57"/>
      <c r="C1294" s="56"/>
      <c r="D1294" s="56"/>
      <c r="E1294" s="56"/>
      <c r="F1294" s="56"/>
      <c r="G1294" s="56"/>
      <c r="H1294" s="56"/>
      <c r="I1294" s="56"/>
      <c r="J1294" s="56"/>
      <c r="K1294" s="56"/>
      <c r="L1294" s="56"/>
      <c r="M1294" s="56"/>
      <c r="N1294" s="56"/>
      <c r="O1294" s="56"/>
      <c r="P1294" s="56"/>
      <c r="Q1294" s="56"/>
      <c r="R1294" s="56"/>
      <c r="S1294" s="56"/>
      <c r="T1294" s="56"/>
      <c r="U1294" s="56"/>
      <c r="V1294" s="56"/>
      <c r="W1294" s="56"/>
      <c r="X1294" s="5"/>
      <c r="Y1294" s="5"/>
      <c r="Z1294" s="5"/>
    </row>
  </sheetData>
  <printOptions gridLines="1" horizontalCentered="1"/>
  <pageMargins bottom="0.25" footer="0.0" header="0.0" left="0.25" right="0.25" top="0.2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4" max="4" width="58.25"/>
  </cols>
  <sheetData>
    <row r="1">
      <c r="A1" s="58" t="s">
        <v>269</v>
      </c>
      <c r="B1" s="59"/>
    </row>
    <row r="2">
      <c r="A2" s="60" t="s">
        <v>226</v>
      </c>
      <c r="B2" s="61" t="s">
        <v>270</v>
      </c>
      <c r="D2" s="62"/>
      <c r="E2" s="63"/>
    </row>
    <row r="3">
      <c r="A3" s="64" t="s">
        <v>271</v>
      </c>
      <c r="B3" s="65">
        <v>437000.0</v>
      </c>
      <c r="D3" s="62"/>
      <c r="E3" s="63"/>
    </row>
    <row r="4">
      <c r="A4" s="64" t="s">
        <v>272</v>
      </c>
      <c r="B4" s="65">
        <v>30000.0</v>
      </c>
      <c r="D4" s="62"/>
      <c r="E4" s="63"/>
    </row>
    <row r="5">
      <c r="A5" s="64" t="s">
        <v>273</v>
      </c>
      <c r="B5" s="66">
        <f>E32</f>
        <v>4951.91</v>
      </c>
      <c r="D5" s="62"/>
      <c r="E5" s="63"/>
    </row>
    <row r="6">
      <c r="A6" s="64" t="s">
        <v>274</v>
      </c>
      <c r="B6" s="66">
        <f>B10*0.03</f>
        <v>14400</v>
      </c>
      <c r="C6" s="62" t="s">
        <v>275</v>
      </c>
      <c r="D6" s="62"/>
      <c r="E6" s="63"/>
    </row>
    <row r="7">
      <c r="A7" s="67"/>
      <c r="B7" s="66"/>
      <c r="D7" s="62"/>
      <c r="E7" s="59"/>
    </row>
    <row r="8">
      <c r="A8" s="68" t="s">
        <v>276</v>
      </c>
      <c r="B8" s="66">
        <f>SUM(B3:B6)</f>
        <v>486351.91</v>
      </c>
      <c r="D8" s="62"/>
      <c r="E8" s="63"/>
    </row>
    <row r="9">
      <c r="A9" s="67"/>
      <c r="B9" s="66"/>
      <c r="D9" s="62"/>
      <c r="E9" s="63"/>
    </row>
    <row r="10">
      <c r="A10" s="68" t="s">
        <v>277</v>
      </c>
      <c r="B10" s="65">
        <v>480000.0</v>
      </c>
      <c r="D10" s="62"/>
      <c r="E10" s="63"/>
    </row>
    <row r="11">
      <c r="A11" s="67"/>
      <c r="B11" s="66"/>
      <c r="D11" s="62"/>
      <c r="E11" s="63"/>
    </row>
    <row r="12">
      <c r="A12" s="64" t="s">
        <v>278</v>
      </c>
      <c r="B12" s="66">
        <f>B10-B8</f>
        <v>-6351.91</v>
      </c>
      <c r="D12" s="62"/>
      <c r="E12" s="63"/>
    </row>
    <row r="13">
      <c r="A13" s="64" t="s">
        <v>279</v>
      </c>
      <c r="B13" s="65">
        <v>-28750.0</v>
      </c>
      <c r="D13" s="62"/>
      <c r="E13" s="59"/>
    </row>
    <row r="14">
      <c r="A14" s="64" t="s">
        <v>280</v>
      </c>
      <c r="B14" s="65">
        <v>-25000.0</v>
      </c>
    </row>
    <row r="15">
      <c r="A15" s="64" t="s">
        <v>281</v>
      </c>
      <c r="B15" s="65">
        <v>-25000.0</v>
      </c>
    </row>
    <row r="16">
      <c r="A16" s="64" t="s">
        <v>282</v>
      </c>
      <c r="B16" s="65">
        <v>-10000.0</v>
      </c>
    </row>
    <row r="17">
      <c r="A17" s="64" t="s">
        <v>283</v>
      </c>
      <c r="B17" s="66">
        <f>'Cost Details'!G135+'Cost Details'!D238</f>
        <v>121796.14</v>
      </c>
    </row>
    <row r="18">
      <c r="A18" s="67"/>
      <c r="B18" s="66"/>
    </row>
    <row r="19">
      <c r="A19" s="64" t="s">
        <v>284</v>
      </c>
      <c r="B19" s="69">
        <f>B17-B12-B13-B14-B15-B16</f>
        <v>216898.05</v>
      </c>
    </row>
    <row r="20">
      <c r="B20" s="59"/>
    </row>
    <row r="21">
      <c r="B21" s="59"/>
      <c r="D21" s="70" t="s">
        <v>273</v>
      </c>
      <c r="E21" s="71"/>
    </row>
    <row r="22">
      <c r="B22" s="59"/>
      <c r="D22" s="64" t="s">
        <v>285</v>
      </c>
      <c r="E22" s="72">
        <v>99.0</v>
      </c>
    </row>
    <row r="23">
      <c r="B23" s="59"/>
      <c r="D23" s="64" t="s">
        <v>286</v>
      </c>
      <c r="E23" s="72">
        <v>150.0</v>
      </c>
    </row>
    <row r="24">
      <c r="B24" s="59"/>
      <c r="D24" s="64" t="s">
        <v>287</v>
      </c>
      <c r="E24" s="72">
        <v>250.0</v>
      </c>
    </row>
    <row r="25">
      <c r="B25" s="59"/>
      <c r="D25" s="64" t="s">
        <v>288</v>
      </c>
      <c r="E25" s="72">
        <v>21.91</v>
      </c>
    </row>
    <row r="26">
      <c r="B26" s="59"/>
      <c r="D26" s="64" t="s">
        <v>289</v>
      </c>
      <c r="E26" s="69"/>
    </row>
    <row r="27">
      <c r="B27" s="59"/>
      <c r="D27" s="64" t="s">
        <v>290</v>
      </c>
      <c r="E27" s="72">
        <v>1604.0</v>
      </c>
    </row>
    <row r="28">
      <c r="B28" s="59"/>
      <c r="D28" s="64" t="s">
        <v>291</v>
      </c>
      <c r="E28" s="72">
        <v>225.0</v>
      </c>
    </row>
    <row r="29">
      <c r="B29" s="59"/>
      <c r="D29" s="64" t="s">
        <v>292</v>
      </c>
      <c r="E29" s="72">
        <v>225.0</v>
      </c>
    </row>
    <row r="30">
      <c r="B30" s="59"/>
      <c r="D30" s="64" t="s">
        <v>293</v>
      </c>
      <c r="E30" s="72">
        <v>577.0</v>
      </c>
    </row>
    <row r="31">
      <c r="B31" s="59"/>
      <c r="D31" s="64" t="s">
        <v>294</v>
      </c>
      <c r="E31" s="72">
        <v>1800.0</v>
      </c>
    </row>
    <row r="32">
      <c r="B32" s="59"/>
      <c r="D32" s="64" t="s">
        <v>215</v>
      </c>
      <c r="E32" s="69">
        <f>SUM(E22:E31)</f>
        <v>4951.91</v>
      </c>
    </row>
    <row r="33">
      <c r="B33" s="59"/>
    </row>
    <row r="34">
      <c r="B34" s="59"/>
    </row>
    <row r="35">
      <c r="B35" s="59"/>
    </row>
    <row r="36">
      <c r="B36" s="59"/>
    </row>
    <row r="37">
      <c r="B37" s="59"/>
    </row>
    <row r="38">
      <c r="B38" s="59"/>
    </row>
    <row r="39">
      <c r="B39" s="59"/>
    </row>
    <row r="40">
      <c r="B40" s="59"/>
    </row>
    <row r="41">
      <c r="B41" s="59"/>
    </row>
    <row r="42">
      <c r="B42" s="59"/>
    </row>
    <row r="43">
      <c r="B43" s="59"/>
    </row>
    <row r="44">
      <c r="B44" s="59"/>
    </row>
    <row r="45">
      <c r="B45" s="59"/>
    </row>
    <row r="46">
      <c r="B46" s="59"/>
    </row>
    <row r="47">
      <c r="B47" s="59"/>
    </row>
    <row r="48">
      <c r="B48" s="59"/>
    </row>
    <row r="49">
      <c r="B49" s="59"/>
    </row>
    <row r="50">
      <c r="B50" s="59"/>
    </row>
    <row r="51">
      <c r="B51" s="59"/>
    </row>
    <row r="52">
      <c r="B52" s="59"/>
    </row>
    <row r="53">
      <c r="B53" s="59"/>
    </row>
    <row r="54">
      <c r="B54" s="59"/>
    </row>
    <row r="55">
      <c r="B55" s="59"/>
    </row>
    <row r="56">
      <c r="B56" s="59"/>
    </row>
    <row r="57">
      <c r="B57" s="59"/>
    </row>
    <row r="58">
      <c r="B58" s="59"/>
    </row>
    <row r="59">
      <c r="B59" s="59"/>
    </row>
    <row r="60">
      <c r="B60" s="59"/>
    </row>
    <row r="61">
      <c r="B61" s="59"/>
    </row>
    <row r="62">
      <c r="B62" s="59"/>
    </row>
    <row r="63">
      <c r="B63" s="59"/>
    </row>
    <row r="64">
      <c r="B64" s="59"/>
    </row>
    <row r="65">
      <c r="B65" s="59"/>
    </row>
    <row r="66">
      <c r="B66" s="59"/>
    </row>
    <row r="67">
      <c r="B67" s="59"/>
    </row>
    <row r="68">
      <c r="B68" s="59"/>
    </row>
    <row r="69">
      <c r="B69" s="59"/>
    </row>
    <row r="70">
      <c r="B70" s="59"/>
    </row>
    <row r="71">
      <c r="B71" s="59"/>
    </row>
    <row r="72">
      <c r="B72" s="59"/>
    </row>
    <row r="73">
      <c r="B73" s="59"/>
    </row>
    <row r="74">
      <c r="B74" s="59"/>
    </row>
    <row r="75">
      <c r="B75" s="59"/>
    </row>
    <row r="76">
      <c r="B76" s="59"/>
    </row>
    <row r="77">
      <c r="B77" s="59"/>
    </row>
    <row r="78">
      <c r="B78" s="59"/>
    </row>
    <row r="79">
      <c r="B79" s="59"/>
    </row>
    <row r="80">
      <c r="B80" s="59"/>
    </row>
    <row r="81">
      <c r="B81" s="59"/>
    </row>
    <row r="82">
      <c r="B82" s="59"/>
    </row>
    <row r="83">
      <c r="B83" s="59"/>
    </row>
    <row r="84">
      <c r="B84" s="59"/>
    </row>
    <row r="85">
      <c r="B85" s="59"/>
    </row>
    <row r="86">
      <c r="B86" s="59"/>
    </row>
    <row r="87">
      <c r="B87" s="59"/>
    </row>
    <row r="88">
      <c r="B88" s="59"/>
    </row>
    <row r="89">
      <c r="B89" s="59"/>
    </row>
    <row r="90">
      <c r="B90" s="59"/>
    </row>
    <row r="91">
      <c r="B91" s="59"/>
    </row>
    <row r="92">
      <c r="B92" s="59"/>
    </row>
    <row r="93">
      <c r="B93" s="59"/>
    </row>
    <row r="94">
      <c r="B94" s="59"/>
    </row>
    <row r="95">
      <c r="B95" s="59"/>
    </row>
    <row r="96">
      <c r="B96" s="59"/>
    </row>
    <row r="97">
      <c r="B97" s="59"/>
    </row>
    <row r="98">
      <c r="B98" s="59"/>
    </row>
    <row r="99">
      <c r="B99" s="59"/>
    </row>
    <row r="100">
      <c r="B100" s="59"/>
    </row>
    <row r="101">
      <c r="B101" s="59"/>
    </row>
    <row r="102">
      <c r="B102" s="59"/>
    </row>
    <row r="103">
      <c r="B103" s="59"/>
    </row>
    <row r="104">
      <c r="B104" s="59"/>
    </row>
    <row r="105">
      <c r="B105" s="59"/>
    </row>
    <row r="106">
      <c r="B106" s="59"/>
    </row>
    <row r="107">
      <c r="B107" s="59"/>
    </row>
    <row r="108">
      <c r="B108" s="59"/>
    </row>
    <row r="109">
      <c r="B109" s="59"/>
    </row>
    <row r="110">
      <c r="B110" s="59"/>
    </row>
    <row r="111">
      <c r="B111" s="59"/>
    </row>
    <row r="112">
      <c r="B112" s="59"/>
    </row>
    <row r="113">
      <c r="B113" s="59"/>
    </row>
    <row r="114">
      <c r="B114" s="59"/>
    </row>
    <row r="115">
      <c r="B115" s="59"/>
    </row>
    <row r="116">
      <c r="B116" s="59"/>
    </row>
    <row r="117">
      <c r="B117" s="59"/>
    </row>
    <row r="118">
      <c r="B118" s="59"/>
    </row>
    <row r="119">
      <c r="B119" s="59"/>
    </row>
    <row r="120">
      <c r="B120" s="59"/>
    </row>
    <row r="121">
      <c r="B121" s="59"/>
    </row>
    <row r="122">
      <c r="B122" s="59"/>
    </row>
    <row r="123">
      <c r="B123" s="59"/>
    </row>
    <row r="124">
      <c r="B124" s="59"/>
    </row>
    <row r="125">
      <c r="B125" s="59"/>
    </row>
    <row r="126">
      <c r="B126" s="59"/>
    </row>
    <row r="127">
      <c r="B127" s="59"/>
    </row>
    <row r="128">
      <c r="B128" s="59"/>
    </row>
    <row r="129">
      <c r="B129" s="59"/>
    </row>
    <row r="130">
      <c r="B130" s="59"/>
    </row>
    <row r="131">
      <c r="B131" s="59"/>
    </row>
    <row r="132">
      <c r="B132" s="59"/>
    </row>
    <row r="133">
      <c r="B133" s="59"/>
    </row>
    <row r="134">
      <c r="B134" s="59"/>
    </row>
    <row r="135">
      <c r="B135" s="59"/>
    </row>
    <row r="136">
      <c r="B136" s="59"/>
    </row>
    <row r="137">
      <c r="B137" s="59"/>
    </row>
    <row r="138">
      <c r="B138" s="59"/>
    </row>
    <row r="139">
      <c r="B139" s="59"/>
    </row>
    <row r="140">
      <c r="B140" s="59"/>
    </row>
    <row r="141">
      <c r="B141" s="59"/>
    </row>
    <row r="142">
      <c r="B142" s="59"/>
    </row>
    <row r="143">
      <c r="B143" s="59"/>
    </row>
    <row r="144">
      <c r="B144" s="59"/>
    </row>
    <row r="145">
      <c r="B145" s="59"/>
    </row>
    <row r="146">
      <c r="B146" s="59"/>
    </row>
    <row r="147">
      <c r="B147" s="59"/>
    </row>
    <row r="148">
      <c r="B148" s="59"/>
    </row>
    <row r="149">
      <c r="B149" s="59"/>
    </row>
    <row r="150">
      <c r="B150" s="59"/>
    </row>
    <row r="151">
      <c r="B151" s="59"/>
    </row>
    <row r="152">
      <c r="B152" s="59"/>
    </row>
    <row r="153">
      <c r="B153" s="59"/>
    </row>
    <row r="154">
      <c r="B154" s="59"/>
    </row>
    <row r="155">
      <c r="B155" s="59"/>
    </row>
    <row r="156">
      <c r="B156" s="59"/>
    </row>
    <row r="157">
      <c r="B157" s="59"/>
    </row>
    <row r="158">
      <c r="B158" s="59"/>
    </row>
    <row r="159">
      <c r="B159" s="59"/>
    </row>
    <row r="160">
      <c r="B160" s="59"/>
    </row>
    <row r="161">
      <c r="B161" s="59"/>
    </row>
    <row r="162">
      <c r="B162" s="59"/>
    </row>
    <row r="163">
      <c r="B163" s="59"/>
    </row>
    <row r="164">
      <c r="B164" s="59"/>
    </row>
    <row r="165">
      <c r="B165" s="59"/>
    </row>
    <row r="166">
      <c r="B166" s="59"/>
    </row>
    <row r="167">
      <c r="B167" s="59"/>
    </row>
    <row r="168">
      <c r="B168" s="59"/>
    </row>
    <row r="169">
      <c r="B169" s="59"/>
    </row>
    <row r="170">
      <c r="B170" s="59"/>
    </row>
    <row r="171">
      <c r="B171" s="59"/>
    </row>
    <row r="172">
      <c r="B172" s="59"/>
    </row>
    <row r="173">
      <c r="B173" s="59"/>
    </row>
    <row r="174">
      <c r="B174" s="59"/>
    </row>
    <row r="175">
      <c r="B175" s="59"/>
    </row>
    <row r="176">
      <c r="B176" s="59"/>
    </row>
    <row r="177">
      <c r="B177" s="59"/>
    </row>
    <row r="178">
      <c r="B178" s="59"/>
    </row>
    <row r="179">
      <c r="B179" s="59"/>
    </row>
    <row r="180">
      <c r="B180" s="59"/>
    </row>
    <row r="181">
      <c r="B181" s="59"/>
    </row>
    <row r="182">
      <c r="B182" s="59"/>
    </row>
    <row r="183">
      <c r="B183" s="59"/>
    </row>
    <row r="184">
      <c r="B184" s="59"/>
    </row>
    <row r="185">
      <c r="B185" s="59"/>
    </row>
    <row r="186">
      <c r="B186" s="59"/>
    </row>
    <row r="187">
      <c r="B187" s="59"/>
    </row>
    <row r="188">
      <c r="B188" s="59"/>
    </row>
    <row r="189">
      <c r="B189" s="59"/>
    </row>
    <row r="190">
      <c r="B190" s="59"/>
    </row>
    <row r="191">
      <c r="B191" s="59"/>
    </row>
    <row r="192">
      <c r="B192" s="59"/>
    </row>
    <row r="193">
      <c r="B193" s="59"/>
    </row>
    <row r="194">
      <c r="B194" s="59"/>
    </row>
    <row r="195">
      <c r="B195" s="59"/>
    </row>
    <row r="196">
      <c r="B196" s="59"/>
    </row>
    <row r="197">
      <c r="B197" s="59"/>
    </row>
    <row r="198">
      <c r="B198" s="59"/>
    </row>
    <row r="199">
      <c r="B199" s="59"/>
    </row>
    <row r="200">
      <c r="B200" s="59"/>
    </row>
    <row r="201">
      <c r="B201" s="59"/>
    </row>
    <row r="202">
      <c r="B202" s="59"/>
    </row>
    <row r="203">
      <c r="B203" s="59"/>
    </row>
    <row r="204">
      <c r="B204" s="59"/>
    </row>
    <row r="205">
      <c r="B205" s="59"/>
    </row>
    <row r="206">
      <c r="B206" s="59"/>
    </row>
    <row r="207">
      <c r="B207" s="59"/>
    </row>
    <row r="208">
      <c r="B208" s="59"/>
    </row>
    <row r="209">
      <c r="B209" s="59"/>
    </row>
    <row r="210">
      <c r="B210" s="59"/>
    </row>
    <row r="211">
      <c r="B211" s="59"/>
    </row>
    <row r="212">
      <c r="B212" s="59"/>
    </row>
    <row r="213">
      <c r="B213" s="59"/>
    </row>
    <row r="214">
      <c r="B214" s="59"/>
    </row>
    <row r="215">
      <c r="B215" s="59"/>
    </row>
    <row r="216">
      <c r="B216" s="59"/>
    </row>
    <row r="217">
      <c r="B217" s="59"/>
    </row>
    <row r="218">
      <c r="B218" s="59"/>
    </row>
    <row r="219">
      <c r="B219" s="59"/>
    </row>
    <row r="220">
      <c r="B220" s="59"/>
    </row>
    <row r="221">
      <c r="B221" s="59"/>
    </row>
    <row r="222">
      <c r="B222" s="59"/>
    </row>
    <row r="223">
      <c r="B223" s="59"/>
    </row>
    <row r="224">
      <c r="B224" s="59"/>
    </row>
    <row r="225">
      <c r="B225" s="59"/>
    </row>
    <row r="226">
      <c r="B226" s="59"/>
    </row>
    <row r="227">
      <c r="B227" s="59"/>
    </row>
    <row r="228">
      <c r="B228" s="59"/>
    </row>
    <row r="229">
      <c r="B229" s="59"/>
    </row>
    <row r="230">
      <c r="B230" s="59"/>
    </row>
    <row r="231">
      <c r="B231" s="59"/>
    </row>
    <row r="232">
      <c r="B232" s="59"/>
    </row>
    <row r="233">
      <c r="B233" s="59"/>
    </row>
    <row r="234">
      <c r="B234" s="59"/>
    </row>
    <row r="235">
      <c r="B235" s="59"/>
    </row>
    <row r="236">
      <c r="B236" s="59"/>
    </row>
    <row r="237">
      <c r="B237" s="59"/>
    </row>
    <row r="238">
      <c r="B238" s="59"/>
    </row>
    <row r="239">
      <c r="B239" s="59"/>
    </row>
    <row r="240">
      <c r="B240" s="59"/>
    </row>
    <row r="241">
      <c r="B241" s="59"/>
    </row>
    <row r="242">
      <c r="B242" s="59"/>
    </row>
    <row r="243">
      <c r="B243" s="59"/>
    </row>
    <row r="244">
      <c r="B244" s="59"/>
    </row>
    <row r="245">
      <c r="B245" s="59"/>
    </row>
    <row r="246">
      <c r="B246" s="59"/>
    </row>
    <row r="247">
      <c r="B247" s="59"/>
    </row>
    <row r="248">
      <c r="B248" s="59"/>
    </row>
    <row r="249">
      <c r="B249" s="59"/>
    </row>
    <row r="250">
      <c r="B250" s="59"/>
    </row>
    <row r="251">
      <c r="B251" s="59"/>
    </row>
    <row r="252">
      <c r="B252" s="59"/>
    </row>
    <row r="253">
      <c r="B253" s="59"/>
    </row>
    <row r="254">
      <c r="B254" s="59"/>
    </row>
    <row r="255">
      <c r="B255" s="59"/>
    </row>
    <row r="256">
      <c r="B256" s="59"/>
    </row>
    <row r="257">
      <c r="B257" s="59"/>
    </row>
    <row r="258">
      <c r="B258" s="59"/>
    </row>
    <row r="259">
      <c r="B259" s="59"/>
    </row>
    <row r="260">
      <c r="B260" s="59"/>
    </row>
    <row r="261">
      <c r="B261" s="59"/>
    </row>
    <row r="262">
      <c r="B262" s="59"/>
    </row>
    <row r="263">
      <c r="B263" s="59"/>
    </row>
    <row r="264">
      <c r="B264" s="59"/>
    </row>
    <row r="265">
      <c r="B265" s="59"/>
    </row>
    <row r="266">
      <c r="B266" s="59"/>
    </row>
    <row r="267">
      <c r="B267" s="59"/>
    </row>
    <row r="268">
      <c r="B268" s="59"/>
    </row>
    <row r="269">
      <c r="B269" s="59"/>
    </row>
    <row r="270">
      <c r="B270" s="59"/>
    </row>
    <row r="271">
      <c r="B271" s="59"/>
    </row>
    <row r="272">
      <c r="B272" s="59"/>
    </row>
    <row r="273">
      <c r="B273" s="59"/>
    </row>
    <row r="274">
      <c r="B274" s="59"/>
    </row>
    <row r="275">
      <c r="B275" s="59"/>
    </row>
    <row r="276">
      <c r="B276" s="59"/>
    </row>
    <row r="277">
      <c r="B277" s="59"/>
    </row>
    <row r="278">
      <c r="B278" s="59"/>
    </row>
    <row r="279">
      <c r="B279" s="59"/>
    </row>
    <row r="280">
      <c r="B280" s="59"/>
    </row>
    <row r="281">
      <c r="B281" s="59"/>
    </row>
    <row r="282">
      <c r="B282" s="59"/>
    </row>
    <row r="283">
      <c r="B283" s="59"/>
    </row>
    <row r="284">
      <c r="B284" s="59"/>
    </row>
    <row r="285">
      <c r="B285" s="59"/>
    </row>
    <row r="286">
      <c r="B286" s="59"/>
    </row>
    <row r="287">
      <c r="B287" s="59"/>
    </row>
    <row r="288">
      <c r="B288" s="59"/>
    </row>
    <row r="289">
      <c r="B289" s="59"/>
    </row>
    <row r="290">
      <c r="B290" s="59"/>
    </row>
    <row r="291">
      <c r="B291" s="59"/>
    </row>
    <row r="292">
      <c r="B292" s="59"/>
    </row>
    <row r="293">
      <c r="B293" s="59"/>
    </row>
    <row r="294">
      <c r="B294" s="59"/>
    </row>
    <row r="295">
      <c r="B295" s="59"/>
    </row>
    <row r="296">
      <c r="B296" s="59"/>
    </row>
    <row r="297">
      <c r="B297" s="59"/>
    </row>
    <row r="298">
      <c r="B298" s="59"/>
    </row>
    <row r="299">
      <c r="B299" s="59"/>
    </row>
    <row r="300">
      <c r="B300" s="59"/>
    </row>
    <row r="301">
      <c r="B301" s="59"/>
    </row>
    <row r="302">
      <c r="B302" s="59"/>
    </row>
    <row r="303">
      <c r="B303" s="59"/>
    </row>
    <row r="304">
      <c r="B304" s="59"/>
    </row>
    <row r="305">
      <c r="B305" s="59"/>
    </row>
    <row r="306">
      <c r="B306" s="59"/>
    </row>
    <row r="307">
      <c r="B307" s="59"/>
    </row>
    <row r="308">
      <c r="B308" s="59"/>
    </row>
    <row r="309">
      <c r="B309" s="59"/>
    </row>
    <row r="310">
      <c r="B310" s="59"/>
    </row>
    <row r="311">
      <c r="B311" s="59"/>
    </row>
    <row r="312">
      <c r="B312" s="59"/>
    </row>
    <row r="313">
      <c r="B313" s="59"/>
    </row>
    <row r="314">
      <c r="B314" s="59"/>
    </row>
    <row r="315">
      <c r="B315" s="59"/>
    </row>
    <row r="316">
      <c r="B316" s="59"/>
    </row>
    <row r="317">
      <c r="B317" s="59"/>
    </row>
    <row r="318">
      <c r="B318" s="59"/>
    </row>
    <row r="319">
      <c r="B319" s="59"/>
    </row>
    <row r="320">
      <c r="B320" s="59"/>
    </row>
    <row r="321">
      <c r="B321" s="59"/>
    </row>
    <row r="322">
      <c r="B322" s="59"/>
    </row>
    <row r="323">
      <c r="B323" s="59"/>
    </row>
    <row r="324">
      <c r="B324" s="59"/>
    </row>
    <row r="325">
      <c r="B325" s="59"/>
    </row>
    <row r="326">
      <c r="B326" s="59"/>
    </row>
    <row r="327">
      <c r="B327" s="59"/>
    </row>
    <row r="328">
      <c r="B328" s="59"/>
    </row>
    <row r="329">
      <c r="B329" s="59"/>
    </row>
    <row r="330">
      <c r="B330" s="59"/>
    </row>
    <row r="331">
      <c r="B331" s="59"/>
    </row>
    <row r="332">
      <c r="B332" s="59"/>
    </row>
    <row r="333">
      <c r="B333" s="59"/>
    </row>
    <row r="334">
      <c r="B334" s="59"/>
    </row>
    <row r="335">
      <c r="B335" s="59"/>
    </row>
    <row r="336">
      <c r="B336" s="59"/>
    </row>
    <row r="337">
      <c r="B337" s="59"/>
    </row>
    <row r="338">
      <c r="B338" s="59"/>
    </row>
    <row r="339">
      <c r="B339" s="59"/>
    </row>
    <row r="340">
      <c r="B340" s="59"/>
    </row>
    <row r="341">
      <c r="B341" s="59"/>
    </row>
    <row r="342">
      <c r="B342" s="59"/>
    </row>
    <row r="343">
      <c r="B343" s="59"/>
    </row>
    <row r="344">
      <c r="B344" s="59"/>
    </row>
    <row r="345">
      <c r="B345" s="59"/>
    </row>
    <row r="346">
      <c r="B346" s="59"/>
    </row>
    <row r="347">
      <c r="B347" s="59"/>
    </row>
    <row r="348">
      <c r="B348" s="59"/>
    </row>
    <row r="349">
      <c r="B349" s="59"/>
    </row>
    <row r="350">
      <c r="B350" s="59"/>
    </row>
    <row r="351">
      <c r="B351" s="59"/>
    </row>
    <row r="352">
      <c r="B352" s="59"/>
    </row>
    <row r="353">
      <c r="B353" s="59"/>
    </row>
    <row r="354">
      <c r="B354" s="59"/>
    </row>
    <row r="355">
      <c r="B355" s="59"/>
    </row>
    <row r="356">
      <c r="B356" s="59"/>
    </row>
    <row r="357">
      <c r="B357" s="59"/>
    </row>
    <row r="358">
      <c r="B358" s="59"/>
    </row>
    <row r="359">
      <c r="B359" s="59"/>
    </row>
    <row r="360">
      <c r="B360" s="59"/>
    </row>
    <row r="361">
      <c r="B361" s="59"/>
    </row>
    <row r="362">
      <c r="B362" s="59"/>
    </row>
    <row r="363">
      <c r="B363" s="59"/>
    </row>
    <row r="364">
      <c r="B364" s="59"/>
    </row>
    <row r="365">
      <c r="B365" s="59"/>
    </row>
    <row r="366">
      <c r="B366" s="59"/>
    </row>
    <row r="367">
      <c r="B367" s="59"/>
    </row>
    <row r="368">
      <c r="B368" s="59"/>
    </row>
    <row r="369">
      <c r="B369" s="59"/>
    </row>
    <row r="370">
      <c r="B370" s="59"/>
    </row>
    <row r="371">
      <c r="B371" s="59"/>
    </row>
    <row r="372">
      <c r="B372" s="59"/>
    </row>
    <row r="373">
      <c r="B373" s="59"/>
    </row>
    <row r="374">
      <c r="B374" s="59"/>
    </row>
    <row r="375">
      <c r="B375" s="59"/>
    </row>
    <row r="376">
      <c r="B376" s="59"/>
    </row>
    <row r="377">
      <c r="B377" s="59"/>
    </row>
    <row r="378">
      <c r="B378" s="59"/>
    </row>
    <row r="379">
      <c r="B379" s="59"/>
    </row>
    <row r="380">
      <c r="B380" s="59"/>
    </row>
    <row r="381">
      <c r="B381" s="59"/>
    </row>
    <row r="382">
      <c r="B382" s="59"/>
    </row>
    <row r="383">
      <c r="B383" s="59"/>
    </row>
    <row r="384">
      <c r="B384" s="59"/>
    </row>
    <row r="385">
      <c r="B385" s="59"/>
    </row>
    <row r="386">
      <c r="B386" s="59"/>
    </row>
    <row r="387">
      <c r="B387" s="59"/>
    </row>
    <row r="388">
      <c r="B388" s="59"/>
    </row>
    <row r="389">
      <c r="B389" s="59"/>
    </row>
    <row r="390">
      <c r="B390" s="59"/>
    </row>
    <row r="391">
      <c r="B391" s="59"/>
    </row>
    <row r="392">
      <c r="B392" s="59"/>
    </row>
    <row r="393">
      <c r="B393" s="59"/>
    </row>
    <row r="394">
      <c r="B394" s="59"/>
    </row>
    <row r="395">
      <c r="B395" s="59"/>
    </row>
    <row r="396">
      <c r="B396" s="59"/>
    </row>
    <row r="397">
      <c r="B397" s="59"/>
    </row>
    <row r="398">
      <c r="B398" s="59"/>
    </row>
    <row r="399">
      <c r="B399" s="59"/>
    </row>
    <row r="400">
      <c r="B400" s="59"/>
    </row>
    <row r="401">
      <c r="B401" s="59"/>
    </row>
    <row r="402">
      <c r="B402" s="59"/>
    </row>
    <row r="403">
      <c r="B403" s="59"/>
    </row>
    <row r="404">
      <c r="B404" s="59"/>
    </row>
    <row r="405">
      <c r="B405" s="59"/>
    </row>
    <row r="406">
      <c r="B406" s="59"/>
    </row>
    <row r="407">
      <c r="B407" s="59"/>
    </row>
    <row r="408">
      <c r="B408" s="59"/>
    </row>
    <row r="409">
      <c r="B409" s="59"/>
    </row>
    <row r="410">
      <c r="B410" s="59"/>
    </row>
    <row r="411">
      <c r="B411" s="59"/>
    </row>
    <row r="412">
      <c r="B412" s="59"/>
    </row>
    <row r="413">
      <c r="B413" s="59"/>
    </row>
    <row r="414">
      <c r="B414" s="59"/>
    </row>
    <row r="415">
      <c r="B415" s="59"/>
    </row>
    <row r="416">
      <c r="B416" s="59"/>
    </row>
    <row r="417">
      <c r="B417" s="59"/>
    </row>
    <row r="418">
      <c r="B418" s="59"/>
    </row>
    <row r="419">
      <c r="B419" s="59"/>
    </row>
    <row r="420">
      <c r="B420" s="59"/>
    </row>
    <row r="421">
      <c r="B421" s="59"/>
    </row>
    <row r="422">
      <c r="B422" s="59"/>
    </row>
    <row r="423">
      <c r="B423" s="59"/>
    </row>
    <row r="424">
      <c r="B424" s="59"/>
    </row>
    <row r="425">
      <c r="B425" s="59"/>
    </row>
    <row r="426">
      <c r="B426" s="59"/>
    </row>
    <row r="427">
      <c r="B427" s="59"/>
    </row>
    <row r="428">
      <c r="B428" s="59"/>
    </row>
    <row r="429">
      <c r="B429" s="59"/>
    </row>
    <row r="430">
      <c r="B430" s="59"/>
    </row>
    <row r="431">
      <c r="B431" s="59"/>
    </row>
    <row r="432">
      <c r="B432" s="59"/>
    </row>
    <row r="433">
      <c r="B433" s="59"/>
    </row>
    <row r="434">
      <c r="B434" s="59"/>
    </row>
    <row r="435">
      <c r="B435" s="59"/>
    </row>
    <row r="436">
      <c r="B436" s="59"/>
    </row>
    <row r="437">
      <c r="B437" s="59"/>
    </row>
    <row r="438">
      <c r="B438" s="59"/>
    </row>
    <row r="439">
      <c r="B439" s="59"/>
    </row>
    <row r="440">
      <c r="B440" s="59"/>
    </row>
    <row r="441">
      <c r="B441" s="59"/>
    </row>
    <row r="442">
      <c r="B442" s="59"/>
    </row>
    <row r="443">
      <c r="B443" s="59"/>
    </row>
    <row r="444">
      <c r="B444" s="59"/>
    </row>
    <row r="445">
      <c r="B445" s="59"/>
    </row>
    <row r="446">
      <c r="B446" s="59"/>
    </row>
    <row r="447">
      <c r="B447" s="59"/>
    </row>
    <row r="448">
      <c r="B448" s="59"/>
    </row>
    <row r="449">
      <c r="B449" s="59"/>
    </row>
    <row r="450">
      <c r="B450" s="59"/>
    </row>
    <row r="451">
      <c r="B451" s="59"/>
    </row>
    <row r="452">
      <c r="B452" s="59"/>
    </row>
    <row r="453">
      <c r="B453" s="59"/>
    </row>
    <row r="454">
      <c r="B454" s="59"/>
    </row>
    <row r="455">
      <c r="B455" s="59"/>
    </row>
    <row r="456">
      <c r="B456" s="59"/>
    </row>
    <row r="457">
      <c r="B457" s="59"/>
    </row>
    <row r="458">
      <c r="B458" s="59"/>
    </row>
    <row r="459">
      <c r="B459" s="59"/>
    </row>
    <row r="460">
      <c r="B460" s="59"/>
    </row>
    <row r="461">
      <c r="B461" s="59"/>
    </row>
    <row r="462">
      <c r="B462" s="59"/>
    </row>
    <row r="463">
      <c r="B463" s="59"/>
    </row>
    <row r="464">
      <c r="B464" s="59"/>
    </row>
    <row r="465">
      <c r="B465" s="59"/>
    </row>
    <row r="466">
      <c r="B466" s="59"/>
    </row>
    <row r="467">
      <c r="B467" s="59"/>
    </row>
    <row r="468">
      <c r="B468" s="59"/>
    </row>
    <row r="469">
      <c r="B469" s="59"/>
    </row>
    <row r="470">
      <c r="B470" s="59"/>
    </row>
    <row r="471">
      <c r="B471" s="59"/>
    </row>
    <row r="472">
      <c r="B472" s="59"/>
    </row>
    <row r="473">
      <c r="B473" s="59"/>
    </row>
    <row r="474">
      <c r="B474" s="59"/>
    </row>
    <row r="475">
      <c r="B475" s="59"/>
    </row>
    <row r="476">
      <c r="B476" s="59"/>
    </row>
    <row r="477">
      <c r="B477" s="59"/>
    </row>
    <row r="478">
      <c r="B478" s="59"/>
    </row>
    <row r="479">
      <c r="B479" s="59"/>
    </row>
    <row r="480">
      <c r="B480" s="59"/>
    </row>
    <row r="481">
      <c r="B481" s="59"/>
    </row>
    <row r="482">
      <c r="B482" s="59"/>
    </row>
    <row r="483">
      <c r="B483" s="59"/>
    </row>
    <row r="484">
      <c r="B484" s="59"/>
    </row>
    <row r="485">
      <c r="B485" s="59"/>
    </row>
    <row r="486">
      <c r="B486" s="59"/>
    </row>
    <row r="487">
      <c r="B487" s="59"/>
    </row>
    <row r="488">
      <c r="B488" s="59"/>
    </row>
    <row r="489">
      <c r="B489" s="59"/>
    </row>
    <row r="490">
      <c r="B490" s="59"/>
    </row>
    <row r="491">
      <c r="B491" s="59"/>
    </row>
    <row r="492">
      <c r="B492" s="59"/>
    </row>
    <row r="493">
      <c r="B493" s="59"/>
    </row>
    <row r="494">
      <c r="B494" s="59"/>
    </row>
    <row r="495">
      <c r="B495" s="59"/>
    </row>
    <row r="496">
      <c r="B496" s="59"/>
    </row>
    <row r="497">
      <c r="B497" s="59"/>
    </row>
    <row r="498">
      <c r="B498" s="59"/>
    </row>
    <row r="499">
      <c r="B499" s="59"/>
    </row>
    <row r="500">
      <c r="B500" s="59"/>
    </row>
    <row r="501">
      <c r="B501" s="59"/>
    </row>
    <row r="502">
      <c r="B502" s="59"/>
    </row>
    <row r="503">
      <c r="B503" s="59"/>
    </row>
    <row r="504">
      <c r="B504" s="59"/>
    </row>
    <row r="505">
      <c r="B505" s="59"/>
    </row>
    <row r="506">
      <c r="B506" s="59"/>
    </row>
    <row r="507">
      <c r="B507" s="59"/>
    </row>
    <row r="508">
      <c r="B508" s="59"/>
    </row>
    <row r="509">
      <c r="B509" s="59"/>
    </row>
    <row r="510">
      <c r="B510" s="59"/>
    </row>
    <row r="511">
      <c r="B511" s="59"/>
    </row>
    <row r="512">
      <c r="B512" s="59"/>
    </row>
    <row r="513">
      <c r="B513" s="59"/>
    </row>
    <row r="514">
      <c r="B514" s="59"/>
    </row>
    <row r="515">
      <c r="B515" s="59"/>
    </row>
    <row r="516">
      <c r="B516" s="59"/>
    </row>
    <row r="517">
      <c r="B517" s="59"/>
    </row>
    <row r="518">
      <c r="B518" s="59"/>
    </row>
    <row r="519">
      <c r="B519" s="59"/>
    </row>
    <row r="520">
      <c r="B520" s="59"/>
    </row>
    <row r="521">
      <c r="B521" s="59"/>
    </row>
    <row r="522">
      <c r="B522" s="59"/>
    </row>
    <row r="523">
      <c r="B523" s="59"/>
    </row>
    <row r="524">
      <c r="B524" s="59"/>
    </row>
    <row r="525">
      <c r="B525" s="59"/>
    </row>
    <row r="526">
      <c r="B526" s="59"/>
    </row>
    <row r="527">
      <c r="B527" s="59"/>
    </row>
    <row r="528">
      <c r="B528" s="59"/>
    </row>
    <row r="529">
      <c r="B529" s="59"/>
    </row>
    <row r="530">
      <c r="B530" s="59"/>
    </row>
    <row r="531">
      <c r="B531" s="59"/>
    </row>
    <row r="532">
      <c r="B532" s="59"/>
    </row>
    <row r="533">
      <c r="B533" s="59"/>
    </row>
    <row r="534">
      <c r="B534" s="59"/>
    </row>
    <row r="535">
      <c r="B535" s="59"/>
    </row>
    <row r="536">
      <c r="B536" s="59"/>
    </row>
    <row r="537">
      <c r="B537" s="59"/>
    </row>
    <row r="538">
      <c r="B538" s="59"/>
    </row>
    <row r="539">
      <c r="B539" s="59"/>
    </row>
    <row r="540">
      <c r="B540" s="59"/>
    </row>
    <row r="541">
      <c r="B541" s="59"/>
    </row>
    <row r="542">
      <c r="B542" s="59"/>
    </row>
    <row r="543">
      <c r="B543" s="59"/>
    </row>
    <row r="544">
      <c r="B544" s="59"/>
    </row>
    <row r="545">
      <c r="B545" s="59"/>
    </row>
    <row r="546">
      <c r="B546" s="59"/>
    </row>
    <row r="547">
      <c r="B547" s="59"/>
    </row>
    <row r="548">
      <c r="B548" s="59"/>
    </row>
    <row r="549">
      <c r="B549" s="59"/>
    </row>
    <row r="550">
      <c r="B550" s="59"/>
    </row>
    <row r="551">
      <c r="B551" s="59"/>
    </row>
    <row r="552">
      <c r="B552" s="59"/>
    </row>
    <row r="553">
      <c r="B553" s="59"/>
    </row>
    <row r="554">
      <c r="B554" s="59"/>
    </row>
    <row r="555">
      <c r="B555" s="59"/>
    </row>
    <row r="556">
      <c r="B556" s="59"/>
    </row>
    <row r="557">
      <c r="B557" s="59"/>
    </row>
    <row r="558">
      <c r="B558" s="59"/>
    </row>
    <row r="559">
      <c r="B559" s="59"/>
    </row>
    <row r="560">
      <c r="B560" s="59"/>
    </row>
    <row r="561">
      <c r="B561" s="59"/>
    </row>
    <row r="562">
      <c r="B562" s="59"/>
    </row>
    <row r="563">
      <c r="B563" s="59"/>
    </row>
    <row r="564">
      <c r="B564" s="59"/>
    </row>
    <row r="565">
      <c r="B565" s="59"/>
    </row>
    <row r="566">
      <c r="B566" s="59"/>
    </row>
    <row r="567">
      <c r="B567" s="59"/>
    </row>
    <row r="568">
      <c r="B568" s="59"/>
    </row>
    <row r="569">
      <c r="B569" s="59"/>
    </row>
    <row r="570">
      <c r="B570" s="59"/>
    </row>
    <row r="571">
      <c r="B571" s="59"/>
    </row>
    <row r="572">
      <c r="B572" s="59"/>
    </row>
    <row r="573">
      <c r="B573" s="59"/>
    </row>
    <row r="574">
      <c r="B574" s="59"/>
    </row>
    <row r="575">
      <c r="B575" s="59"/>
    </row>
    <row r="576">
      <c r="B576" s="59"/>
    </row>
    <row r="577">
      <c r="B577" s="59"/>
    </row>
    <row r="578">
      <c r="B578" s="59"/>
    </row>
    <row r="579">
      <c r="B579" s="59"/>
    </row>
    <row r="580">
      <c r="B580" s="59"/>
    </row>
    <row r="581">
      <c r="B581" s="59"/>
    </row>
    <row r="582">
      <c r="B582" s="59"/>
    </row>
    <row r="583">
      <c r="B583" s="59"/>
    </row>
    <row r="584">
      <c r="B584" s="59"/>
    </row>
    <row r="585">
      <c r="B585" s="59"/>
    </row>
    <row r="586">
      <c r="B586" s="59"/>
    </row>
    <row r="587">
      <c r="B587" s="59"/>
    </row>
    <row r="588">
      <c r="B588" s="59"/>
    </row>
    <row r="589">
      <c r="B589" s="59"/>
    </row>
    <row r="590">
      <c r="B590" s="59"/>
    </row>
    <row r="591">
      <c r="B591" s="59"/>
    </row>
    <row r="592">
      <c r="B592" s="59"/>
    </row>
    <row r="593">
      <c r="B593" s="59"/>
    </row>
    <row r="594">
      <c r="B594" s="59"/>
    </row>
    <row r="595">
      <c r="B595" s="59"/>
    </row>
    <row r="596">
      <c r="B596" s="59"/>
    </row>
    <row r="597">
      <c r="B597" s="59"/>
    </row>
    <row r="598">
      <c r="B598" s="59"/>
    </row>
    <row r="599">
      <c r="B599" s="59"/>
    </row>
    <row r="600">
      <c r="B600" s="59"/>
    </row>
    <row r="601">
      <c r="B601" s="59"/>
    </row>
    <row r="602">
      <c r="B602" s="59"/>
    </row>
    <row r="603">
      <c r="B603" s="59"/>
    </row>
    <row r="604">
      <c r="B604" s="59"/>
    </row>
    <row r="605">
      <c r="B605" s="59"/>
    </row>
    <row r="606">
      <c r="B606" s="59"/>
    </row>
    <row r="607">
      <c r="B607" s="59"/>
    </row>
    <row r="608">
      <c r="B608" s="59"/>
    </row>
    <row r="609">
      <c r="B609" s="59"/>
    </row>
    <row r="610">
      <c r="B610" s="59"/>
    </row>
    <row r="611">
      <c r="B611" s="59"/>
    </row>
    <row r="612">
      <c r="B612" s="59"/>
    </row>
    <row r="613">
      <c r="B613" s="59"/>
    </row>
    <row r="614">
      <c r="B614" s="59"/>
    </row>
    <row r="615">
      <c r="B615" s="59"/>
    </row>
    <row r="616">
      <c r="B616" s="59"/>
    </row>
    <row r="617">
      <c r="B617" s="59"/>
    </row>
    <row r="618">
      <c r="B618" s="59"/>
    </row>
    <row r="619">
      <c r="B619" s="59"/>
    </row>
    <row r="620">
      <c r="B620" s="59"/>
    </row>
    <row r="621">
      <c r="B621" s="59"/>
    </row>
    <row r="622">
      <c r="B622" s="59"/>
    </row>
    <row r="623">
      <c r="B623" s="59"/>
    </row>
    <row r="624">
      <c r="B624" s="59"/>
    </row>
    <row r="625">
      <c r="B625" s="59"/>
    </row>
    <row r="626">
      <c r="B626" s="59"/>
    </row>
    <row r="627">
      <c r="B627" s="59"/>
    </row>
    <row r="628">
      <c r="B628" s="59"/>
    </row>
    <row r="629">
      <c r="B629" s="59"/>
    </row>
    <row r="630">
      <c r="B630" s="59"/>
    </row>
    <row r="631">
      <c r="B631" s="59"/>
    </row>
    <row r="632">
      <c r="B632" s="59"/>
    </row>
    <row r="633">
      <c r="B633" s="59"/>
    </row>
    <row r="634">
      <c r="B634" s="59"/>
    </row>
    <row r="635">
      <c r="B635" s="59"/>
    </row>
    <row r="636">
      <c r="B636" s="59"/>
    </row>
    <row r="637">
      <c r="B637" s="59"/>
    </row>
    <row r="638">
      <c r="B638" s="59"/>
    </row>
    <row r="639">
      <c r="B639" s="59"/>
    </row>
    <row r="640">
      <c r="B640" s="59"/>
    </row>
    <row r="641">
      <c r="B641" s="59"/>
    </row>
    <row r="642">
      <c r="B642" s="59"/>
    </row>
    <row r="643">
      <c r="B643" s="59"/>
    </row>
    <row r="644">
      <c r="B644" s="59"/>
    </row>
    <row r="645">
      <c r="B645" s="59"/>
    </row>
    <row r="646">
      <c r="B646" s="59"/>
    </row>
    <row r="647">
      <c r="B647" s="59"/>
    </row>
    <row r="648">
      <c r="B648" s="59"/>
    </row>
    <row r="649">
      <c r="B649" s="59"/>
    </row>
    <row r="650">
      <c r="B650" s="59"/>
    </row>
    <row r="651">
      <c r="B651" s="59"/>
    </row>
    <row r="652">
      <c r="B652" s="59"/>
    </row>
    <row r="653">
      <c r="B653" s="59"/>
    </row>
    <row r="654">
      <c r="B654" s="59"/>
    </row>
    <row r="655">
      <c r="B655" s="59"/>
    </row>
    <row r="656">
      <c r="B656" s="59"/>
    </row>
    <row r="657">
      <c r="B657" s="59"/>
    </row>
    <row r="658">
      <c r="B658" s="59"/>
    </row>
    <row r="659">
      <c r="B659" s="59"/>
    </row>
    <row r="660">
      <c r="B660" s="59"/>
    </row>
    <row r="661">
      <c r="B661" s="59"/>
    </row>
    <row r="662">
      <c r="B662" s="59"/>
    </row>
    <row r="663">
      <c r="B663" s="59"/>
    </row>
    <row r="664">
      <c r="B664" s="59"/>
    </row>
    <row r="665">
      <c r="B665" s="59"/>
    </row>
    <row r="666">
      <c r="B666" s="59"/>
    </row>
    <row r="667">
      <c r="B667" s="59"/>
    </row>
    <row r="668">
      <c r="B668" s="59"/>
    </row>
    <row r="669">
      <c r="B669" s="59"/>
    </row>
    <row r="670">
      <c r="B670" s="59"/>
    </row>
    <row r="671">
      <c r="B671" s="59"/>
    </row>
    <row r="672">
      <c r="B672" s="59"/>
    </row>
    <row r="673">
      <c r="B673" s="59"/>
    </row>
    <row r="674">
      <c r="B674" s="59"/>
    </row>
    <row r="675">
      <c r="B675" s="59"/>
    </row>
    <row r="676">
      <c r="B676" s="59"/>
    </row>
    <row r="677">
      <c r="B677" s="59"/>
    </row>
    <row r="678">
      <c r="B678" s="59"/>
    </row>
    <row r="679">
      <c r="B679" s="59"/>
    </row>
    <row r="680">
      <c r="B680" s="59"/>
    </row>
    <row r="681">
      <c r="B681" s="59"/>
    </row>
    <row r="682">
      <c r="B682" s="59"/>
    </row>
    <row r="683">
      <c r="B683" s="59"/>
    </row>
    <row r="684">
      <c r="B684" s="59"/>
    </row>
    <row r="685">
      <c r="B685" s="59"/>
    </row>
    <row r="686">
      <c r="B686" s="59"/>
    </row>
    <row r="687">
      <c r="B687" s="59"/>
    </row>
    <row r="688">
      <c r="B688" s="59"/>
    </row>
    <row r="689">
      <c r="B689" s="59"/>
    </row>
    <row r="690">
      <c r="B690" s="59"/>
    </row>
    <row r="691">
      <c r="B691" s="59"/>
    </row>
    <row r="692">
      <c r="B692" s="59"/>
    </row>
    <row r="693">
      <c r="B693" s="59"/>
    </row>
    <row r="694">
      <c r="B694" s="59"/>
    </row>
    <row r="695">
      <c r="B695" s="59"/>
    </row>
    <row r="696">
      <c r="B696" s="59"/>
    </row>
    <row r="697">
      <c r="B697" s="59"/>
    </row>
    <row r="698">
      <c r="B698" s="59"/>
    </row>
    <row r="699">
      <c r="B699" s="59"/>
    </row>
    <row r="700">
      <c r="B700" s="59"/>
    </row>
    <row r="701">
      <c r="B701" s="59"/>
    </row>
    <row r="702">
      <c r="B702" s="59"/>
    </row>
    <row r="703">
      <c r="B703" s="59"/>
    </row>
    <row r="704">
      <c r="B704" s="59"/>
    </row>
    <row r="705">
      <c r="B705" s="59"/>
    </row>
    <row r="706">
      <c r="B706" s="59"/>
    </row>
    <row r="707">
      <c r="B707" s="59"/>
    </row>
    <row r="708">
      <c r="B708" s="59"/>
    </row>
    <row r="709">
      <c r="B709" s="59"/>
    </row>
    <row r="710">
      <c r="B710" s="59"/>
    </row>
    <row r="711">
      <c r="B711" s="59"/>
    </row>
    <row r="712">
      <c r="B712" s="59"/>
    </row>
    <row r="713">
      <c r="B713" s="59"/>
    </row>
    <row r="714">
      <c r="B714" s="59"/>
    </row>
    <row r="715">
      <c r="B715" s="59"/>
    </row>
    <row r="716">
      <c r="B716" s="59"/>
    </row>
    <row r="717">
      <c r="B717" s="59"/>
    </row>
    <row r="718">
      <c r="B718" s="59"/>
    </row>
    <row r="719">
      <c r="B719" s="59"/>
    </row>
    <row r="720">
      <c r="B720" s="59"/>
    </row>
    <row r="721">
      <c r="B721" s="59"/>
    </row>
    <row r="722">
      <c r="B722" s="59"/>
    </row>
    <row r="723">
      <c r="B723" s="59"/>
    </row>
    <row r="724">
      <c r="B724" s="59"/>
    </row>
    <row r="725">
      <c r="B725" s="59"/>
    </row>
    <row r="726">
      <c r="B726" s="59"/>
    </row>
    <row r="727">
      <c r="B727" s="59"/>
    </row>
    <row r="728">
      <c r="B728" s="59"/>
    </row>
    <row r="729">
      <c r="B729" s="59"/>
    </row>
    <row r="730">
      <c r="B730" s="59"/>
    </row>
    <row r="731">
      <c r="B731" s="59"/>
    </row>
    <row r="732">
      <c r="B732" s="59"/>
    </row>
    <row r="733">
      <c r="B733" s="59"/>
    </row>
    <row r="734">
      <c r="B734" s="59"/>
    </row>
    <row r="735">
      <c r="B735" s="59"/>
    </row>
    <row r="736">
      <c r="B736" s="59"/>
    </row>
    <row r="737">
      <c r="B737" s="59"/>
    </row>
    <row r="738">
      <c r="B738" s="59"/>
    </row>
    <row r="739">
      <c r="B739" s="59"/>
    </row>
    <row r="740">
      <c r="B740" s="59"/>
    </row>
    <row r="741">
      <c r="B741" s="59"/>
    </row>
    <row r="742">
      <c r="B742" s="59"/>
    </row>
    <row r="743">
      <c r="B743" s="59"/>
    </row>
    <row r="744">
      <c r="B744" s="59"/>
    </row>
    <row r="745">
      <c r="B745" s="59"/>
    </row>
    <row r="746">
      <c r="B746" s="59"/>
    </row>
    <row r="747">
      <c r="B747" s="59"/>
    </row>
    <row r="748">
      <c r="B748" s="59"/>
    </row>
    <row r="749">
      <c r="B749" s="59"/>
    </row>
    <row r="750">
      <c r="B750" s="59"/>
    </row>
    <row r="751">
      <c r="B751" s="59"/>
    </row>
    <row r="752">
      <c r="B752" s="59"/>
    </row>
    <row r="753">
      <c r="B753" s="59"/>
    </row>
    <row r="754">
      <c r="B754" s="59"/>
    </row>
    <row r="755">
      <c r="B755" s="59"/>
    </row>
    <row r="756">
      <c r="B756" s="59"/>
    </row>
    <row r="757">
      <c r="B757" s="59"/>
    </row>
    <row r="758">
      <c r="B758" s="59"/>
    </row>
    <row r="759">
      <c r="B759" s="59"/>
    </row>
    <row r="760">
      <c r="B760" s="59"/>
    </row>
    <row r="761">
      <c r="B761" s="59"/>
    </row>
    <row r="762">
      <c r="B762" s="59"/>
    </row>
    <row r="763">
      <c r="B763" s="59"/>
    </row>
    <row r="764">
      <c r="B764" s="59"/>
    </row>
    <row r="765">
      <c r="B765" s="59"/>
    </row>
    <row r="766">
      <c r="B766" s="59"/>
    </row>
    <row r="767">
      <c r="B767" s="59"/>
    </row>
    <row r="768">
      <c r="B768" s="59"/>
    </row>
    <row r="769">
      <c r="B769" s="59"/>
    </row>
    <row r="770">
      <c r="B770" s="59"/>
    </row>
    <row r="771">
      <c r="B771" s="59"/>
    </row>
    <row r="772">
      <c r="B772" s="59"/>
    </row>
    <row r="773">
      <c r="B773" s="59"/>
    </row>
    <row r="774">
      <c r="B774" s="59"/>
    </row>
    <row r="775">
      <c r="B775" s="59"/>
    </row>
    <row r="776">
      <c r="B776" s="59"/>
    </row>
    <row r="777">
      <c r="B777" s="59"/>
    </row>
    <row r="778">
      <c r="B778" s="59"/>
    </row>
    <row r="779">
      <c r="B779" s="59"/>
    </row>
    <row r="780">
      <c r="B780" s="59"/>
    </row>
    <row r="781">
      <c r="B781" s="59"/>
    </row>
    <row r="782">
      <c r="B782" s="59"/>
    </row>
    <row r="783">
      <c r="B783" s="59"/>
    </row>
    <row r="784">
      <c r="B784" s="59"/>
    </row>
    <row r="785">
      <c r="B785" s="59"/>
    </row>
    <row r="786">
      <c r="B786" s="59"/>
    </row>
    <row r="787">
      <c r="B787" s="59"/>
    </row>
    <row r="788">
      <c r="B788" s="59"/>
    </row>
    <row r="789">
      <c r="B789" s="59"/>
    </row>
    <row r="790">
      <c r="B790" s="59"/>
    </row>
    <row r="791">
      <c r="B791" s="59"/>
    </row>
    <row r="792">
      <c r="B792" s="59"/>
    </row>
    <row r="793">
      <c r="B793" s="59"/>
    </row>
    <row r="794">
      <c r="B794" s="59"/>
    </row>
    <row r="795">
      <c r="B795" s="59"/>
    </row>
    <row r="796">
      <c r="B796" s="59"/>
    </row>
    <row r="797">
      <c r="B797" s="59"/>
    </row>
    <row r="798">
      <c r="B798" s="59"/>
    </row>
    <row r="799">
      <c r="B799" s="59"/>
    </row>
    <row r="800">
      <c r="B800" s="59"/>
    </row>
    <row r="801">
      <c r="B801" s="59"/>
    </row>
    <row r="802">
      <c r="B802" s="59"/>
    </row>
    <row r="803">
      <c r="B803" s="59"/>
    </row>
    <row r="804">
      <c r="B804" s="59"/>
    </row>
    <row r="805">
      <c r="B805" s="59"/>
    </row>
    <row r="806">
      <c r="B806" s="59"/>
    </row>
    <row r="807">
      <c r="B807" s="59"/>
    </row>
    <row r="808">
      <c r="B808" s="59"/>
    </row>
    <row r="809">
      <c r="B809" s="59"/>
    </row>
    <row r="810">
      <c r="B810" s="59"/>
    </row>
    <row r="811">
      <c r="B811" s="59"/>
    </row>
    <row r="812">
      <c r="B812" s="59"/>
    </row>
    <row r="813">
      <c r="B813" s="59"/>
    </row>
    <row r="814">
      <c r="B814" s="59"/>
    </row>
    <row r="815">
      <c r="B815" s="59"/>
    </row>
    <row r="816">
      <c r="B816" s="59"/>
    </row>
    <row r="817">
      <c r="B817" s="59"/>
    </row>
    <row r="818">
      <c r="B818" s="59"/>
    </row>
    <row r="819">
      <c r="B819" s="59"/>
    </row>
    <row r="820">
      <c r="B820" s="59"/>
    </row>
    <row r="821">
      <c r="B821" s="59"/>
    </row>
    <row r="822">
      <c r="B822" s="59"/>
    </row>
    <row r="823">
      <c r="B823" s="59"/>
    </row>
    <row r="824">
      <c r="B824" s="59"/>
    </row>
    <row r="825">
      <c r="B825" s="59"/>
    </row>
    <row r="826">
      <c r="B826" s="59"/>
    </row>
    <row r="827">
      <c r="B827" s="59"/>
    </row>
    <row r="828">
      <c r="B828" s="59"/>
    </row>
    <row r="829">
      <c r="B829" s="59"/>
    </row>
    <row r="830">
      <c r="B830" s="59"/>
    </row>
    <row r="831">
      <c r="B831" s="59"/>
    </row>
    <row r="832">
      <c r="B832" s="59"/>
    </row>
    <row r="833">
      <c r="B833" s="59"/>
    </row>
    <row r="834">
      <c r="B834" s="59"/>
    </row>
    <row r="835">
      <c r="B835" s="59"/>
    </row>
    <row r="836">
      <c r="B836" s="59"/>
    </row>
    <row r="837">
      <c r="B837" s="59"/>
    </row>
    <row r="838">
      <c r="B838" s="59"/>
    </row>
    <row r="839">
      <c r="B839" s="59"/>
    </row>
    <row r="840">
      <c r="B840" s="59"/>
    </row>
    <row r="841">
      <c r="B841" s="59"/>
    </row>
    <row r="842">
      <c r="B842" s="59"/>
    </row>
    <row r="843">
      <c r="B843" s="59"/>
    </row>
    <row r="844">
      <c r="B844" s="59"/>
    </row>
    <row r="845">
      <c r="B845" s="59"/>
    </row>
    <row r="846">
      <c r="B846" s="59"/>
    </row>
    <row r="847">
      <c r="B847" s="59"/>
    </row>
    <row r="848">
      <c r="B848" s="59"/>
    </row>
    <row r="849">
      <c r="B849" s="59"/>
    </row>
    <row r="850">
      <c r="B850" s="59"/>
    </row>
    <row r="851">
      <c r="B851" s="59"/>
    </row>
    <row r="852">
      <c r="B852" s="59"/>
    </row>
    <row r="853">
      <c r="B853" s="59"/>
    </row>
    <row r="854">
      <c r="B854" s="59"/>
    </row>
    <row r="855">
      <c r="B855" s="59"/>
    </row>
    <row r="856">
      <c r="B856" s="59"/>
    </row>
    <row r="857">
      <c r="B857" s="59"/>
    </row>
    <row r="858">
      <c r="B858" s="59"/>
    </row>
    <row r="859">
      <c r="B859" s="59"/>
    </row>
    <row r="860">
      <c r="B860" s="59"/>
    </row>
    <row r="861">
      <c r="B861" s="59"/>
    </row>
    <row r="862">
      <c r="B862" s="59"/>
    </row>
    <row r="863">
      <c r="B863" s="59"/>
    </row>
    <row r="864">
      <c r="B864" s="59"/>
    </row>
    <row r="865">
      <c r="B865" s="59"/>
    </row>
    <row r="866">
      <c r="B866" s="59"/>
    </row>
    <row r="867">
      <c r="B867" s="59"/>
    </row>
    <row r="868">
      <c r="B868" s="59"/>
    </row>
    <row r="869">
      <c r="B869" s="59"/>
    </row>
    <row r="870">
      <c r="B870" s="59"/>
    </row>
    <row r="871">
      <c r="B871" s="59"/>
    </row>
    <row r="872">
      <c r="B872" s="59"/>
    </row>
    <row r="873">
      <c r="B873" s="59"/>
    </row>
    <row r="874">
      <c r="B874" s="59"/>
    </row>
    <row r="875">
      <c r="B875" s="59"/>
    </row>
    <row r="876">
      <c r="B876" s="59"/>
    </row>
    <row r="877">
      <c r="B877" s="59"/>
    </row>
    <row r="878">
      <c r="B878" s="59"/>
    </row>
    <row r="879">
      <c r="B879" s="59"/>
    </row>
    <row r="880">
      <c r="B880" s="59"/>
    </row>
    <row r="881">
      <c r="B881" s="59"/>
    </row>
    <row r="882">
      <c r="B882" s="59"/>
    </row>
    <row r="883">
      <c r="B883" s="59"/>
    </row>
    <row r="884">
      <c r="B884" s="59"/>
    </row>
    <row r="885">
      <c r="B885" s="59"/>
    </row>
    <row r="886">
      <c r="B886" s="59"/>
    </row>
    <row r="887">
      <c r="B887" s="59"/>
    </row>
    <row r="888">
      <c r="B888" s="59"/>
    </row>
    <row r="889">
      <c r="B889" s="59"/>
    </row>
    <row r="890">
      <c r="B890" s="59"/>
    </row>
    <row r="891">
      <c r="B891" s="59"/>
    </row>
    <row r="892">
      <c r="B892" s="59"/>
    </row>
    <row r="893">
      <c r="B893" s="59"/>
    </row>
    <row r="894">
      <c r="B894" s="59"/>
    </row>
    <row r="895">
      <c r="B895" s="59"/>
    </row>
    <row r="896">
      <c r="B896" s="59"/>
    </row>
    <row r="897">
      <c r="B897" s="59"/>
    </row>
    <row r="898">
      <c r="B898" s="59"/>
    </row>
    <row r="899">
      <c r="B899" s="59"/>
    </row>
    <row r="900">
      <c r="B900" s="59"/>
    </row>
    <row r="901">
      <c r="B901" s="59"/>
    </row>
    <row r="902">
      <c r="B902" s="59"/>
    </row>
    <row r="903">
      <c r="B903" s="59"/>
    </row>
    <row r="904">
      <c r="B904" s="59"/>
    </row>
    <row r="905">
      <c r="B905" s="59"/>
    </row>
    <row r="906">
      <c r="B906" s="59"/>
    </row>
    <row r="907">
      <c r="B907" s="59"/>
    </row>
    <row r="908">
      <c r="B908" s="59"/>
    </row>
    <row r="909">
      <c r="B909" s="59"/>
    </row>
    <row r="910">
      <c r="B910" s="59"/>
    </row>
    <row r="911">
      <c r="B911" s="59"/>
    </row>
    <row r="912">
      <c r="B912" s="59"/>
    </row>
    <row r="913">
      <c r="B913" s="59"/>
    </row>
    <row r="914">
      <c r="B914" s="59"/>
    </row>
    <row r="915">
      <c r="B915" s="59"/>
    </row>
    <row r="916">
      <c r="B916" s="59"/>
    </row>
    <row r="917">
      <c r="B917" s="59"/>
    </row>
    <row r="918">
      <c r="B918" s="59"/>
    </row>
    <row r="919">
      <c r="B919" s="59"/>
    </row>
    <row r="920">
      <c r="B920" s="59"/>
    </row>
    <row r="921">
      <c r="B921" s="59"/>
    </row>
    <row r="922">
      <c r="B922" s="59"/>
    </row>
    <row r="923">
      <c r="B923" s="59"/>
    </row>
    <row r="924">
      <c r="B924" s="59"/>
    </row>
    <row r="925">
      <c r="B925" s="59"/>
    </row>
    <row r="926">
      <c r="B926" s="59"/>
    </row>
    <row r="927">
      <c r="B927" s="59"/>
    </row>
    <row r="928">
      <c r="B928" s="59"/>
    </row>
    <row r="929">
      <c r="B929" s="59"/>
    </row>
    <row r="930">
      <c r="B930" s="59"/>
    </row>
    <row r="931">
      <c r="B931" s="59"/>
    </row>
    <row r="932">
      <c r="B932" s="59"/>
    </row>
    <row r="933">
      <c r="B933" s="59"/>
    </row>
    <row r="934">
      <c r="B934" s="59"/>
    </row>
    <row r="935">
      <c r="B935" s="59"/>
    </row>
    <row r="936">
      <c r="B936" s="59"/>
    </row>
    <row r="937">
      <c r="B937" s="59"/>
    </row>
    <row r="938">
      <c r="B938" s="59"/>
    </row>
    <row r="939">
      <c r="B939" s="59"/>
    </row>
    <row r="940">
      <c r="B940" s="59"/>
    </row>
    <row r="941">
      <c r="B941" s="59"/>
    </row>
    <row r="942">
      <c r="B942" s="59"/>
    </row>
    <row r="943">
      <c r="B943" s="59"/>
    </row>
    <row r="944">
      <c r="B944" s="59"/>
    </row>
    <row r="945">
      <c r="B945" s="59"/>
    </row>
    <row r="946">
      <c r="B946" s="59"/>
    </row>
    <row r="947">
      <c r="B947" s="59"/>
    </row>
    <row r="948">
      <c r="B948" s="59"/>
    </row>
    <row r="949">
      <c r="B949" s="59"/>
    </row>
    <row r="950">
      <c r="B950" s="59"/>
    </row>
    <row r="951">
      <c r="B951" s="59"/>
    </row>
    <row r="952">
      <c r="B952" s="59"/>
    </row>
    <row r="953">
      <c r="B953" s="59"/>
    </row>
    <row r="954">
      <c r="B954" s="59"/>
    </row>
    <row r="955">
      <c r="B955" s="59"/>
    </row>
    <row r="956">
      <c r="B956" s="59"/>
    </row>
    <row r="957">
      <c r="B957" s="59"/>
    </row>
    <row r="958">
      <c r="B958" s="59"/>
    </row>
    <row r="959">
      <c r="B959" s="59"/>
    </row>
    <row r="960">
      <c r="B960" s="59"/>
    </row>
    <row r="961">
      <c r="B961" s="59"/>
    </row>
    <row r="962">
      <c r="B962" s="59"/>
    </row>
    <row r="963">
      <c r="B963" s="59"/>
    </row>
    <row r="964">
      <c r="B964" s="59"/>
    </row>
    <row r="965">
      <c r="B965" s="59"/>
    </row>
    <row r="966">
      <c r="B966" s="59"/>
    </row>
    <row r="967">
      <c r="B967" s="59"/>
    </row>
    <row r="968">
      <c r="B968" s="59"/>
    </row>
    <row r="969">
      <c r="B969" s="59"/>
    </row>
    <row r="970">
      <c r="B970" s="59"/>
    </row>
    <row r="971">
      <c r="B971" s="59"/>
    </row>
    <row r="972">
      <c r="B972" s="59"/>
    </row>
    <row r="973">
      <c r="B973" s="59"/>
    </row>
    <row r="974">
      <c r="B974" s="59"/>
    </row>
    <row r="975">
      <c r="B975" s="59"/>
    </row>
    <row r="976">
      <c r="B976" s="59"/>
    </row>
    <row r="977">
      <c r="B977" s="59"/>
    </row>
    <row r="978">
      <c r="B978" s="59"/>
    </row>
    <row r="979">
      <c r="B979" s="59"/>
    </row>
    <row r="980">
      <c r="B980" s="59"/>
    </row>
    <row r="981">
      <c r="B981" s="59"/>
    </row>
    <row r="982">
      <c r="B982" s="59"/>
    </row>
    <row r="983">
      <c r="B983" s="59"/>
    </row>
    <row r="984">
      <c r="B984" s="59"/>
    </row>
    <row r="985">
      <c r="B985" s="59"/>
    </row>
    <row r="986">
      <c r="B986" s="59"/>
    </row>
    <row r="987">
      <c r="B987" s="59"/>
    </row>
    <row r="988">
      <c r="B988" s="59"/>
    </row>
    <row r="989">
      <c r="B989" s="59"/>
    </row>
    <row r="990">
      <c r="B990" s="59"/>
    </row>
    <row r="991">
      <c r="B991" s="59"/>
    </row>
    <row r="992">
      <c r="B992" s="59"/>
    </row>
    <row r="993">
      <c r="B993" s="59"/>
    </row>
    <row r="994">
      <c r="B994" s="59"/>
    </row>
    <row r="995">
      <c r="B995" s="59"/>
    </row>
    <row r="996">
      <c r="B996" s="59"/>
    </row>
    <row r="997">
      <c r="B997" s="59"/>
    </row>
    <row r="998">
      <c r="B998" s="59"/>
    </row>
    <row r="999">
      <c r="B999" s="59"/>
    </row>
    <row r="1000">
      <c r="B1000" s="59"/>
    </row>
    <row r="1001">
      <c r="B1001" s="59"/>
    </row>
    <row r="1002">
      <c r="B1002" s="59"/>
    </row>
    <row r="1003">
      <c r="B1003" s="59"/>
    </row>
    <row r="1004">
      <c r="B1004" s="59"/>
    </row>
    <row r="1005">
      <c r="B1005" s="59"/>
    </row>
    <row r="1006">
      <c r="B1006" s="59"/>
    </row>
    <row r="1007">
      <c r="B1007" s="59"/>
    </row>
    <row r="1008">
      <c r="B1008" s="59"/>
    </row>
    <row r="1009">
      <c r="B1009" s="59"/>
    </row>
    <row r="1010">
      <c r="B1010" s="59"/>
    </row>
    <row r="1011">
      <c r="B1011" s="59"/>
    </row>
    <row r="1012">
      <c r="B1012" s="5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295</v>
      </c>
      <c r="B1" s="50"/>
    </row>
    <row r="2">
      <c r="A2" s="50"/>
      <c r="B2" s="50"/>
    </row>
    <row r="3">
      <c r="A3" s="73" t="s">
        <v>296</v>
      </c>
      <c r="B3" s="73" t="s">
        <v>297</v>
      </c>
    </row>
    <row r="4">
      <c r="A4" s="74" t="s">
        <v>298</v>
      </c>
      <c r="B4" s="74" t="s">
        <v>299</v>
      </c>
    </row>
    <row r="5">
      <c r="A5" s="75" t="s">
        <v>300</v>
      </c>
      <c r="B5" s="76" t="s">
        <v>301</v>
      </c>
    </row>
    <row r="6">
      <c r="A6" s="77" t="s">
        <v>302</v>
      </c>
      <c r="B6" s="77" t="s">
        <v>303</v>
      </c>
    </row>
  </sheetData>
  <drawing r:id="rId1"/>
</worksheet>
</file>