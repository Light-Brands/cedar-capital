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tin" sheetId="1" r:id="rId4"/>
    <sheet state="visible" name="2017" sheetId="2" r:id="rId5"/>
    <sheet state="visible" name="2016" sheetId="3" r:id="rId6"/>
    <sheet state="visible" name="Verbal Offer" sheetId="4" r:id="rId7"/>
    <sheet state="visible" name="Wrote Offer" sheetId="5" r:id="rId8"/>
    <sheet state="visible" name="In Contract" sheetId="6" r:id="rId9"/>
    <sheet state="visible" name="Closed" sheetId="7" r:id="rId10"/>
    <sheet state="visible" name="Rejected" sheetId="8" r:id="rId11"/>
  </sheets>
  <definedNames/>
  <calcPr/>
  <extLst>
    <ext uri="GoogleSheetsCustomDataVersion2">
      <go:sheetsCustomData xmlns:go="http://customooxmlschemas.google.com/" r:id="rId12" roundtripDataChecksum="xYTmBUE/Ed8ZaoJvOnZSLT+bpiTZRDxKtNQyA61Wt4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4">
      <text>
        <t xml:space="preserve">======
ID#AAAByht_nRU
    (2026-01-13 02:42:20)
asking 259k</t>
      </text>
    </comment>
    <comment authorId="0" ref="H18">
      <text>
        <t xml:space="preserve">======
ID#AAAByht_nRM
    (2026-01-13 02:42:20)
124k asking</t>
      </text>
    </comment>
    <comment authorId="0" ref="H17">
      <text>
        <t xml:space="preserve">======
ID#AAAByht_nRI
    (2026-01-13 02:42:20)
145k asking</t>
      </text>
    </comment>
    <comment authorId="0" ref="J34">
      <text>
        <t xml:space="preserve">======
ID#AAAByht_nRE
    (2026-01-13 02:42:20)
comp at $214 per square foot, complete remodel, 1300sqft</t>
      </text>
    </comment>
    <comment authorId="0" ref="H12">
      <text>
        <t xml:space="preserve">======
ID#AAAByht_nRQ
    (2026-01-13 02:42:20)
219k asking</t>
      </text>
    </comment>
    <comment authorId="0" ref="H11">
      <text>
        <t xml:space="preserve">======
ID#AAAByhrluLI
    (2026-01-13 02:42:20)
149k asking</t>
      </text>
    </comment>
    <comment authorId="0" ref="H9">
      <text>
        <t xml:space="preserve">======
ID#AAAByht_nQ8
    (2026-01-13 02:42:20)
asking 257000</t>
      </text>
    </comment>
    <comment authorId="0" ref="H16">
      <text>
        <t xml:space="preserve">======
ID#AAAByht_nRA
    (2026-01-13 02:42:20)
79,950 asking</t>
      </text>
    </comment>
  </commentList>
  <extLst>
    <ext uri="GoogleSheetsCustomDataVersion2">
      <go:sheetsCustomData xmlns:go="http://customooxmlschemas.google.com/" r:id="rId1" roundtripDataSignature="AMtx7mjI+PB3r8y6Qz48uDyuCzBRaN7Fiw=="/>
    </ext>
  </extLst>
</comments>
</file>

<file path=xl/sharedStrings.xml><?xml version="1.0" encoding="utf-8"?>
<sst xmlns="http://schemas.openxmlformats.org/spreadsheetml/2006/main" count="1584" uniqueCount="759">
  <si>
    <t>Property Address</t>
  </si>
  <si>
    <t>Notes</t>
  </si>
  <si>
    <t>Date</t>
  </si>
  <si>
    <t>Link</t>
  </si>
  <si>
    <t>List Type</t>
  </si>
  <si>
    <t>Beds</t>
  </si>
  <si>
    <t>Ba</t>
  </si>
  <si>
    <t>SqFt</t>
  </si>
  <si>
    <t>Asking Price</t>
  </si>
  <si>
    <t>Offer</t>
  </si>
  <si>
    <t>OP/sqft</t>
  </si>
  <si>
    <t>Est.
Fixup</t>
  </si>
  <si>
    <t>ARV</t>
  </si>
  <si>
    <t>After SqFt</t>
  </si>
  <si>
    <t>ARV/sqft</t>
  </si>
  <si>
    <t>Diff</t>
  </si>
  <si>
    <t>Est.
Selling Costs</t>
  </si>
  <si>
    <t>Monthly Payment 12%</t>
  </si>
  <si>
    <t>Months</t>
  </si>
  <si>
    <t>Total Cost</t>
  </si>
  <si>
    <t>Est.
Profit</t>
  </si>
  <si>
    <t>Profit with Finance</t>
  </si>
  <si>
    <t>ROI</t>
  </si>
  <si>
    <t>75% - Repairs 
= MAO</t>
  </si>
  <si>
    <t>Wholesale Profit</t>
  </si>
  <si>
    <t>Source</t>
  </si>
  <si>
    <t>Owner</t>
  </si>
  <si>
    <t>Rehab Estimate Analysis:</t>
  </si>
  <si>
    <t>Kitchen: $8,000 avg</t>
  </si>
  <si>
    <t>Bath(s): $2000 each</t>
  </si>
  <si>
    <t>Interior Paint: $2 per sq ft</t>
  </si>
  <si>
    <t>Exterior Paint: $2 per sf</t>
  </si>
  <si>
    <t>Flooring: $3 per sf</t>
  </si>
  <si>
    <t>Windows: $350 per window</t>
  </si>
  <si>
    <t>Misc (lighting, door, knobs, etc) $2000</t>
  </si>
  <si>
    <t>Roof $10k</t>
  </si>
  <si>
    <t>Sheet Rock $500 per room</t>
  </si>
  <si>
    <t>Framing $7 per sf</t>
  </si>
  <si>
    <t>Electrical $5000</t>
  </si>
  <si>
    <t>Plumbing $8000</t>
  </si>
  <si>
    <t>HVAC $10k</t>
  </si>
  <si>
    <t>Landscape $2000</t>
  </si>
  <si>
    <t>Foundation $10k - $50k depending</t>
  </si>
  <si>
    <t>Other</t>
  </si>
  <si>
    <t>Finance Analysis</t>
  </si>
  <si>
    <t>LTV</t>
  </si>
  <si>
    <t>Loan Amount</t>
  </si>
  <si>
    <t>Rehab Cost</t>
  </si>
  <si>
    <t>Pts.</t>
  </si>
  <si>
    <t>Int.</t>
  </si>
  <si>
    <t>Mo. held</t>
  </si>
  <si>
    <t>Monthly Pmt</t>
  </si>
  <si>
    <t>Total Int.</t>
  </si>
  <si>
    <t>Total Pts</t>
  </si>
  <si>
    <t>Total Finance Cost</t>
  </si>
  <si>
    <t>Example</t>
  </si>
  <si>
    <t>3</t>
  </si>
  <si>
    <t>2</t>
  </si>
  <si>
    <t>Austin TX</t>
  </si>
  <si>
    <t>9629 Chukar Cir, Austin, TX 78758</t>
  </si>
  <si>
    <t>7306 Lenape Trl</t>
  </si>
  <si>
    <t>2514 Star Grass Cir, Austin, TX 78745</t>
  </si>
  <si>
    <t>https://www.zillow.com/homedetails/2514-Star-Grass-Cir-Austin-TX-78745/29501091_zpid/</t>
  </si>
  <si>
    <t>112 W Oak Loop, Cedar Creek, TX 78612</t>
  </si>
  <si>
    <t>https://www.zillow.com/homedetails/112-W-Oak-Loop-Cedar-Creek-TX-78612/84380673_zpid/</t>
  </si>
  <si>
    <t>6214 Boxcar Run</t>
  </si>
  <si>
    <t>1614 Berene Ave</t>
  </si>
  <si>
    <t>300 W Mockingbird Ln</t>
  </si>
  <si>
    <t>518 Hacienda Dr (subdivide, sell lot or add a home)</t>
  </si>
  <si>
    <t>518 Hacienda Dr (remodel &amp; sell)</t>
  </si>
  <si>
    <t>Default</t>
  </si>
  <si>
    <t>75% of ARV</t>
  </si>
  <si>
    <t>30-50k</t>
  </si>
  <si>
    <t>CMA</t>
  </si>
  <si>
    <t>Same</t>
  </si>
  <si>
    <t>6 month</t>
  </si>
  <si>
    <t>MLS #</t>
  </si>
  <si>
    <t>Finance 10% 6 mo</t>
  </si>
  <si>
    <t>930 Wilson ave, lincoln</t>
  </si>
  <si>
    <t>6031 Hilltop Dr</t>
  </si>
  <si>
    <t>4905 don julio</t>
  </si>
  <si>
    <t>1</t>
  </si>
  <si>
    <t>Citrus Heights</t>
  </si>
  <si>
    <t>David Oldenburg</t>
  </si>
  <si>
    <t>521 Elefa st, Roseville</t>
  </si>
  <si>
    <t>offer before 1/31/17</t>
  </si>
  <si>
    <t>3611 24th AVE</t>
  </si>
  <si>
    <t>duplex, some fire damage, pay prop tax</t>
  </si>
  <si>
    <t>8732 Central Ave, Orangevale, CA 95662</t>
  </si>
  <si>
    <t>5.51 acres</t>
  </si>
  <si>
    <t>2352 telegraph hill</t>
  </si>
  <si>
    <t>off market</t>
  </si>
  <si>
    <t>5</t>
  </si>
  <si>
    <t>4</t>
  </si>
  <si>
    <t>2621 Paseo Dr</t>
  </si>
  <si>
    <t>offers due 2/20</t>
  </si>
  <si>
    <t>active</t>
  </si>
  <si>
    <t>3524 Maplewood , Sacramento</t>
  </si>
  <si>
    <t>916-203-1260 ed</t>
  </si>
  <si>
    <t>5626 Walnut ave</t>
  </si>
  <si>
    <t>3529 Scorpio Drive</t>
  </si>
  <si>
    <t>209 Whyte RV</t>
  </si>
  <si>
    <t>follow up 1/27</t>
  </si>
  <si>
    <t>CL</t>
  </si>
  <si>
    <t>6556 mother lode dr, placerville</t>
  </si>
  <si>
    <t>1837 2nd ave sacramento</t>
  </si>
  <si>
    <t>810 elefa st Roseville</t>
  </si>
  <si>
    <t>5304 55th St, Sacramento, CA 95820</t>
  </si>
  <si>
    <t>7261 Long River Dr, Sacramento, CA 95831</t>
  </si>
  <si>
    <t>8686 Oak Ave, Orangevale</t>
  </si>
  <si>
    <t>8739 Noland Ln,Fair Oaks, CA 95628</t>
  </si>
  <si>
    <t>lot .52 acres</t>
  </si>
  <si>
    <t>FSBO</t>
  </si>
  <si>
    <t>1725 sherwood</t>
  </si>
  <si>
    <t>319 Oak Ridge</t>
  </si>
  <si>
    <t>1782 Lewis Rd</t>
  </si>
  <si>
    <t>1 acre</t>
  </si>
  <si>
    <t>Off Market</t>
  </si>
  <si>
    <t>325 Atkinson St, Roseville, CA 95678</t>
  </si>
  <si>
    <t>Active</t>
  </si>
  <si>
    <t>10718 Bragg Ave Grass Valley, CA 95945</t>
  </si>
  <si>
    <t>12366 Pawnee Trl, Nevada City, CA</t>
  </si>
  <si>
    <t>141 El Camino Ave,Sacramento, CA 95815</t>
  </si>
  <si>
    <t>new windows, doors, need drywall, kitchen, bathroom, liens of 15000, 3500 is tax, 12000 is abatement (hard costs) - they waived 80k , permit</t>
  </si>
  <si>
    <t>FSBO - me</t>
  </si>
  <si>
    <t>5523 skyridge</t>
  </si>
  <si>
    <t>Mike Mix</t>
  </si>
  <si>
    <t>6016 Coyle Ave</t>
  </si>
  <si>
    <t>Can't sell for less than asking because they would have to do a short sale, he says there are no known issues beyond cosmetic and does not know if the unpermitted room is up to code. See if we can find a buyer who wants to live there, see if the unpermitted room is up to code and can be permitted</t>
  </si>
  <si>
    <t>John Williams</t>
  </si>
  <si>
    <t>206 Muckross abbey ct Linoln</t>
  </si>
  <si>
    <t>appt next thursday at 6pm 6/15</t>
  </si>
  <si>
    <t>Bryan Nash</t>
  </si>
  <si>
    <t>405 Encinal</t>
  </si>
  <si>
    <t>3535 6th Ave</t>
  </si>
  <si>
    <t>See if tenants can be bought out, Need to verify ARV and Rehab cost , appt set 6/8/17 at 3:30</t>
  </si>
  <si>
    <t>571 Blight Road, Grass Valley</t>
  </si>
  <si>
    <t>403 brookwood Roseville</t>
  </si>
  <si>
    <t>MLS</t>
  </si>
  <si>
    <t>116 Circuit Dr, Roseville, CA 95678</t>
  </si>
  <si>
    <t>1309 Hickory St, Roseville, CA 95678</t>
  </si>
  <si>
    <t>1404 Oakmont Dr, Roseville</t>
  </si>
  <si>
    <t>See TODAY 7/6/17 at 10am</t>
  </si>
  <si>
    <t>4809 Baker Ave  Sacramento</t>
  </si>
  <si>
    <t>See tomorrow 7/11/17 at 10am</t>
  </si>
  <si>
    <t>3241 Petty Ln,Carmichael, CA 95608</t>
  </si>
  <si>
    <t xml:space="preserve">windows, 2 house on lot, </t>
  </si>
  <si>
    <t>Scott Heiser</t>
  </si>
  <si>
    <t>234 Duranta St, Roseville</t>
  </si>
  <si>
    <t>505 6th St, Roseville</t>
  </si>
  <si>
    <t>305 Duranta St,</t>
  </si>
  <si>
    <t>needs permit, currently 3/1 1274sf</t>
  </si>
  <si>
    <t>Lee (PWprime)</t>
  </si>
  <si>
    <t>28 Baird, Woodland</t>
  </si>
  <si>
    <t>pending</t>
  </si>
  <si>
    <t>3847 San Carlos Way</t>
  </si>
  <si>
    <t>Wont come down to 120k</t>
  </si>
  <si>
    <t>Jed (brandon)</t>
  </si>
  <si>
    <t>5033 Sugar, Carmichael</t>
  </si>
  <si>
    <t>Bad street</t>
  </si>
  <si>
    <t>7000 Dudley Dr</t>
  </si>
  <si>
    <t>Need to get price way down</t>
  </si>
  <si>
    <t>Laurel</t>
  </si>
  <si>
    <t>579 D St Colma CA</t>
  </si>
  <si>
    <t>Any Bay area Buyers?</t>
  </si>
  <si>
    <t>Seth Carlson</t>
  </si>
  <si>
    <t>6116 ogden nash way 95842</t>
  </si>
  <si>
    <t>9163375233 Della, agentdella@gmail.com</t>
  </si>
  <si>
    <t>Rueben Johnson</t>
  </si>
  <si>
    <t>381 E 11th St, Lincoln</t>
  </si>
  <si>
    <t>Wall heating and air, Unknown when roof was replaced, open house this weekend, reviewing offers Tuesday, 8/8 at 5pm</t>
  </si>
  <si>
    <t>8519 LA RIVIERA DR</t>
  </si>
  <si>
    <t>3183 pioneer trail</t>
  </si>
  <si>
    <t>6546 Meadowcreek Way, Citrus Heights</t>
  </si>
  <si>
    <t>cant get in until Tuesday</t>
  </si>
  <si>
    <t>1796 tatiana, Roseville</t>
  </si>
  <si>
    <t>7042 Buskirk Dr, Sacramento, CA 95842</t>
  </si>
  <si>
    <t>7577 walnut dr. Citrus heights, ca</t>
  </si>
  <si>
    <t>5308 Billie st. Fair oaks ,ca</t>
  </si>
  <si>
    <t>8513 pearl wy. Citrus heights ca</t>
  </si>
  <si>
    <t>2648 29th ave</t>
  </si>
  <si>
    <t>2800 brook mar</t>
  </si>
  <si>
    <t>encina</t>
  </si>
  <si>
    <t>8044 sacramento st</t>
  </si>
  <si>
    <t>503 atkinson</t>
  </si>
  <si>
    <t>8356 Berman Walk Way,</t>
  </si>
  <si>
    <t>wade</t>
  </si>
  <si>
    <t>941 shearer</t>
  </si>
  <si>
    <t>kelly</t>
  </si>
  <si>
    <t>6152 villa</t>
  </si>
  <si>
    <t>roof needs replacement</t>
  </si>
  <si>
    <t>5528 Kenneth Ave, Carmichael</t>
  </si>
  <si>
    <t>brad</t>
  </si>
  <si>
    <t>2117 ellison dr, rancho cordova</t>
  </si>
  <si>
    <t>jordan</t>
  </si>
  <si>
    <t>3413 club lane sacramento</t>
  </si>
  <si>
    <t>dan bihari</t>
  </si>
  <si>
    <t>4763 River College Dr, Sacramento, CA</t>
  </si>
  <si>
    <t>probate, veiwed, 160k mortgage, attorney fees of 4% or so and administrator of 4%, 10k loans to estate</t>
  </si>
  <si>
    <t>logan</t>
  </si>
  <si>
    <t>14 sunny hollow</t>
  </si>
  <si>
    <t>7889 Twin Oaks Ave Citrus Heights,</t>
  </si>
  <si>
    <t>5031 Birch Valley Way</t>
  </si>
  <si>
    <t>owe 395k</t>
  </si>
  <si>
    <t>5309 spring creek way elk grove california 95758</t>
  </si>
  <si>
    <t>1740 wright street</t>
  </si>
  <si>
    <t>2834 santa cruz way sacramento</t>
  </si>
  <si>
    <t xml:space="preserve">Partnership? </t>
  </si>
  <si>
    <t xml:space="preserve">23 hancock </t>
  </si>
  <si>
    <t>10% 6mo Finance Cost</t>
  </si>
  <si>
    <t xml:space="preserve">3904 El Ricon Way </t>
  </si>
  <si>
    <t>Joe Madrid</t>
  </si>
  <si>
    <t>1238 Nevis Ct, Sacramento</t>
  </si>
  <si>
    <t>Dave Simmons</t>
  </si>
  <si>
    <t>4820 &amp; 4824 Carey Rd</t>
  </si>
  <si>
    <t>1130 jonas ave, sacramento 95864</t>
  </si>
  <si>
    <t>8937 Fashion Dr</t>
  </si>
  <si>
    <t>Save your home california is helping them, we are plan b</t>
  </si>
  <si>
    <t>Jorge &amp; Branden</t>
  </si>
  <si>
    <t>4460 Holly in Shingle Springs</t>
  </si>
  <si>
    <t>lot size 1.96</t>
  </si>
  <si>
    <t>3bed</t>
  </si>
  <si>
    <t>2bath</t>
  </si>
  <si>
    <t>Candice</t>
  </si>
  <si>
    <t>810  Silvano St,  Sacramento, CA  95838</t>
  </si>
  <si>
    <t>march 15 offer, cash, 40 calls in 2 days - probably go above list price</t>
  </si>
  <si>
    <t>1ba</t>
  </si>
  <si>
    <t>6040 Winding Way, Carmichael, CA 95608</t>
  </si>
  <si>
    <t>Looking at offers on the 8th Needs updating &amp; roof replaced, appt. Sat. @ 2pm, making offer at 278k</t>
  </si>
  <si>
    <t>3bd</t>
  </si>
  <si>
    <t>3ba</t>
  </si>
  <si>
    <t>Cheryl</t>
  </si>
  <si>
    <t>3319 Hunter Ln., Carmichael, CA</t>
  </si>
  <si>
    <t>Vacant-banked owned property, mold in laundry room, just listed 3/3/16</t>
  </si>
  <si>
    <t>2ba</t>
  </si>
  <si>
    <t>4581 Wendsan in Placerville</t>
  </si>
  <si>
    <t>Left vm for realtor</t>
  </si>
  <si>
    <t>2.5</t>
  </si>
  <si>
    <t>505 Wales, Folsom</t>
  </si>
  <si>
    <t>2371 Carlsbad Ave, Sacramento</t>
  </si>
  <si>
    <t>garage converted</t>
  </si>
  <si>
    <t>Robert Dyer</t>
  </si>
  <si>
    <t>10455  Abbottford Way,  Rancho Cordova, CA  95670</t>
  </si>
  <si>
    <t>3bed2bath</t>
  </si>
  <si>
    <t>Kevin Williams</t>
  </si>
  <si>
    <t xml:space="preserve">14981  Torrey Pines Dr,  Auburn, CA  95602 </t>
  </si>
  <si>
    <t>3635  Lusk Drive,  Sacramento, CA  95864</t>
  </si>
  <si>
    <t>had offer the same day is was listed for 200 and accepted it</t>
  </si>
  <si>
    <t>8460 Oak Knoll Dr, Granite Bay</t>
  </si>
  <si>
    <t>rehab estimate 3/15</t>
  </si>
  <si>
    <t>Off market</t>
  </si>
  <si>
    <t>3335 Becerra Way, Sacramento</t>
  </si>
  <si>
    <t>candice</t>
  </si>
  <si>
    <t>14 Rio Camino Ct, Sacramento</t>
  </si>
  <si>
    <t>sold to someone else</t>
  </si>
  <si>
    <t>5865 Blarney Wy. Pilot Hill</t>
  </si>
  <si>
    <t>3.5</t>
  </si>
  <si>
    <t>8317 Bramble tree way</t>
  </si>
  <si>
    <t>hank</t>
  </si>
  <si>
    <t>8495 everglade dr</t>
  </si>
  <si>
    <t>7530 soquel way citrus heights</t>
  </si>
  <si>
    <t>investor partner</t>
  </si>
  <si>
    <t>910 bidwell st, Folsom</t>
  </si>
  <si>
    <t>Make offer LOT .15 acre</t>
  </si>
  <si>
    <t>litsa</t>
  </si>
  <si>
    <t>5791 79TH ST, SACRAMENTO, CA 95824</t>
  </si>
  <si>
    <t>lyn hart</t>
  </si>
  <si>
    <t>8184  Quail Walk Pl,  Citrus Heights, CA  95610</t>
  </si>
  <si>
    <t>under contract</t>
  </si>
  <si>
    <t>8045 Gilardi Rd, Newcastle, CA 95658</t>
  </si>
  <si>
    <t>make offer</t>
  </si>
  <si>
    <t>1015 figueroa st, Folsom</t>
  </si>
  <si>
    <t>3032 62nd st Sacramento</t>
  </si>
  <si>
    <t>evaluate - appt on thurs at 1, 2 lots</t>
  </si>
  <si>
    <t>1801 4th st lincoln</t>
  </si>
  <si>
    <t>evaluate comps, owe 235k , behin 11k , payment 1550. Needs:replace roof, updates</t>
  </si>
  <si>
    <t xml:space="preserve">5653  White Fir Way #2,  Sacramento, CA  95841 </t>
  </si>
  <si>
    <t>Carl</t>
  </si>
  <si>
    <t>3025 Rockwell Lane, Lincoln</t>
  </si>
  <si>
    <t>2410 41st st, Sacramento 95817</t>
  </si>
  <si>
    <t>946 Carmelita</t>
  </si>
  <si>
    <t xml:space="preserve">Rio Linda </t>
  </si>
  <si>
    <t>5101 Kankakee 95838</t>
  </si>
  <si>
    <t>4210  51st St,  Sacramento, CA  95820</t>
  </si>
  <si>
    <t>3516  19th Ave,  Sacramento, CA  95820</t>
  </si>
  <si>
    <t>3544  Ridgeview Dr,  El Dorado Hills, CA  95762</t>
  </si>
  <si>
    <t>5840 marysville blvd</t>
  </si>
  <si>
    <t>528 Alola st, roseville</t>
  </si>
  <si>
    <t>2324  Saint Marks Way,  Sacramento, CA  95864</t>
  </si>
  <si>
    <t>137  40th St,  Sacramento, CA  95819</t>
  </si>
  <si>
    <t>5333 S St, sacramento CA 95819</t>
  </si>
  <si>
    <t>2430  26th Ave,  Sacramento, CA  95822</t>
  </si>
  <si>
    <t>3839  60th St,  Sacramento, CA  95820</t>
  </si>
  <si>
    <t>1800 Rosemont Ln, Penryn</t>
  </si>
  <si>
    <t>5794 Amnest Way, Sacramento, CA 95835</t>
  </si>
  <si>
    <t>8317 lakeland dr, granite bay</t>
  </si>
  <si>
    <t>lilas</t>
  </si>
  <si>
    <t>1800 rosemont ln (house)</t>
  </si>
  <si>
    <t>michaela</t>
  </si>
  <si>
    <t>440 oxford way santa cruz</t>
  </si>
  <si>
    <t>monty</t>
  </si>
  <si>
    <t>4551 oxbow ridge place, fair oaks</t>
  </si>
  <si>
    <t>tony</t>
  </si>
  <si>
    <t>8455 Hidden Valley Cir</t>
  </si>
  <si>
    <t>356 Silver Eagle Rd, Sacramento, CA 95838</t>
  </si>
  <si>
    <t>513 Vine Way, Roseville</t>
  </si>
  <si>
    <t>mike mix, richard debono</t>
  </si>
  <si>
    <t>3737 32nd St</t>
  </si>
  <si>
    <t>921 parry st, roseville</t>
  </si>
  <si>
    <t>naomi</t>
  </si>
  <si>
    <t>4249 elkhorn blvd</t>
  </si>
  <si>
    <t>kevin</t>
  </si>
  <si>
    <t>2757 ellen st, sacramento 95815</t>
  </si>
  <si>
    <t>190 Hillcrest, Auburn, CA 95603</t>
  </si>
  <si>
    <t>7555 Muirwood Way, Sacramento 95822</t>
  </si>
  <si>
    <t>12188 Silver Springs Pl Grass Valley 95949</t>
  </si>
  <si>
    <t>3841 Altos ave Sacramento</t>
  </si>
  <si>
    <t>6826 4th Ave Rio Linda</t>
  </si>
  <si>
    <t>carl crump</t>
  </si>
  <si>
    <t>3120 hempstead</t>
  </si>
  <si>
    <t>nanda home buyers</t>
  </si>
  <si>
    <t>3929 minnesota, Fair Oaks, CA 95628</t>
  </si>
  <si>
    <t>needs 1000 sq ft addition</t>
  </si>
  <si>
    <t>richard debono</t>
  </si>
  <si>
    <t>7117 N Woodmore Oaks Dr, Citrus Heights, CA 95610</t>
  </si>
  <si>
    <t>7805 renton way, sacramento 95828</t>
  </si>
  <si>
    <t>5114 Romero Drive</t>
  </si>
  <si>
    <t>8859 Timm Ave, Fair Oaks, CA 95628</t>
  </si>
  <si>
    <t>stanley</t>
  </si>
  <si>
    <t>vet in preforeclosure mike call in evening</t>
  </si>
  <si>
    <t>4825 V st</t>
  </si>
  <si>
    <t>add 700 sq ft</t>
  </si>
  <si>
    <t>216 Earl, Roseville</t>
  </si>
  <si>
    <t>6815 leaoak Citrus Heights</t>
  </si>
  <si>
    <t>6044 McCourtney Rd, Lincoln</t>
  </si>
  <si>
    <t>Land zoned for 10 acre parcels to split</t>
  </si>
  <si>
    <t>4400 14th ave</t>
  </si>
  <si>
    <t>4148 11th ave</t>
  </si>
  <si>
    <t>10645 ambassador</t>
  </si>
  <si>
    <t>8154 Primoak way, Elk Grove</t>
  </si>
  <si>
    <t>365 Elder St</t>
  </si>
  <si>
    <t>9471 powerhouse</t>
  </si>
  <si>
    <t>3609 ALBERTA AVENUE, SACRAMENTO, CA 95821</t>
  </si>
  <si>
    <t>2640 Villa Cortona Way</t>
  </si>
  <si>
    <t>656 canyon oak ct</t>
  </si>
  <si>
    <t>from rob knowles</t>
  </si>
  <si>
    <t>Rob Knowles</t>
  </si>
  <si>
    <t>8933 talisman 95826 flip</t>
  </si>
  <si>
    <t>Tushar Popat</t>
  </si>
  <si>
    <t>1672 Chateau Dr, ARBOGA, CA 95961</t>
  </si>
  <si>
    <t>Carole</t>
  </si>
  <si>
    <t>442 San Pietro Ln, Lodi, CA 95240</t>
  </si>
  <si>
    <t>6484 Sunnyfield Way, Sacramento, CA</t>
  </si>
  <si>
    <t>N/A</t>
  </si>
  <si>
    <t>OFF MARKET</t>
  </si>
  <si>
    <t>6207 CALLE MONTALVO</t>
  </si>
  <si>
    <t>let go</t>
  </si>
  <si>
    <t>REO</t>
  </si>
  <si>
    <t>carole</t>
  </si>
  <si>
    <t>8317 Lakeland Dr, Granite Bay, CA 95746</t>
  </si>
  <si>
    <t>verbal offer</t>
  </si>
  <si>
    <t>lilas and brad</t>
  </si>
  <si>
    <t>11117 Congo River Ct, Gold River 95670</t>
  </si>
  <si>
    <t>see house, get listing?</t>
  </si>
  <si>
    <t>8631 Stehlin Ave, Orangevale, CA 95662</t>
  </si>
  <si>
    <t>too skinny and no garage - weird rock front</t>
  </si>
  <si>
    <t>Short sale</t>
  </si>
  <si>
    <t>7356 Southland Road, Manteca, CA 95336</t>
  </si>
  <si>
    <t>julie</t>
  </si>
  <si>
    <t>6559 Mauana Way, Citrus Heights, CA 9561</t>
  </si>
  <si>
    <t>pending -REO</t>
  </si>
  <si>
    <t>shawnee</t>
  </si>
  <si>
    <t>1723 Russell, Roseville</t>
  </si>
  <si>
    <t>Auction</t>
  </si>
  <si>
    <t>6641 Posten Way, Citrus Heights</t>
  </si>
  <si>
    <t>Open House aug 2nd 1-4</t>
  </si>
  <si>
    <t>Jane - listing agent</t>
  </si>
  <si>
    <t>6705 Ridge Rd, Newcastle</t>
  </si>
  <si>
    <t>asking retail price - contact owner about condition or potential listing</t>
  </si>
  <si>
    <t>218 Calais Ct</t>
  </si>
  <si>
    <t>Thomas</t>
  </si>
  <si>
    <t>1596 halifax</t>
  </si>
  <si>
    <t>2525 vail ave, stockton</t>
  </si>
  <si>
    <t>Rudy</t>
  </si>
  <si>
    <t>Cobblestone way</t>
  </si>
  <si>
    <t>Mark and Shawnee</t>
  </si>
  <si>
    <t>2757 Ellen st, Sacramento 95815</t>
  </si>
  <si>
    <t>James Peterson</t>
  </si>
  <si>
    <t>140 paradise view ct Roseville</t>
  </si>
  <si>
    <t>3303 Alta Way,  Modesto CA 95350</t>
  </si>
  <si>
    <t>Andrew</t>
  </si>
  <si>
    <t>1644 east scotts ave, stockton ca</t>
  </si>
  <si>
    <t>559 Atkinson St, Roseville</t>
  </si>
  <si>
    <t>840 watt</t>
  </si>
  <si>
    <t>make unpermitted sq ft permitted and add extra bathroom</t>
  </si>
  <si>
    <t>1244 crescendo roseville</t>
  </si>
  <si>
    <t>2104 greenfield, fairfield</t>
  </si>
  <si>
    <t>901 bonnie</t>
  </si>
  <si>
    <t>526 Elefa st, Roseville</t>
  </si>
  <si>
    <t>7727  Poplar,  Citrus Heights</t>
  </si>
  <si>
    <t>4037 Astoria St, Sacramento 95838</t>
  </si>
  <si>
    <t>roof and heater</t>
  </si>
  <si>
    <t>Lilas</t>
  </si>
  <si>
    <t>3329 Cypress st</t>
  </si>
  <si>
    <t>add 500 sq ft</t>
  </si>
  <si>
    <t>4336 winding way</t>
  </si>
  <si>
    <t>5036 Stroman Ln</t>
  </si>
  <si>
    <t>10999 Joeger Rd, Auburn</t>
  </si>
  <si>
    <t xml:space="preserve">Mike </t>
  </si>
  <si>
    <t>10995 Joeger Rd, Auburn</t>
  </si>
  <si>
    <t>1304 Midway Dr, Woodland</t>
  </si>
  <si>
    <t>made offer</t>
  </si>
  <si>
    <t>1202 Hickory St, Roseville</t>
  </si>
  <si>
    <t>reject</t>
  </si>
  <si>
    <t>Kelly</t>
  </si>
  <si>
    <t>8133 Canyon Oak</t>
  </si>
  <si>
    <t>write offer</t>
  </si>
  <si>
    <t>7949 valley green dr, sacramento ca</t>
  </si>
  <si>
    <t>2741 Atlas Ave, Sacramento</t>
  </si>
  <si>
    <t>2 hsl, studio, too much work</t>
  </si>
  <si>
    <t>2711 23rd Ave, Sacramento, CA 95820</t>
  </si>
  <si>
    <t>too mcuh work</t>
  </si>
  <si>
    <t>10336 Freesia Ave, Stockton, CA 95212</t>
  </si>
  <si>
    <t>surplus funds</t>
  </si>
  <si>
    <t>128 hickory st, roseville</t>
  </si>
  <si>
    <t>offer rejected</t>
  </si>
  <si>
    <t>4520 Mapel Ln, Carmichael</t>
  </si>
  <si>
    <t>see ?</t>
  </si>
  <si>
    <t>8454 manor rd, Roseville</t>
  </si>
  <si>
    <t>see thurs at 11</t>
  </si>
  <si>
    <t>80 Bluejay dr, Placerville</t>
  </si>
  <si>
    <t>see on sunday at 1</t>
  </si>
  <si>
    <t>4927 Breese cir, El Dorado Hills</t>
  </si>
  <si>
    <t xml:space="preserve">are plans approved? how much do they need </t>
  </si>
  <si>
    <t>4.5</t>
  </si>
  <si>
    <t>3440 42nd St</t>
  </si>
  <si>
    <t>see sunday?</t>
  </si>
  <si>
    <t>3038 40th st</t>
  </si>
  <si>
    <t>Naomi</t>
  </si>
  <si>
    <t>3031 40th st</t>
  </si>
  <si>
    <t>?</t>
  </si>
  <si>
    <t>103 stoffles, Roseville</t>
  </si>
  <si>
    <t>219 E 8th St, Lincoln</t>
  </si>
  <si>
    <t>6338 slipper creek lane citrus heights</t>
  </si>
  <si>
    <t>7829 Eloise Ave, Elverta, CA 95626</t>
  </si>
  <si>
    <t>6206 Westwood Dr, Rocklin, CA 95677</t>
  </si>
  <si>
    <t>4701 Willowbrook Dr #2, Sacramento, CA 95842</t>
  </si>
  <si>
    <t>3641 Reedsport Ct, Sacramento, CA 95826</t>
  </si>
  <si>
    <t>ray</t>
  </si>
  <si>
    <t>330 B st, Roseville</t>
  </si>
  <si>
    <t>auction date jan 27</t>
  </si>
  <si>
    <t>auction</t>
  </si>
  <si>
    <t>5835 Wilkinson St, Sacramento, CA 95824</t>
  </si>
  <si>
    <t>addition needed</t>
  </si>
  <si>
    <t>618 lyndhurst ave, roseville</t>
  </si>
  <si>
    <t>preforeclosure, lilas may buy</t>
  </si>
  <si>
    <t>10090 Willey ct, Granite bay</t>
  </si>
  <si>
    <t>6135 Green Oak Ct, Foresthill, CA 95631</t>
  </si>
  <si>
    <t>201 Classic ct West sacramento</t>
  </si>
  <si>
    <t>8010 Oak Forest St, Citrus Heights, CA 95621</t>
  </si>
  <si>
    <t>3949 Bainbridge Dr,</t>
  </si>
  <si>
    <t>1032 hawk Ave</t>
  </si>
  <si>
    <t>1844 hiawawatha dr roseville</t>
  </si>
  <si>
    <t>5100 misty meadow way, elk grove 95758</t>
  </si>
  <si>
    <t>6921 5th st rio Linda</t>
  </si>
  <si>
    <t>2652 Benny Way, Rancho Cordova, CA 95670</t>
  </si>
  <si>
    <t>1248 Shirley Way, Lincoln</t>
  </si>
  <si>
    <t>21k tax lien, pool needs new water pump</t>
  </si>
  <si>
    <t>BR/BA</t>
  </si>
  <si>
    <t>3pt, 12% Finance Cost</t>
  </si>
  <si>
    <t>Fixer type</t>
  </si>
  <si>
    <t>Monthly Rent</t>
  </si>
  <si>
    <t>Monthly Cashflow</t>
  </si>
  <si>
    <t>Offer Date</t>
  </si>
  <si>
    <t>View Date</t>
  </si>
  <si>
    <t>Showing</t>
  </si>
  <si>
    <t>Lead Source</t>
  </si>
  <si>
    <t>Agent Name</t>
  </si>
  <si>
    <t>Agent Email Address</t>
  </si>
  <si>
    <t>Offer Email Address</t>
  </si>
  <si>
    <t>Office Phone</t>
  </si>
  <si>
    <t>Primary Ph</t>
  </si>
  <si>
    <t>Secondary Ph</t>
  </si>
  <si>
    <t>Occupant</t>
  </si>
  <si>
    <t>Occupant Ph</t>
  </si>
  <si>
    <t>Date entered</t>
  </si>
  <si>
    <t>Follow Up1</t>
  </si>
  <si>
    <t>Follow Up2</t>
  </si>
  <si>
    <t>Follow Up3</t>
  </si>
  <si>
    <t>Follow Up4</t>
  </si>
  <si>
    <t>Follow Up5</t>
  </si>
  <si>
    <t>Follow Up6</t>
  </si>
  <si>
    <t>Follow Up7</t>
  </si>
  <si>
    <t>Follow Up8</t>
  </si>
  <si>
    <t>Follow Up9</t>
  </si>
  <si>
    <t>Follow Up10</t>
  </si>
  <si>
    <t>Follow Up11</t>
  </si>
  <si>
    <t>Follow Up12</t>
  </si>
  <si>
    <t>Follow Up13</t>
  </si>
  <si>
    <t>Follow Up14</t>
  </si>
  <si>
    <t>Follow Up15</t>
  </si>
  <si>
    <t>Follow Up16</t>
  </si>
  <si>
    <t>Sale Date</t>
  </si>
  <si>
    <t>Sale Price</t>
  </si>
  <si>
    <t>Follow Up</t>
  </si>
  <si>
    <t>Sold for $250k</t>
  </si>
  <si>
    <t>3/2</t>
  </si>
  <si>
    <t>2/1</t>
  </si>
  <si>
    <t>3/1</t>
  </si>
  <si>
    <t>4/4</t>
  </si>
  <si>
    <t>BR</t>
  </si>
  <si>
    <t>BA</t>
  </si>
  <si>
    <t>profit w finance</t>
  </si>
  <si>
    <t>4/3</t>
  </si>
  <si>
    <t>4/2</t>
  </si>
  <si>
    <t>listing</t>
  </si>
  <si>
    <t>4700  Auburn Folsom Rd,  Loomis, CA  95650</t>
  </si>
  <si>
    <t xml:space="preserve">Offer submitted 2/6 VACANT/lockbox Agent says no offers yet, lots of showings over weekend 605000/620000  Buyer to verify SF/permits. Seller states home is approximately 2600. Home has animal odor.Per seller laundry room &amp; sunroom weredone w/permits.See attached pest/roof inspections.Interim pest inspection done on kitchen floor area &amp; cleared. New flooring installed reduces pest by $1755 finacing costs 9440+ 3540 per month, 6 months = 30680, 12 months = </t>
  </si>
  <si>
    <t>Jordan</t>
  </si>
  <si>
    <t>8317 Lakeland</t>
  </si>
  <si>
    <t>Wholesale</t>
  </si>
  <si>
    <t>4425 H st, Sacramento CA 95819</t>
  </si>
  <si>
    <t>in Progress</t>
  </si>
  <si>
    <t>3308 Wright St, Sacramento</t>
  </si>
  <si>
    <t>2(3)/1</t>
  </si>
  <si>
    <t>Ken Jamison Referral</t>
  </si>
  <si>
    <t>Flip</t>
  </si>
  <si>
    <t>9535 Happy Hollow Lane, Newcastle</t>
  </si>
  <si>
    <t>Expired</t>
  </si>
  <si>
    <t>Kelly Krezek</t>
  </si>
  <si>
    <t>5611 La Casa Way Natomas, CA 95835</t>
  </si>
  <si>
    <t>5/3</t>
  </si>
  <si>
    <t>Valentyn</t>
  </si>
  <si>
    <t>4256 Birgit Way, Sacramento 95864</t>
  </si>
  <si>
    <t>8274 Holly Oak St, Citrus Heights</t>
  </si>
  <si>
    <t>Flip and Retail</t>
  </si>
  <si>
    <t>Tony</t>
  </si>
  <si>
    <t>Wholesale and Retail</t>
  </si>
  <si>
    <t>3/2.5</t>
  </si>
  <si>
    <t>notes</t>
  </si>
  <si>
    <t>BR/BA/
Gar</t>
  </si>
  <si>
    <t>Sq.Ft.</t>
  </si>
  <si>
    <t>ARV/sf</t>
  </si>
  <si>
    <t>Est.
Sales &amp; Holding</t>
  </si>
  <si>
    <t>PWF</t>
  </si>
  <si>
    <t>Outcome</t>
  </si>
  <si>
    <t>no</t>
  </si>
  <si>
    <t xml:space="preserve">902  Rumsey Way,  Folsom, CA  95630 </t>
  </si>
  <si>
    <t>Rejected</t>
  </si>
  <si>
    <t>call 2/10</t>
  </si>
  <si>
    <t>6904  Cherrywood Cir,  Sacramento, CA  95823</t>
  </si>
  <si>
    <t>offer/ split</t>
  </si>
  <si>
    <t>416 Winterhaven Ave, Sacramento, CA  95833</t>
  </si>
  <si>
    <t>major</t>
  </si>
  <si>
    <t>5801 Mendocino Blvd, Sacramento, CA 95824</t>
  </si>
  <si>
    <t>medium</t>
  </si>
  <si>
    <t>407 Mill St Grass Valley, CA 95945</t>
  </si>
  <si>
    <t>2/1.5</t>
  </si>
  <si>
    <t>5300 Wedge Cir, Fair Oaks, CA 95628</t>
  </si>
  <si>
    <t>offer</t>
  </si>
  <si>
    <t>727 Stone House Rd, Auburn, CA 95603</t>
  </si>
  <si>
    <t>4501 Careyback Ave, Elk Grove, CA 95758</t>
  </si>
  <si>
    <t>cosmetic</t>
  </si>
  <si>
    <t>seller firm on price?</t>
  </si>
  <si>
    <t>750 Arrowhead Ln, Auburn, CA 95602</t>
  </si>
  <si>
    <t>6945 Milbrook Way, Sacramento, CA 95823</t>
  </si>
  <si>
    <t>3163 Rockhampton Dr, Sacramento, CA 95833</t>
  </si>
  <si>
    <t>equity share?</t>
  </si>
  <si>
    <t>7453 Autumn Ave, Citrus Heights, CA 95621</t>
  </si>
  <si>
    <t>4418 Birdseye Way, Elk Grove, CA 95758</t>
  </si>
  <si>
    <t>The date for court confirmation is March 26 at 0830. Bidding will take place at Probate Court, Department 129 Granite Regional Center 3341 Power Inn Road Sacramento, CA 95826. At the court confirmation other potential buyers will be allowed to bid. Minimum opening bid will be $77,150.00 10% CASH or Cashiers check required for your maximum bid. Email Frank at frank@frankvalente.com for more information</t>
  </si>
  <si>
    <t>7264 Diana Way, Sacramento, CA 95828</t>
  </si>
  <si>
    <t>offers at 77k</t>
  </si>
  <si>
    <t>916 Las Palmas Ave</t>
  </si>
  <si>
    <t>7232 bellcamp st Rio Linda, CA</t>
  </si>
  <si>
    <t>Kevin</t>
  </si>
  <si>
    <t>seller firm - no</t>
  </si>
  <si>
    <t>5854 meghan way sacramento</t>
  </si>
  <si>
    <t>504 Royer, Roseville, CA 95678</t>
  </si>
  <si>
    <t>7051 Forman Way, Sacramento, CA 95828</t>
  </si>
  <si>
    <t>why no showings? how much repairs? any offers?</t>
  </si>
  <si>
    <t>7712 Garden Gate Dr, Citrus Heights, CA 95621</t>
  </si>
  <si>
    <t>2114 26th St, Sacramento, CA 95818</t>
  </si>
  <si>
    <t>6540 Auburn Blvd, Citrus Heights, CA 95621</t>
  </si>
  <si>
    <t>repair estimate</t>
  </si>
  <si>
    <t>7504 Chula Vista, Citrus Heights, CA 95610</t>
  </si>
  <si>
    <t>5566 Saint Andrews Dr, Stockton, CA 95219</t>
  </si>
  <si>
    <t>901 Bristol</t>
  </si>
  <si>
    <t>5/3.5</t>
  </si>
  <si>
    <t>buy and hold?</t>
  </si>
  <si>
    <t>Glasscock</t>
  </si>
  <si>
    <t>5 acres, school, winery</t>
  </si>
  <si>
    <t>too high, maybe less rehab</t>
  </si>
  <si>
    <t>5636 helen way sacramento ca</t>
  </si>
  <si>
    <t>wholesale</t>
  </si>
  <si>
    <t>paul rogers- repair estimate</t>
  </si>
  <si>
    <t>4901 Clydebank Way, Antelope CA 95843</t>
  </si>
  <si>
    <t>1.99 acres, craigslist</t>
  </si>
  <si>
    <t xml:space="preserve">6650 santa juanita way, orangevale
</t>
  </si>
  <si>
    <t>3901 McKinley Blvd, Sacramento, CA  95819</t>
  </si>
  <si>
    <t>6006-6012 martin luther king jr blvd south sacramento ca</t>
  </si>
  <si>
    <t>14 units</t>
  </si>
  <si>
    <t>125 W elverta rd</t>
  </si>
  <si>
    <t>843 capistrano ave south lake tahoe, CA</t>
  </si>
  <si>
    <t>2891 3rd ave, Sacramento CA</t>
  </si>
  <si>
    <t>949 33rd St, Sacramento</t>
  </si>
  <si>
    <t>3355 Midas Ave Rocklin</t>
  </si>
  <si>
    <t>5/2</t>
  </si>
  <si>
    <t>5949 alexandria place, Stockton CA</t>
  </si>
  <si>
    <t>4917 Donovan Dr, Carmichael, CA 95608</t>
  </si>
  <si>
    <t>9725 Ashstone Way, Elk Grove, CA 95624</t>
  </si>
  <si>
    <t>4/3.5</t>
  </si>
  <si>
    <t>7905 alma mesa Orangevale</t>
  </si>
  <si>
    <t xml:space="preserve">
</t>
  </si>
  <si>
    <t>1617 Cordano Way, Sacramento, CA  95818</t>
  </si>
  <si>
    <t>8337 Olivine Ave Citrus Heights</t>
  </si>
  <si>
    <t>preforeclosure</t>
  </si>
  <si>
    <t>4/2.5</t>
  </si>
  <si>
    <t>5014 Argo way</t>
  </si>
  <si>
    <t>561 37th st Sacramento</t>
  </si>
  <si>
    <t>208 circuit</t>
  </si>
  <si>
    <t>5160 teichert ave</t>
  </si>
  <si>
    <t>absentee</t>
  </si>
  <si>
    <t>4900 M st</t>
  </si>
  <si>
    <t>4440 wyman dr</t>
  </si>
  <si>
    <t>722 jo anne lane, Roseville</t>
  </si>
  <si>
    <t>Pocket listing</t>
  </si>
  <si>
    <t>Kelle -agent</t>
  </si>
  <si>
    <t>upside down, -45k equity</t>
  </si>
  <si>
    <t>449 Leos lane, Carmichael</t>
  </si>
  <si>
    <t>Marc - absentee owner, yellow letter</t>
  </si>
  <si>
    <t>6047 Casa Allegra, Carmichael</t>
  </si>
  <si>
    <t>5554 Hamilton st</t>
  </si>
  <si>
    <t>probate</t>
  </si>
  <si>
    <t>1075 rodeo way, Sacramento</t>
  </si>
  <si>
    <t>2(4)/2</t>
  </si>
  <si>
    <t>801 Vine Ave Roseville, CA</t>
  </si>
  <si>
    <t>Owner is selling to a friend</t>
  </si>
  <si>
    <t>6819 San Dimas Ct, Citrus Heights</t>
  </si>
  <si>
    <t>Probate</t>
  </si>
  <si>
    <t>Kim Bingham</t>
  </si>
  <si>
    <t>see aug 27 at 10am</t>
  </si>
  <si>
    <t>10121 Hillview Rd Newcastle, CA 95658</t>
  </si>
  <si>
    <t>2(3)/1.5</t>
  </si>
  <si>
    <t>offer in, follow up</t>
  </si>
  <si>
    <t>1152 49th st</t>
  </si>
  <si>
    <t>Active Short Sale</t>
  </si>
  <si>
    <t>Pending bring backup</t>
  </si>
  <si>
    <t>640 51st st, Sacramento</t>
  </si>
  <si>
    <t>Find buyer - aug 31 move out</t>
  </si>
  <si>
    <t>903 Graf Ct Roseville</t>
  </si>
  <si>
    <t>Darryl Rodgers</t>
  </si>
  <si>
    <t>put in offer</t>
  </si>
  <si>
    <t>1200 44th st, Sacramento</t>
  </si>
  <si>
    <t>follow up, see house</t>
  </si>
  <si>
    <t>4208 howard ave, Sacramento</t>
  </si>
  <si>
    <t>Marc Rodriguez</t>
  </si>
  <si>
    <t>letter of intent signed, do inspections</t>
  </si>
  <si>
    <t>6350 33rd Ave Sacramento</t>
  </si>
  <si>
    <t>Preforeclosure</t>
  </si>
  <si>
    <t>do research</t>
  </si>
  <si>
    <t>2734 and 2740 34th Ave</t>
  </si>
  <si>
    <t>Chris Baumann</t>
  </si>
  <si>
    <t>Velez Philip - 916-271-1399, Phil@InteroSacCentral.com 3509 41st St</t>
  </si>
  <si>
    <t>4009 Pennsyvania Ave, Fair Oaks</t>
  </si>
  <si>
    <t>Land</t>
  </si>
  <si>
    <t>.9 acres</t>
  </si>
  <si>
    <t>Wes</t>
  </si>
  <si>
    <t>See aug 26th at 1pm</t>
  </si>
  <si>
    <t>3165 O st, Sacramento</t>
  </si>
  <si>
    <t>see aug 26th at 1:30pm</t>
  </si>
  <si>
    <t>1615 34th st, Sacramento</t>
  </si>
  <si>
    <t>outdated, newer appliances,hazard report, add 300 sq ft?</t>
  </si>
  <si>
    <t>1945 Jo Ct Roseville</t>
  </si>
  <si>
    <t>2(3)/2</t>
  </si>
  <si>
    <t>490 Mckenzie Dr, Dixon CA</t>
  </si>
  <si>
    <t>3984 McKinley blvd, Sacramento</t>
  </si>
  <si>
    <t>3157 Bridgeford, Sacramento 95833</t>
  </si>
  <si>
    <t>9313 Medallion way, Sacramento 95826</t>
  </si>
  <si>
    <t>6126 Preston Cir, Rocklin</t>
  </si>
  <si>
    <t>Mike Castillo</t>
  </si>
  <si>
    <t>8 Margaret Lane Danville</t>
  </si>
  <si>
    <t>Jasmin</t>
  </si>
  <si>
    <t>4462 H st</t>
  </si>
  <si>
    <t>Sam</t>
  </si>
  <si>
    <t>4831 A st</t>
  </si>
  <si>
    <t>2588 Hutcheon Pl, Fairfield, CA 94533</t>
  </si>
  <si>
    <t>139 Brooklyn Ave, San Jose, CA 95128</t>
  </si>
  <si>
    <t>Hubzu</t>
  </si>
  <si>
    <t>5673 Odea Dr. Sacramento CA 95824</t>
  </si>
  <si>
    <t>2029 Ceres Way, Sacramento 95864</t>
  </si>
  <si>
    <t>7311 Hickory Ave, Orangevale</t>
  </si>
  <si>
    <t xml:space="preserve">Active </t>
  </si>
  <si>
    <t>3562 64th St, Sacramento (Tahoe Park)</t>
  </si>
  <si>
    <t>613 Andrew St, West Sac</t>
  </si>
  <si>
    <t>2910 American River Dr, Sacramento</t>
  </si>
  <si>
    <t>Pending</t>
  </si>
  <si>
    <t>4(5)/3</t>
  </si>
  <si>
    <t>Tedd</t>
  </si>
  <si>
    <t>7551 Circle Parkway, Sacramento</t>
  </si>
  <si>
    <t>Shiri Prasad</t>
  </si>
  <si>
    <t>100 Bison St, Placerville</t>
  </si>
  <si>
    <t>3124 Garfield Ave</t>
  </si>
  <si>
    <t>1/1</t>
  </si>
  <si>
    <t xml:space="preserve">2 house on lot </t>
  </si>
  <si>
    <t>2801 Marshall way</t>
  </si>
  <si>
    <t>Active court cont</t>
  </si>
  <si>
    <t>3/2 &amp; 1/1</t>
  </si>
  <si>
    <t>1048&amp;700</t>
  </si>
  <si>
    <t>NOD</t>
  </si>
  <si>
    <t>693 Downing Dr. Galt</t>
  </si>
  <si>
    <t>Mike</t>
  </si>
  <si>
    <t>Offer made, 2 lots, approved to build on 2nd vacant lot</t>
  </si>
  <si>
    <t>10783 4th st, Hood</t>
  </si>
  <si>
    <t>2/2</t>
  </si>
  <si>
    <t>Need to make offer</t>
  </si>
  <si>
    <t>107 Bell Ave, Sacramento</t>
  </si>
  <si>
    <t>Marc</t>
  </si>
  <si>
    <t>1712 Carnegie Way, El Dorado Hills</t>
  </si>
  <si>
    <t>Lenny</t>
  </si>
  <si>
    <t>500 39th st, Sacramento</t>
  </si>
  <si>
    <t>7994 Sunset ave</t>
  </si>
  <si>
    <t>1124 west 79th st, Indianapolis 46260</t>
  </si>
  <si>
    <t>3/3</t>
  </si>
  <si>
    <t>Dustin</t>
  </si>
  <si>
    <t>4825 Racetrack Rd Rocklin, CA 95677</t>
  </si>
  <si>
    <t>Prop Radar - Jeff</t>
  </si>
  <si>
    <t>1408 33RD ST, SACRAMENTO, CA 95816</t>
  </si>
  <si>
    <t>1796 S Kellogg Rd Newcastle, CA 95658</t>
  </si>
  <si>
    <t>181 BRIGGS RANCH DR, FOLSOM, CA 95630</t>
  </si>
  <si>
    <t>153 Egloff Cir, Folsom</t>
  </si>
  <si>
    <t>Short Sale</t>
  </si>
  <si>
    <t>Find Buyer</t>
  </si>
  <si>
    <t>6449 Rampart Dr</t>
  </si>
  <si>
    <t>39 Quasar</t>
  </si>
  <si>
    <t>Curtis</t>
  </si>
  <si>
    <t>419 Lincoln St, Roseville</t>
  </si>
  <si>
    <t>412 little river way</t>
  </si>
  <si>
    <t>Candice and Naomi</t>
  </si>
  <si>
    <t>5809 61st st</t>
  </si>
  <si>
    <t>foundation issue, sloping, 2 offers below, go see asap</t>
  </si>
  <si>
    <t>3135 Serra Way</t>
  </si>
  <si>
    <t>sent offer</t>
  </si>
  <si>
    <t>6043 Jansen Dr</t>
  </si>
  <si>
    <t>3701 Ripley Street, Sacramento</t>
  </si>
  <si>
    <t>1115 Glenrose Ave, Sacramento</t>
  </si>
  <si>
    <t>sold</t>
  </si>
  <si>
    <t>5917 Telesco Way, Carmichael</t>
  </si>
  <si>
    <t>4588 Barbee way</t>
  </si>
  <si>
    <t>needs termite work, dry rot $3000, rent 945</t>
  </si>
  <si>
    <t>198 El Camino</t>
  </si>
  <si>
    <t>9517 Achates Circle</t>
  </si>
  <si>
    <t>10287 Mount Vernon Rd, Auburn</t>
  </si>
  <si>
    <t>4249 Dymic Way</t>
  </si>
  <si>
    <t>5725 Canary Way</t>
  </si>
  <si>
    <t>Andrew Cornejo</t>
  </si>
  <si>
    <t>5800 Dotmar</t>
  </si>
  <si>
    <t>105 Fairgrounds Dr, Sacramento</t>
  </si>
  <si>
    <t>2188 Matson dr, Sacramento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</si>
</sst>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
  </numFmts>
  <fonts count="18">
    <font>
      <sz val="10.0"/>
      <color rgb="FF000000"/>
      <name val="Arial"/>
      <scheme val="minor"/>
    </font>
    <font>
      <b/>
      <sz val="10.0"/>
      <color theme="1"/>
      <name val="IBM Plex Sans"/>
    </font>
    <font>
      <b/>
      <sz val="10.0"/>
      <color rgb="FF0B5394"/>
      <name val="IBM Plex Sans"/>
    </font>
    <font>
      <sz val="9.0"/>
      <color theme="1"/>
      <name val="IBM Plex Sans"/>
    </font>
    <font>
      <sz val="9.0"/>
      <color rgb="FF0B5394"/>
      <name val="IBM Plex Sans"/>
    </font>
    <font>
      <b/>
      <sz val="9.0"/>
      <color theme="1"/>
      <name val="IBM Plex Sans"/>
    </font>
    <font>
      <u/>
      <sz val="9.0"/>
      <color rgb="FF0000FF"/>
      <name val="IBM Plex Sans"/>
    </font>
    <font>
      <b/>
      <sz val="9.0"/>
      <color rgb="FF0B5394"/>
      <name val="IBM Plex Sans"/>
    </font>
    <font>
      <b/>
      <color theme="1"/>
      <name val="Arial"/>
      <scheme val="minor"/>
    </font>
    <font>
      <b/>
      <color theme="1"/>
      <name val="Arial"/>
    </font>
    <font>
      <color theme="1"/>
      <name val="Arial"/>
      <scheme val="minor"/>
    </font>
    <font>
      <color theme="1"/>
      <name val="Arial"/>
    </font>
    <font>
      <color rgb="FF000000"/>
      <name val="Arial"/>
    </font>
    <font>
      <b/>
      <color rgb="FF000000"/>
      <name val="Arial"/>
    </font>
    <font>
      <sz val="9.0"/>
      <color rgb="FF000000"/>
      <name val="Helvetica Neue"/>
    </font>
    <font>
      <sz val="9.0"/>
      <color rgb="FF000000"/>
      <name val="Arial"/>
    </font>
    <font>
      <color rgb="FF222222"/>
      <name val="Arial"/>
    </font>
    <font>
      <b/>
      <color rgb="FF0000FF"/>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center" shrinkToFit="0" wrapText="0"/>
    </xf>
    <xf borderId="0" fillId="2" fontId="2" numFmtId="49" xfId="0" applyAlignment="1" applyFont="1" applyNumberFormat="1">
      <alignment horizontal="center" shrinkToFit="0" wrapText="1"/>
    </xf>
    <xf borderId="0" fillId="2" fontId="2" numFmtId="0" xfId="0" applyAlignment="1" applyFont="1">
      <alignment horizontal="center" shrinkToFit="0" wrapText="1"/>
    </xf>
    <xf borderId="0" fillId="2" fontId="1" numFmtId="2" xfId="0" applyAlignment="1" applyFont="1" applyNumberFormat="1">
      <alignment horizontal="center" shrinkToFit="0" wrapText="1"/>
    </xf>
    <xf borderId="0" fillId="2" fontId="2" numFmtId="1" xfId="0" applyAlignment="1" applyFont="1" applyNumberFormat="1">
      <alignment horizontal="center" shrinkToFit="0" wrapText="1"/>
    </xf>
    <xf borderId="0" fillId="2" fontId="1" numFmtId="1" xfId="0" applyAlignment="1" applyFont="1" applyNumberFormat="1">
      <alignment horizontal="center" shrinkToFit="0" wrapText="1"/>
    </xf>
    <xf borderId="0" fillId="2" fontId="1" numFmtId="0" xfId="0" applyAlignment="1" applyFont="1">
      <alignment horizontal="center" shrinkToFit="0" vertical="bottom" wrapText="1"/>
    </xf>
    <xf borderId="0" fillId="2" fontId="1" numFmtId="4" xfId="0" applyAlignment="1" applyFont="1" applyNumberFormat="1">
      <alignment horizontal="center" shrinkToFit="0" wrapText="1"/>
    </xf>
    <xf borderId="0" fillId="0" fontId="1" numFmtId="1" xfId="0" applyAlignment="1" applyFont="1" applyNumberFormat="1">
      <alignment horizontal="center" shrinkToFit="0" wrapText="1"/>
    </xf>
    <xf borderId="0" fillId="2" fontId="1" numFmtId="10" xfId="0" applyAlignment="1" applyFont="1" applyNumberFormat="1">
      <alignment horizontal="center" shrinkToFit="0" wrapText="1"/>
    </xf>
    <xf borderId="0" fillId="2" fontId="3" numFmtId="0" xfId="0" applyFont="1"/>
    <xf borderId="0" fillId="2" fontId="3" numFmtId="164" xfId="0" applyFont="1" applyNumberFormat="1"/>
    <xf borderId="0" fillId="2" fontId="3" numFmtId="0" xfId="0" applyAlignment="1" applyFont="1">
      <alignment horizontal="center" shrinkToFit="0" wrapText="0"/>
    </xf>
    <xf borderId="0" fillId="2" fontId="3" numFmtId="0" xfId="0" applyAlignment="1" applyFont="1">
      <alignment horizontal="center"/>
    </xf>
    <xf borderId="0" fillId="2" fontId="4" numFmtId="49" xfId="0" applyAlignment="1" applyFont="1" applyNumberFormat="1">
      <alignment horizontal="center"/>
    </xf>
    <xf borderId="0" fillId="2" fontId="4" numFmtId="0" xfId="0" applyAlignment="1" applyFont="1">
      <alignment horizontal="center"/>
    </xf>
    <xf borderId="0" fillId="2" fontId="3" numFmtId="2" xfId="0" applyAlignment="1" applyFont="1" applyNumberFormat="1">
      <alignment horizontal="center" vertical="bottom"/>
    </xf>
    <xf borderId="0" fillId="2" fontId="4" numFmtId="1" xfId="0" applyAlignment="1" applyFont="1" applyNumberFormat="1">
      <alignment horizontal="center"/>
    </xf>
    <xf borderId="0" fillId="2" fontId="3" numFmtId="4" xfId="0" applyAlignment="1" applyFont="1" applyNumberFormat="1">
      <alignment horizontal="center" vertical="bottom"/>
    </xf>
    <xf borderId="0" fillId="2" fontId="3" numFmtId="0" xfId="0" applyAlignment="1" applyFont="1">
      <alignment horizontal="right" vertical="bottom"/>
    </xf>
    <xf borderId="0" fillId="2" fontId="3" numFmtId="1" xfId="0" applyAlignment="1" applyFont="1" applyNumberFormat="1">
      <alignment horizontal="right" vertical="bottom"/>
    </xf>
    <xf borderId="0" fillId="2" fontId="4" numFmtId="1" xfId="0" applyAlignment="1" applyFont="1" applyNumberFormat="1">
      <alignment horizontal="right" vertical="bottom"/>
    </xf>
    <xf borderId="0" fillId="2" fontId="3" numFmtId="10" xfId="0" applyAlignment="1" applyFont="1" applyNumberFormat="1">
      <alignment horizontal="right" vertical="bottom"/>
    </xf>
    <xf borderId="0" fillId="2" fontId="3" numFmtId="1" xfId="0" applyAlignment="1" applyFont="1" applyNumberFormat="1">
      <alignment horizontal="center"/>
    </xf>
    <xf borderId="0" fillId="2" fontId="3" numFmtId="4" xfId="0" applyAlignment="1" applyFont="1" applyNumberFormat="1">
      <alignment horizontal="right" vertical="bottom"/>
    </xf>
    <xf borderId="0" fillId="0" fontId="3" numFmtId="10" xfId="0" applyAlignment="1" applyFont="1" applyNumberFormat="1">
      <alignment horizontal="right" vertical="bottom"/>
    </xf>
    <xf borderId="0" fillId="0" fontId="3" numFmtId="1" xfId="0" applyAlignment="1" applyFont="1" applyNumberFormat="1">
      <alignment horizontal="right" vertical="bottom"/>
    </xf>
    <xf borderId="0" fillId="0" fontId="3" numFmtId="0" xfId="0" applyFont="1"/>
    <xf borderId="0" fillId="0" fontId="3" numFmtId="1" xfId="0" applyFont="1" applyNumberFormat="1"/>
    <xf borderId="0" fillId="2" fontId="3" numFmtId="0" xfId="0" applyAlignment="1" applyFont="1">
      <alignment shrinkToFit="0" wrapText="0"/>
    </xf>
    <xf borderId="0" fillId="2" fontId="4" numFmtId="0" xfId="0" applyFont="1"/>
    <xf borderId="0" fillId="2" fontId="3" numFmtId="4" xfId="0" applyFont="1" applyNumberFormat="1"/>
    <xf borderId="0" fillId="2" fontId="3" numFmtId="10" xfId="0" applyFont="1" applyNumberFormat="1"/>
    <xf borderId="0" fillId="2" fontId="5" numFmtId="0" xfId="0" applyFont="1"/>
    <xf borderId="0" fillId="2" fontId="6" numFmtId="0" xfId="0" applyAlignment="1" applyFont="1">
      <alignment shrinkToFit="0" wrapText="0"/>
    </xf>
    <xf borderId="0" fillId="2" fontId="5" numFmtId="0" xfId="0" applyAlignment="1" applyFont="1">
      <alignment readingOrder="0"/>
    </xf>
    <xf borderId="0" fillId="2" fontId="7" numFmtId="0" xfId="0" applyAlignment="1" applyFont="1">
      <alignment readingOrder="0"/>
    </xf>
    <xf borderId="0" fillId="2" fontId="3" numFmtId="1" xfId="0" applyFont="1" applyNumberFormat="1"/>
    <xf borderId="0" fillId="2" fontId="8" numFmtId="0" xfId="0" applyAlignment="1" applyFont="1">
      <alignment horizontal="center" shrinkToFit="0" wrapText="1"/>
    </xf>
    <xf borderId="0" fillId="2" fontId="8" numFmtId="49" xfId="0" applyAlignment="1" applyFont="1" applyNumberFormat="1">
      <alignment horizontal="center" shrinkToFit="0" wrapText="1"/>
    </xf>
    <xf borderId="0" fillId="2" fontId="8" numFmtId="2" xfId="0" applyAlignment="1" applyFont="1" applyNumberFormat="1">
      <alignment horizontal="center" shrinkToFit="0" wrapText="1"/>
    </xf>
    <xf borderId="0" fillId="2" fontId="8" numFmtId="1" xfId="0" applyAlignment="1" applyFont="1" applyNumberFormat="1">
      <alignment horizontal="center" shrinkToFit="0" wrapText="1"/>
    </xf>
    <xf borderId="0" fillId="2" fontId="9" numFmtId="0" xfId="0" applyAlignment="1" applyFont="1">
      <alignment horizontal="center" shrinkToFit="0" vertical="bottom" wrapText="1"/>
    </xf>
    <xf borderId="0" fillId="2" fontId="8" numFmtId="4" xfId="0" applyAlignment="1" applyFont="1" applyNumberFormat="1">
      <alignment horizontal="center" shrinkToFit="0" wrapText="1"/>
    </xf>
    <xf borderId="0" fillId="0" fontId="8" numFmtId="1" xfId="0" applyAlignment="1" applyFont="1" applyNumberFormat="1">
      <alignment horizontal="center" shrinkToFit="0" wrapText="1"/>
    </xf>
    <xf borderId="0" fillId="2" fontId="8" numFmtId="10" xfId="0" applyAlignment="1" applyFont="1" applyNumberFormat="1">
      <alignment horizontal="center" shrinkToFit="0" wrapText="1"/>
    </xf>
    <xf borderId="0" fillId="2" fontId="10" numFmtId="0" xfId="0" applyFont="1"/>
    <xf borderId="0" fillId="2" fontId="10" numFmtId="164" xfId="0" applyFont="1" applyNumberFormat="1"/>
    <xf borderId="0" fillId="2" fontId="10" numFmtId="0" xfId="0" applyAlignment="1" applyFont="1">
      <alignment horizontal="center"/>
    </xf>
    <xf borderId="0" fillId="2" fontId="10" numFmtId="49" xfId="0" applyAlignment="1" applyFont="1" applyNumberFormat="1">
      <alignment horizontal="center"/>
    </xf>
    <xf borderId="0" fillId="2" fontId="11" numFmtId="2" xfId="0" applyAlignment="1" applyFont="1" applyNumberFormat="1">
      <alignment horizontal="center" vertical="bottom"/>
    </xf>
    <xf borderId="0" fillId="2" fontId="10" numFmtId="1" xfId="0" applyAlignment="1" applyFont="1" applyNumberFormat="1">
      <alignment horizontal="center"/>
    </xf>
    <xf borderId="0" fillId="2" fontId="11" numFmtId="4" xfId="0" applyAlignment="1" applyFont="1" applyNumberFormat="1">
      <alignment horizontal="center" vertical="bottom"/>
    </xf>
    <xf borderId="0" fillId="2" fontId="11" numFmtId="0" xfId="0" applyAlignment="1" applyFont="1">
      <alignment horizontal="right" vertical="bottom"/>
    </xf>
    <xf borderId="0" fillId="2" fontId="11" numFmtId="1" xfId="0" applyAlignment="1" applyFont="1" applyNumberFormat="1">
      <alignment horizontal="right" vertical="bottom"/>
    </xf>
    <xf borderId="0" fillId="2" fontId="11" numFmtId="10" xfId="0" applyAlignment="1" applyFont="1" applyNumberFormat="1">
      <alignment horizontal="right" vertical="bottom"/>
    </xf>
    <xf borderId="0" fillId="2" fontId="11" numFmtId="4" xfId="0" applyAlignment="1" applyFont="1" applyNumberFormat="1">
      <alignment horizontal="right" vertical="bottom"/>
    </xf>
    <xf borderId="0" fillId="0" fontId="11" numFmtId="10" xfId="0" applyAlignment="1" applyFont="1" applyNumberFormat="1">
      <alignment horizontal="right" vertical="bottom"/>
    </xf>
    <xf borderId="0" fillId="0" fontId="11" numFmtId="1" xfId="0" applyAlignment="1" applyFont="1" applyNumberFormat="1">
      <alignment horizontal="right" vertical="bottom"/>
    </xf>
    <xf borderId="0" fillId="0" fontId="10" numFmtId="0" xfId="0" applyFont="1"/>
    <xf borderId="0" fillId="0" fontId="10" numFmtId="1" xfId="0" applyFont="1" applyNumberFormat="1"/>
    <xf borderId="0" fillId="2" fontId="12" numFmtId="0" xfId="0" applyAlignment="1" applyFont="1">
      <alignment horizontal="center"/>
    </xf>
    <xf borderId="0" fillId="2" fontId="11" numFmtId="0" xfId="0" applyAlignment="1" applyFont="1">
      <alignment vertical="bottom"/>
    </xf>
    <xf borderId="0" fillId="2" fontId="11" numFmtId="165" xfId="0" applyAlignment="1" applyFont="1" applyNumberFormat="1">
      <alignment horizontal="right" vertical="bottom"/>
    </xf>
    <xf borderId="0" fillId="0" fontId="10" numFmtId="0" xfId="0" applyFont="1"/>
    <xf borderId="0" fillId="2" fontId="13" numFmtId="0" xfId="0" applyAlignment="1" applyFont="1">
      <alignment shrinkToFit="0" wrapText="0"/>
    </xf>
    <xf borderId="0" fillId="3" fontId="11" numFmtId="0" xfId="0" applyAlignment="1" applyFill="1" applyFont="1">
      <alignment vertical="bottom"/>
    </xf>
    <xf borderId="0" fillId="3" fontId="10" numFmtId="164" xfId="0" applyFont="1" applyNumberFormat="1"/>
    <xf borderId="0" fillId="3" fontId="11" numFmtId="0" xfId="0" applyAlignment="1" applyFont="1">
      <alignment horizontal="right" vertical="bottom"/>
    </xf>
    <xf borderId="0" fillId="3" fontId="11" numFmtId="2" xfId="0" applyAlignment="1" applyFont="1" applyNumberFormat="1">
      <alignment horizontal="center" vertical="bottom"/>
    </xf>
    <xf borderId="0" fillId="3" fontId="11" numFmtId="1" xfId="0" applyAlignment="1" applyFont="1" applyNumberFormat="1">
      <alignment horizontal="right" vertical="bottom"/>
    </xf>
    <xf borderId="0" fillId="3" fontId="11" numFmtId="0" xfId="0" applyAlignment="1" applyFont="1">
      <alignment horizontal="center" vertical="bottom"/>
    </xf>
    <xf borderId="0" fillId="3" fontId="11" numFmtId="1" xfId="0" applyAlignment="1" applyFont="1" applyNumberFormat="1">
      <alignment horizontal="center" vertical="bottom"/>
    </xf>
    <xf borderId="0" fillId="3" fontId="11" numFmtId="10" xfId="0" applyAlignment="1" applyFont="1" applyNumberFormat="1">
      <alignment horizontal="center" vertical="bottom"/>
    </xf>
    <xf borderId="0" fillId="3" fontId="10" numFmtId="1" xfId="0" applyAlignment="1" applyFont="1" applyNumberFormat="1">
      <alignment horizontal="center"/>
    </xf>
    <xf borderId="0" fillId="3" fontId="10" numFmtId="0" xfId="0" applyFont="1"/>
    <xf borderId="0" fillId="3" fontId="11" numFmtId="4" xfId="0" applyAlignment="1" applyFont="1" applyNumberFormat="1">
      <alignment horizontal="right" vertical="bottom"/>
    </xf>
    <xf borderId="0" fillId="3" fontId="11" numFmtId="10" xfId="0" applyAlignment="1" applyFont="1" applyNumberFormat="1">
      <alignment horizontal="right" vertical="bottom"/>
    </xf>
    <xf borderId="0" fillId="3" fontId="10" numFmtId="1" xfId="0" applyFont="1" applyNumberFormat="1"/>
    <xf borderId="0" fillId="4" fontId="10" numFmtId="0" xfId="0" applyFill="1" applyFont="1"/>
    <xf borderId="0" fillId="4" fontId="11" numFmtId="2" xfId="0" applyAlignment="1" applyFont="1" applyNumberFormat="1">
      <alignment horizontal="center" vertical="bottom"/>
    </xf>
    <xf borderId="0" fillId="4" fontId="10" numFmtId="1" xfId="0" applyAlignment="1" applyFont="1" applyNumberFormat="1">
      <alignment horizontal="center"/>
    </xf>
    <xf borderId="0" fillId="4" fontId="11" numFmtId="4" xfId="0" applyAlignment="1" applyFont="1" applyNumberFormat="1">
      <alignment horizontal="center" vertical="bottom"/>
    </xf>
    <xf borderId="0" fillId="4" fontId="11" numFmtId="0" xfId="0" applyAlignment="1" applyFont="1">
      <alignment horizontal="right" vertical="bottom"/>
    </xf>
    <xf borderId="0" fillId="4" fontId="10" numFmtId="0" xfId="0" applyAlignment="1" applyFont="1">
      <alignment horizontal="center"/>
    </xf>
    <xf borderId="0" fillId="4" fontId="11" numFmtId="1" xfId="0" applyAlignment="1" applyFont="1" applyNumberFormat="1">
      <alignment horizontal="right" vertical="bottom"/>
    </xf>
    <xf borderId="0" fillId="4" fontId="11" numFmtId="10" xfId="0" applyAlignment="1" applyFont="1" applyNumberFormat="1">
      <alignment horizontal="right" vertical="bottom"/>
    </xf>
    <xf borderId="0" fillId="4" fontId="11" numFmtId="4" xfId="0" applyAlignment="1" applyFont="1" applyNumberFormat="1">
      <alignment horizontal="right" vertical="bottom"/>
    </xf>
    <xf borderId="0" fillId="4" fontId="10" numFmtId="1" xfId="0" applyFont="1" applyNumberFormat="1"/>
    <xf borderId="0" fillId="4" fontId="10" numFmtId="164" xfId="0" applyFont="1" applyNumberFormat="1"/>
    <xf borderId="0" fillId="2" fontId="10" numFmtId="1" xfId="0" applyFont="1" applyNumberFormat="1"/>
    <xf borderId="0" fillId="4" fontId="13" numFmtId="0" xfId="0" applyAlignment="1" applyFont="1">
      <alignment shrinkToFit="0" wrapText="0"/>
    </xf>
    <xf borderId="0" fillId="4" fontId="14" numFmtId="0" xfId="0" applyFont="1"/>
    <xf borderId="0" fillId="0" fontId="14" numFmtId="0" xfId="0" applyFont="1"/>
    <xf borderId="0" fillId="2" fontId="10" numFmtId="4" xfId="0" applyFont="1" applyNumberFormat="1"/>
    <xf borderId="0" fillId="2" fontId="10" numFmtId="10" xfId="0" applyFont="1" applyNumberFormat="1"/>
    <xf borderId="0" fillId="2" fontId="8" numFmtId="0" xfId="0" applyFont="1"/>
    <xf borderId="0" fillId="0" fontId="8" numFmtId="0" xfId="0" applyAlignment="1" applyFont="1">
      <alignment horizontal="center" shrinkToFit="0" wrapText="1"/>
    </xf>
    <xf borderId="0" fillId="0" fontId="8" numFmtId="49" xfId="0" applyAlignment="1" applyFont="1" applyNumberFormat="1">
      <alignment horizontal="center" shrinkToFit="0" wrapText="1"/>
    </xf>
    <xf borderId="0" fillId="0" fontId="8" numFmtId="2" xfId="0" applyAlignment="1" applyFont="1" applyNumberFormat="1">
      <alignment horizontal="center" shrinkToFit="0" wrapText="1"/>
    </xf>
    <xf borderId="0" fillId="0" fontId="9" numFmtId="0" xfId="0" applyAlignment="1" applyFont="1">
      <alignment horizontal="center" shrinkToFit="0" vertical="bottom" wrapText="1"/>
    </xf>
    <xf borderId="0" fillId="0" fontId="10" numFmtId="14" xfId="0" applyFont="1" applyNumberFormat="1"/>
    <xf borderId="0" fillId="0" fontId="10" numFmtId="0" xfId="0" applyAlignment="1" applyFont="1">
      <alignment horizontal="center"/>
    </xf>
    <xf borderId="0" fillId="0" fontId="10" numFmtId="49" xfId="0" applyAlignment="1" applyFont="1" applyNumberFormat="1">
      <alignment horizontal="center"/>
    </xf>
    <xf borderId="0" fillId="0" fontId="10" numFmtId="2" xfId="0" applyAlignment="1" applyFont="1" applyNumberFormat="1">
      <alignment horizontal="center"/>
    </xf>
    <xf borderId="0" fillId="0" fontId="10" numFmtId="1" xfId="0" applyAlignment="1" applyFont="1" applyNumberFormat="1">
      <alignment horizontal="center"/>
    </xf>
    <xf borderId="0" fillId="0" fontId="11" numFmtId="49" xfId="0" applyAlignment="1" applyFont="1" applyNumberFormat="1">
      <alignment horizontal="right" vertical="bottom"/>
    </xf>
    <xf borderId="0" fillId="0" fontId="10" numFmtId="10" xfId="0" applyAlignment="1" applyFont="1" applyNumberFormat="1">
      <alignment horizontal="center"/>
    </xf>
    <xf borderId="0" fillId="0" fontId="10" numFmtId="164" xfId="0" applyFont="1" applyNumberFormat="1"/>
    <xf borderId="0" fillId="2" fontId="15" numFmtId="0" xfId="0" applyFont="1"/>
    <xf borderId="0" fillId="0" fontId="11" numFmtId="0" xfId="0" applyAlignment="1" applyFont="1">
      <alignment vertical="bottom"/>
    </xf>
    <xf borderId="0" fillId="0" fontId="11" numFmtId="164" xfId="0" applyAlignment="1" applyFont="1" applyNumberFormat="1">
      <alignment vertical="bottom"/>
    </xf>
    <xf borderId="0" fillId="0" fontId="11" numFmtId="0" xfId="0" applyAlignment="1" applyFont="1">
      <alignment horizontal="center" vertical="bottom"/>
    </xf>
    <xf borderId="0" fillId="0" fontId="11" numFmtId="49" xfId="0" applyAlignment="1" applyFont="1" applyNumberFormat="1">
      <alignment horizontal="center" vertical="bottom"/>
    </xf>
    <xf borderId="0" fillId="0" fontId="11" numFmtId="1" xfId="0" applyAlignment="1" applyFont="1" applyNumberFormat="1">
      <alignment horizontal="center" vertical="bottom"/>
    </xf>
    <xf borderId="0" fillId="0" fontId="11" numFmtId="10" xfId="0" applyAlignment="1" applyFont="1" applyNumberFormat="1">
      <alignment horizontal="center" vertical="bottom"/>
    </xf>
    <xf borderId="0" fillId="2" fontId="16" numFmtId="0" xfId="0" applyFont="1"/>
    <xf borderId="0" fillId="0" fontId="11" numFmtId="164" xfId="0" applyAlignment="1" applyFont="1" applyNumberFormat="1">
      <alignment horizontal="right" vertical="bottom"/>
    </xf>
    <xf borderId="0" fillId="0" fontId="11" numFmtId="49" xfId="0" applyAlignment="1" applyFont="1" applyNumberFormat="1">
      <alignment vertical="bottom"/>
    </xf>
    <xf borderId="0" fillId="0" fontId="11" numFmtId="0" xfId="0" applyAlignment="1" applyFont="1">
      <alignment horizontal="right" vertical="bottom"/>
    </xf>
    <xf borderId="0" fillId="0" fontId="11" numFmtId="2" xfId="0" applyAlignment="1" applyFont="1" applyNumberFormat="1">
      <alignment horizontal="right" vertical="bottom"/>
    </xf>
    <xf borderId="0" fillId="0" fontId="11" numFmtId="4" xfId="0" applyAlignment="1" applyFont="1" applyNumberFormat="1">
      <alignment horizontal="center" vertical="bottom"/>
    </xf>
    <xf borderId="0" fillId="0" fontId="11" numFmtId="2" xfId="0" applyAlignment="1" applyFont="1" applyNumberFormat="1">
      <alignment vertical="bottom"/>
    </xf>
    <xf borderId="0" fillId="0" fontId="11" numFmtId="10" xfId="0" applyAlignment="1" applyFont="1" applyNumberFormat="1">
      <alignment vertical="bottom"/>
    </xf>
    <xf borderId="0" fillId="0" fontId="11" numFmtId="1" xfId="0" applyAlignment="1" applyFont="1" applyNumberFormat="1">
      <alignment vertical="bottom"/>
    </xf>
    <xf borderId="0" fillId="2" fontId="17" numFmtId="0" xfId="0" applyAlignment="1" applyFont="1">
      <alignment shrinkToFit="0" wrapText="0"/>
    </xf>
    <xf borderId="0" fillId="4" fontId="10" numFmtId="49" xfId="0" applyAlignment="1" applyFont="1" applyNumberFormat="1">
      <alignment horizontal="center"/>
    </xf>
    <xf borderId="0" fillId="4" fontId="11" numFmtId="2" xfId="0" applyAlignment="1" applyFont="1" applyNumberFormat="1">
      <alignment horizontal="right" vertical="bottom"/>
    </xf>
    <xf borderId="0" fillId="4" fontId="11" numFmtId="49" xfId="0" applyAlignment="1" applyFont="1" applyNumberFormat="1">
      <alignment horizontal="right" vertical="bottom"/>
    </xf>
    <xf borderId="0" fillId="2" fontId="13" numFmtId="0" xfId="0" applyAlignment="1" applyFont="1">
      <alignment horizontal="center"/>
    </xf>
    <xf borderId="0" fillId="0" fontId="10" numFmtId="49" xfId="0" applyFont="1" applyNumberFormat="1"/>
    <xf borderId="0" fillId="0" fontId="10" numFmtId="2" xfId="0" applyFont="1" applyNumberFormat="1"/>
    <xf borderId="0" fillId="0" fontId="10" numFmtId="10" xfId="0" applyFont="1" applyNumberFormat="1"/>
    <xf borderId="0" fillId="0" fontId="11" numFmtId="0" xfId="0" applyAlignment="1" applyFont="1">
      <alignment shrinkToFit="0" vertical="bottom" wrapText="0"/>
    </xf>
    <xf borderId="0" fillId="0" fontId="11" numFmtId="2" xfId="0" applyAlignment="1" applyFont="1" applyNumberFormat="1">
      <alignment horizontal="center" vertical="bottom"/>
    </xf>
    <xf borderId="0" fillId="0" fontId="10" numFmtId="0" xfId="0" applyAlignment="1" applyFont="1">
      <alignment shrinkToFit="0" wrapText="0"/>
    </xf>
    <xf borderId="0" fillId="0" fontId="10" numFmtId="14" xfId="0" applyAlignment="1" applyFont="1" applyNumberFormat="1">
      <alignment shrinkToFit="0" wrapText="0"/>
    </xf>
    <xf borderId="0" fillId="0" fontId="10" numFmtId="0" xfId="0" applyAlignment="1" applyFont="1">
      <alignment horizontal="center" shrinkToFit="0" wrapText="0"/>
    </xf>
    <xf borderId="0" fillId="0" fontId="10" numFmtId="49" xfId="0" applyAlignment="1" applyFont="1" applyNumberFormat="1">
      <alignment horizontal="center" shrinkToFit="0" wrapText="0"/>
    </xf>
    <xf borderId="0" fillId="0" fontId="10" numFmtId="2" xfId="0" applyAlignment="1" applyFont="1" applyNumberFormat="1">
      <alignment shrinkToFit="0" wrapText="0"/>
    </xf>
    <xf borderId="0" fillId="0" fontId="10" numFmtId="1" xfId="0" applyAlignment="1" applyFont="1" applyNumberFormat="1">
      <alignment shrinkToFit="0" wrapText="0"/>
    </xf>
  </cellXfs>
  <cellStyles count="1">
    <cellStyle xfId="0" name="Normal" builtinId="0"/>
  </cellStyles>
  <dxfs count="1">
    <dxf>
      <font>
        <color rgb="FFFFFFFF"/>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illow.com/homedetails/2514-Star-Grass-Cir-Austin-TX-78745/29501091_zpid/" TargetMode="External"/><Relationship Id="rId2" Type="http://schemas.openxmlformats.org/officeDocument/2006/relationships/hyperlink" Target="https://www.zillow.com/homedetails/112-W-Oak-Loop-Cedar-Creek-TX-78612/84380673_zpi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1.38"/>
    <col customWidth="1" min="2" max="2" width="14.0"/>
    <col customWidth="1" min="3" max="3" width="6.38"/>
    <col customWidth="1" min="4" max="4" width="5.75"/>
    <col customWidth="1" min="5" max="5" width="8.25"/>
    <col customWidth="1" min="6" max="6" width="5.0"/>
    <col customWidth="1" min="7" max="7" width="3.13"/>
    <col customWidth="1" min="8" max="8" width="4.63"/>
    <col customWidth="1" min="9" max="9" width="6.63"/>
    <col customWidth="1" min="10" max="10" width="6.38"/>
    <col customWidth="1" min="11" max="11" width="6.75"/>
    <col customWidth="1" min="12" max="13" width="6.38"/>
    <col customWidth="1" min="14" max="14" width="5.0"/>
    <col customWidth="1" min="15" max="15" width="7.0"/>
    <col customWidth="1" min="16" max="16" width="6.38"/>
    <col customWidth="1" min="17" max="17" width="6.5"/>
    <col customWidth="1" min="18" max="18" width="8.75"/>
    <col customWidth="1" min="19" max="19" width="8.25"/>
    <col customWidth="1" min="20" max="20" width="8.88"/>
    <col customWidth="1" min="21" max="21" width="7.5"/>
    <col customWidth="1" min="22" max="22" width="7.13"/>
    <col customWidth="1" min="23" max="23" width="6.5"/>
    <col customWidth="1" min="24" max="24" width="7.75"/>
    <col customWidth="1" min="25" max="25" width="9.0"/>
    <col customWidth="1" min="26" max="26" width="13.25"/>
    <col customWidth="1" min="27" max="27" width="6.0"/>
    <col customWidth="1" min="29" max="29" width="8.25"/>
    <col customWidth="1" min="30" max="30" width="9.25"/>
    <col customWidth="1" min="31" max="31" width="12.13"/>
    <col customWidth="1" min="32" max="32" width="11.63"/>
    <col customWidth="1" min="33" max="33" width="12.13"/>
    <col customWidth="1" min="34" max="34" width="10.25"/>
    <col customWidth="1" min="35" max="35" width="12.75"/>
    <col customWidth="1" min="36" max="36" width="11.88"/>
    <col customWidth="1" min="37" max="37" width="8.75"/>
    <col customWidth="1" min="38" max="38" width="12.13"/>
    <col customWidth="1" min="39" max="39" width="12.63"/>
    <col customWidth="1" min="48" max="48" width="4.63"/>
    <col customWidth="1" min="49" max="49" width="14.63"/>
    <col customWidth="1" min="50" max="50" width="11.38"/>
    <col customWidth="1" min="51" max="51" width="4.63"/>
    <col customWidth="1" min="52" max="52" width="5.88"/>
    <col customWidth="1" min="53" max="53" width="4.38"/>
    <col customWidth="1" min="54" max="55" width="7.13"/>
    <col customWidth="1" min="56" max="56" width="6.5"/>
  </cols>
  <sheetData>
    <row r="1" ht="15.75" customHeight="1">
      <c r="A1" s="1" t="s">
        <v>0</v>
      </c>
      <c r="B1" s="1" t="s">
        <v>1</v>
      </c>
      <c r="C1" s="1" t="s">
        <v>2</v>
      </c>
      <c r="D1" s="2" t="s">
        <v>3</v>
      </c>
      <c r="E1" s="1" t="s">
        <v>4</v>
      </c>
      <c r="F1" s="3" t="s">
        <v>5</v>
      </c>
      <c r="G1" s="3" t="s">
        <v>6</v>
      </c>
      <c r="H1" s="4" t="s">
        <v>7</v>
      </c>
      <c r="I1" s="4" t="s">
        <v>8</v>
      </c>
      <c r="J1" s="4" t="s">
        <v>9</v>
      </c>
      <c r="K1" s="5" t="s">
        <v>10</v>
      </c>
      <c r="L1" s="4" t="s">
        <v>11</v>
      </c>
      <c r="M1" s="4" t="s">
        <v>12</v>
      </c>
      <c r="N1" s="6" t="s">
        <v>13</v>
      </c>
      <c r="O1" s="5" t="s">
        <v>14</v>
      </c>
      <c r="P1" s="1" t="s">
        <v>15</v>
      </c>
      <c r="Q1" s="7" t="s">
        <v>16</v>
      </c>
      <c r="R1" s="7" t="s">
        <v>17</v>
      </c>
      <c r="S1" s="6" t="s">
        <v>18</v>
      </c>
      <c r="T1" s="7" t="s">
        <v>19</v>
      </c>
      <c r="U1" s="7" t="s">
        <v>20</v>
      </c>
      <c r="V1" s="7" t="s">
        <v>21</v>
      </c>
      <c r="W1" s="7" t="s">
        <v>22</v>
      </c>
      <c r="X1" s="7" t="s">
        <v>23</v>
      </c>
      <c r="Y1" s="7" t="s">
        <v>24</v>
      </c>
      <c r="Z1" s="1" t="s">
        <v>25</v>
      </c>
      <c r="AA1" s="1" t="s">
        <v>26</v>
      </c>
      <c r="AB1" s="1"/>
      <c r="AC1" s="1" t="s">
        <v>27</v>
      </c>
      <c r="AD1" s="1" t="s">
        <v>28</v>
      </c>
      <c r="AE1" s="1" t="s">
        <v>29</v>
      </c>
      <c r="AF1" s="1" t="s">
        <v>30</v>
      </c>
      <c r="AG1" s="1" t="s">
        <v>31</v>
      </c>
      <c r="AH1" s="1" t="s">
        <v>32</v>
      </c>
      <c r="AI1" s="1" t="s">
        <v>33</v>
      </c>
      <c r="AJ1" s="1" t="s">
        <v>34</v>
      </c>
      <c r="AK1" s="8" t="s">
        <v>35</v>
      </c>
      <c r="AL1" s="8" t="s">
        <v>36</v>
      </c>
      <c r="AM1" s="8" t="s">
        <v>37</v>
      </c>
      <c r="AN1" s="8" t="s">
        <v>38</v>
      </c>
      <c r="AO1" s="8" t="s">
        <v>39</v>
      </c>
      <c r="AP1" s="8" t="s">
        <v>40</v>
      </c>
      <c r="AQ1" s="8" t="s">
        <v>41</v>
      </c>
      <c r="AR1" s="8" t="s">
        <v>42</v>
      </c>
      <c r="AS1" s="8" t="s">
        <v>43</v>
      </c>
      <c r="AT1" s="1"/>
      <c r="AU1" s="1" t="s">
        <v>44</v>
      </c>
      <c r="AV1" s="7" t="s">
        <v>45</v>
      </c>
      <c r="AW1" s="9" t="s">
        <v>46</v>
      </c>
      <c r="AX1" s="9" t="s">
        <v>47</v>
      </c>
      <c r="AY1" s="10" t="s">
        <v>48</v>
      </c>
      <c r="AZ1" s="11" t="s">
        <v>49</v>
      </c>
      <c r="BA1" s="7" t="s">
        <v>50</v>
      </c>
      <c r="BB1" s="7" t="s">
        <v>51</v>
      </c>
      <c r="BC1" s="7" t="s">
        <v>52</v>
      </c>
      <c r="BD1" s="1" t="s">
        <v>53</v>
      </c>
      <c r="BE1" s="1" t="s">
        <v>54</v>
      </c>
      <c r="BF1" s="1"/>
      <c r="BG1" s="1"/>
      <c r="BH1" s="1"/>
      <c r="BI1" s="1"/>
      <c r="BJ1" s="1"/>
      <c r="BK1" s="1"/>
      <c r="BL1" s="1"/>
      <c r="BM1" s="1"/>
      <c r="BN1" s="1"/>
      <c r="BO1" s="1"/>
      <c r="BP1" s="1"/>
      <c r="BQ1" s="1"/>
      <c r="BR1" s="1"/>
      <c r="BS1" s="1"/>
      <c r="BT1" s="1"/>
      <c r="BU1" s="1"/>
      <c r="BV1" s="1"/>
      <c r="BW1" s="1"/>
      <c r="BX1" s="1"/>
      <c r="BY1" s="1"/>
    </row>
    <row r="2" ht="15.75" customHeight="1">
      <c r="A2" s="12" t="s">
        <v>55</v>
      </c>
      <c r="B2" s="12"/>
      <c r="C2" s="13">
        <v>42744.0</v>
      </c>
      <c r="D2" s="14"/>
      <c r="E2" s="15"/>
      <c r="F2" s="16" t="s">
        <v>56</v>
      </c>
      <c r="G2" s="16" t="s">
        <v>57</v>
      </c>
      <c r="H2" s="17">
        <v>2300.0</v>
      </c>
      <c r="I2" s="17">
        <v>198000.0</v>
      </c>
      <c r="J2" s="17">
        <v>198000.0</v>
      </c>
      <c r="K2" s="18">
        <f>J2/H2</f>
        <v>86.08695652</v>
      </c>
      <c r="L2" s="17">
        <v>50000.0</v>
      </c>
      <c r="M2" s="17">
        <v>350000.0</v>
      </c>
      <c r="N2" s="19">
        <f>H2</f>
        <v>2300</v>
      </c>
      <c r="O2" s="20">
        <f>M2/N2</f>
        <v>152.173913</v>
      </c>
      <c r="P2" s="21">
        <f>M2-J2</f>
        <v>152000</v>
      </c>
      <c r="Q2" s="22">
        <f>MULTIPLY(0.07,M2)</f>
        <v>24500</v>
      </c>
      <c r="R2" s="22">
        <f>0.05*T2</f>
        <v>13625</v>
      </c>
      <c r="S2" s="23"/>
      <c r="T2" s="22">
        <f>SUM(J2,L2,Q2)</f>
        <v>272500</v>
      </c>
      <c r="U2" s="22">
        <f>P2-L2-Q2</f>
        <v>77500</v>
      </c>
      <c r="V2" s="22">
        <f>U2-R2</f>
        <v>63875</v>
      </c>
      <c r="W2" s="24">
        <f>DIVIDE(U2,T2)</f>
        <v>0.2844036697</v>
      </c>
      <c r="X2" s="22">
        <f>(M2*0.75)-L2</f>
        <v>212500</v>
      </c>
      <c r="Y2" s="25">
        <f t="shared" ref="Y2:Y14" si="1">X2-J2</f>
        <v>14500</v>
      </c>
      <c r="Z2" s="12"/>
      <c r="AA2" s="12"/>
      <c r="AB2" s="12"/>
      <c r="AC2" s="12">
        <f>SUM(AD2:AQ2)</f>
        <v>30100</v>
      </c>
      <c r="AD2" s="12">
        <v>8000.0</v>
      </c>
      <c r="AE2" s="12">
        <f>2000*G2</f>
        <v>4000</v>
      </c>
      <c r="AF2" s="12">
        <f>2*N2</f>
        <v>4600</v>
      </c>
      <c r="AG2" s="12">
        <f>2*N2</f>
        <v>4600</v>
      </c>
      <c r="AH2" s="12">
        <f>3*N2</f>
        <v>6900</v>
      </c>
      <c r="AI2" s="12"/>
      <c r="AJ2" s="12">
        <v>2000.0</v>
      </c>
      <c r="AK2" s="12"/>
      <c r="AL2" s="12"/>
      <c r="AM2" s="12"/>
      <c r="AN2" s="12"/>
      <c r="AO2" s="12"/>
      <c r="AP2" s="12"/>
      <c r="AQ2" s="12"/>
      <c r="AR2" s="12"/>
      <c r="AS2" s="12"/>
      <c r="AT2" s="12"/>
      <c r="AU2" s="12"/>
      <c r="AV2" s="21">
        <v>0.9</v>
      </c>
      <c r="AW2" s="26">
        <f>AV2*J2</f>
        <v>178200</v>
      </c>
      <c r="AX2" s="26"/>
      <c r="AY2" s="27">
        <v>0.02</v>
      </c>
      <c r="AZ2" s="24">
        <v>0.1</v>
      </c>
      <c r="BA2" s="22">
        <v>6.0</v>
      </c>
      <c r="BB2" s="28">
        <f>BC2/BA2</f>
        <v>1485</v>
      </c>
      <c r="BC2" s="28">
        <f>(AW2+AX2)*AZ2/12*BA2</f>
        <v>8910</v>
      </c>
      <c r="BD2" s="29">
        <f>(AW2+AX2)*AY2</f>
        <v>3564</v>
      </c>
      <c r="BE2" s="30">
        <f>BC2+BD2</f>
        <v>12474</v>
      </c>
      <c r="BF2" s="12"/>
      <c r="BG2" s="12"/>
      <c r="BH2" s="12"/>
      <c r="BI2" s="12"/>
      <c r="BJ2" s="12"/>
      <c r="BK2" s="12"/>
      <c r="BL2" s="12"/>
      <c r="BM2" s="12"/>
      <c r="BN2" s="12"/>
      <c r="BO2" s="12"/>
      <c r="BP2" s="12"/>
      <c r="BQ2" s="12"/>
      <c r="BR2" s="12"/>
      <c r="BS2" s="12"/>
      <c r="BT2" s="12"/>
      <c r="BU2" s="12"/>
      <c r="BV2" s="12"/>
      <c r="BW2" s="12"/>
      <c r="BX2" s="12"/>
      <c r="BY2" s="12"/>
    </row>
    <row r="3" ht="15.75" customHeight="1">
      <c r="A3" s="12"/>
      <c r="B3" s="12"/>
      <c r="C3" s="12"/>
      <c r="D3" s="31"/>
      <c r="E3" s="12"/>
      <c r="F3" s="32"/>
      <c r="G3" s="32"/>
      <c r="H3" s="32"/>
      <c r="I3" s="32"/>
      <c r="J3" s="32"/>
      <c r="K3" s="18"/>
      <c r="L3" s="32"/>
      <c r="M3" s="32"/>
      <c r="N3" s="32"/>
      <c r="O3" s="20"/>
      <c r="P3" s="21"/>
      <c r="Q3" s="22"/>
      <c r="R3" s="22"/>
      <c r="S3" s="23"/>
      <c r="T3" s="22"/>
      <c r="U3" s="22"/>
      <c r="V3" s="22"/>
      <c r="W3" s="24"/>
      <c r="X3" s="22"/>
      <c r="Y3" s="25">
        <f t="shared" si="1"/>
        <v>0</v>
      </c>
      <c r="Z3" s="12"/>
      <c r="AA3" s="12"/>
      <c r="AB3" s="12"/>
      <c r="AC3" s="12"/>
      <c r="AD3" s="12"/>
      <c r="AE3" s="12"/>
      <c r="AF3" s="12"/>
      <c r="AG3" s="12"/>
      <c r="AH3" s="12"/>
      <c r="AI3" s="12"/>
      <c r="AJ3" s="12"/>
      <c r="AK3" s="12"/>
      <c r="AL3" s="12"/>
      <c r="AM3" s="12"/>
      <c r="AN3" s="12"/>
      <c r="AO3" s="12"/>
      <c r="AP3" s="12"/>
      <c r="AQ3" s="12"/>
      <c r="AR3" s="12"/>
      <c r="AS3" s="12"/>
      <c r="AT3" s="12"/>
      <c r="AU3" s="12"/>
      <c r="AV3" s="12"/>
      <c r="AW3" s="33"/>
      <c r="AX3" s="33"/>
      <c r="AY3" s="29"/>
      <c r="AZ3" s="34"/>
      <c r="BA3" s="12"/>
      <c r="BB3" s="28"/>
      <c r="BC3" s="12"/>
      <c r="BD3" s="12"/>
      <c r="BE3" s="12"/>
      <c r="BF3" s="12"/>
      <c r="BG3" s="12"/>
      <c r="BH3" s="12"/>
      <c r="BI3" s="12"/>
      <c r="BJ3" s="12"/>
      <c r="BK3" s="12"/>
      <c r="BL3" s="12"/>
      <c r="BM3" s="12"/>
      <c r="BN3" s="12"/>
      <c r="BO3" s="12"/>
      <c r="BP3" s="12"/>
      <c r="BQ3" s="12"/>
      <c r="BR3" s="12"/>
      <c r="BS3" s="12"/>
      <c r="BT3" s="12"/>
      <c r="BU3" s="12"/>
      <c r="BV3" s="12"/>
      <c r="BW3" s="12"/>
      <c r="BX3" s="12"/>
      <c r="BY3" s="12"/>
    </row>
    <row r="4" ht="15.75" customHeight="1">
      <c r="A4" s="12"/>
      <c r="B4" s="12"/>
      <c r="C4" s="12"/>
      <c r="D4" s="31"/>
      <c r="E4" s="12"/>
      <c r="F4" s="32"/>
      <c r="G4" s="32"/>
      <c r="H4" s="32"/>
      <c r="I4" s="32"/>
      <c r="J4" s="32"/>
      <c r="K4" s="18"/>
      <c r="L4" s="32"/>
      <c r="M4" s="32"/>
      <c r="N4" s="32"/>
      <c r="O4" s="20"/>
      <c r="P4" s="21"/>
      <c r="Q4" s="22"/>
      <c r="R4" s="22"/>
      <c r="S4" s="23"/>
      <c r="T4" s="22"/>
      <c r="U4" s="22"/>
      <c r="V4" s="22"/>
      <c r="W4" s="24"/>
      <c r="X4" s="22"/>
      <c r="Y4" s="25">
        <f t="shared" si="1"/>
        <v>0</v>
      </c>
      <c r="Z4" s="12"/>
      <c r="AA4" s="12"/>
      <c r="AB4" s="12"/>
      <c r="AC4" s="12"/>
      <c r="AD4" s="12"/>
      <c r="AE4" s="12"/>
      <c r="AF4" s="12"/>
      <c r="AG4" s="12"/>
      <c r="AH4" s="12"/>
      <c r="AI4" s="12"/>
      <c r="AJ4" s="12"/>
      <c r="AK4" s="12"/>
      <c r="AL4" s="12"/>
      <c r="AM4" s="12"/>
      <c r="AN4" s="12"/>
      <c r="AO4" s="12"/>
      <c r="AP4" s="12"/>
      <c r="AQ4" s="12"/>
      <c r="AR4" s="12"/>
      <c r="AS4" s="12"/>
      <c r="AT4" s="12"/>
      <c r="AU4" s="12"/>
      <c r="AV4" s="12"/>
      <c r="AW4" s="33"/>
      <c r="AX4" s="33"/>
      <c r="AY4" s="29"/>
      <c r="AZ4" s="34"/>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ht="15.75" customHeight="1">
      <c r="A5" s="35" t="s">
        <v>58</v>
      </c>
      <c r="B5" s="12"/>
      <c r="C5" s="12"/>
      <c r="D5" s="31"/>
      <c r="E5" s="12"/>
      <c r="F5" s="32"/>
      <c r="G5" s="32"/>
      <c r="H5" s="32"/>
      <c r="I5" s="32"/>
      <c r="J5" s="32"/>
      <c r="K5" s="18"/>
      <c r="L5" s="32"/>
      <c r="M5" s="32"/>
      <c r="N5" s="32"/>
      <c r="O5" s="20"/>
      <c r="P5" s="21"/>
      <c r="Q5" s="22"/>
      <c r="R5" s="22"/>
      <c r="S5" s="23"/>
      <c r="T5" s="22"/>
      <c r="U5" s="22"/>
      <c r="V5" s="22"/>
      <c r="W5" s="24"/>
      <c r="X5" s="22"/>
      <c r="Y5" s="25">
        <f t="shared" si="1"/>
        <v>0</v>
      </c>
      <c r="Z5" s="12"/>
      <c r="AA5" s="12"/>
      <c r="AB5" s="12"/>
      <c r="AC5" s="12"/>
      <c r="AD5" s="12"/>
      <c r="AE5" s="12"/>
      <c r="AF5" s="12"/>
      <c r="AG5" s="12"/>
      <c r="AH5" s="12"/>
      <c r="AI5" s="12"/>
      <c r="AJ5" s="12"/>
      <c r="AK5" s="12"/>
      <c r="AL5" s="12"/>
      <c r="AM5" s="12"/>
      <c r="AN5" s="12"/>
      <c r="AO5" s="12"/>
      <c r="AP5" s="12"/>
      <c r="AQ5" s="12"/>
      <c r="AR5" s="12"/>
      <c r="AS5" s="12"/>
      <c r="AT5" s="12"/>
      <c r="AU5" s="12"/>
      <c r="AV5" s="12"/>
      <c r="AW5" s="33"/>
      <c r="AX5" s="33"/>
      <c r="AY5" s="29"/>
      <c r="AZ5" s="34"/>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ht="15.75" customHeight="1">
      <c r="A6" s="12" t="s">
        <v>59</v>
      </c>
      <c r="B6" s="12"/>
      <c r="C6" s="12"/>
      <c r="D6" s="31"/>
      <c r="E6" s="12"/>
      <c r="F6" s="32">
        <v>3.0</v>
      </c>
      <c r="G6" s="32">
        <v>2.0</v>
      </c>
      <c r="H6" s="32">
        <v>1178.0</v>
      </c>
      <c r="I6" s="32">
        <v>325000.0</v>
      </c>
      <c r="J6" s="32">
        <v>300000.0</v>
      </c>
      <c r="K6" s="18">
        <f t="shared" ref="K6:K10" si="2">J6/H6</f>
        <v>254.6689304</v>
      </c>
      <c r="L6" s="32">
        <v>50000.0</v>
      </c>
      <c r="M6" s="32">
        <v>500000.0</v>
      </c>
      <c r="N6" s="32"/>
      <c r="O6" s="20" t="str">
        <f t="shared" ref="O6:O14" si="3">M6/N6</f>
        <v>#DIV/0!</v>
      </c>
      <c r="P6" s="21">
        <f t="shared" ref="P6:P14" si="4">M6-J6</f>
        <v>200000</v>
      </c>
      <c r="Q6" s="22">
        <f t="shared" ref="Q6:Q14" si="5">MULTIPLY(0.07,M6)</f>
        <v>35000</v>
      </c>
      <c r="R6" s="22">
        <f t="shared" ref="R6:R12" si="6">0.012*J6</f>
        <v>3600</v>
      </c>
      <c r="S6" s="23">
        <v>6.0</v>
      </c>
      <c r="T6" s="22">
        <f t="shared" ref="T6:T14" si="7">SUM(J6,L6,Q6)</f>
        <v>385000</v>
      </c>
      <c r="U6" s="22">
        <f t="shared" ref="U6:U14" si="8">P6-L6-Q6</f>
        <v>115000</v>
      </c>
      <c r="V6" s="22">
        <f t="shared" ref="V6:V14" si="9">U6-(R6*S6)</f>
        <v>93400</v>
      </c>
      <c r="W6" s="24">
        <f t="shared" ref="W6:W14" si="10">DIVIDE(U6,T6)</f>
        <v>0.2987012987</v>
      </c>
      <c r="X6" s="22">
        <f t="shared" ref="X6:X14" si="11">(M6*0.75)-L6</f>
        <v>325000</v>
      </c>
      <c r="Y6" s="25">
        <f t="shared" si="1"/>
        <v>25000</v>
      </c>
      <c r="Z6" s="12"/>
      <c r="AA6" s="12"/>
      <c r="AB6" s="12"/>
      <c r="AC6" s="12"/>
      <c r="AD6" s="12"/>
      <c r="AE6" s="12"/>
      <c r="AF6" s="12"/>
      <c r="AG6" s="12"/>
      <c r="AH6" s="12"/>
      <c r="AI6" s="12"/>
      <c r="AJ6" s="12"/>
      <c r="AK6" s="12"/>
      <c r="AL6" s="12"/>
      <c r="AM6" s="12"/>
      <c r="AN6" s="12"/>
      <c r="AO6" s="12"/>
      <c r="AP6" s="12"/>
      <c r="AQ6" s="12"/>
      <c r="AR6" s="12"/>
      <c r="AS6" s="12"/>
      <c r="AT6" s="12"/>
      <c r="AU6" s="12"/>
      <c r="AV6" s="12"/>
      <c r="AW6" s="33"/>
      <c r="AX6" s="33"/>
      <c r="AY6" s="29"/>
      <c r="AZ6" s="34"/>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ht="15.75" customHeight="1">
      <c r="A7" s="12" t="s">
        <v>60</v>
      </c>
      <c r="B7" s="12"/>
      <c r="C7" s="13">
        <v>45457.0</v>
      </c>
      <c r="D7" s="31"/>
      <c r="E7" s="12"/>
      <c r="F7" s="32">
        <v>3.0</v>
      </c>
      <c r="G7" s="32">
        <v>3.0</v>
      </c>
      <c r="H7" s="32">
        <v>2752.0</v>
      </c>
      <c r="I7" s="32">
        <v>499000.0</v>
      </c>
      <c r="J7" s="32">
        <v>450000.0</v>
      </c>
      <c r="K7" s="18">
        <f t="shared" si="2"/>
        <v>163.5174419</v>
      </c>
      <c r="L7" s="32">
        <v>300000.0</v>
      </c>
      <c r="M7" s="32">
        <v>950000.0</v>
      </c>
      <c r="N7" s="32">
        <v>2752.0</v>
      </c>
      <c r="O7" s="20">
        <f t="shared" si="3"/>
        <v>345.2034884</v>
      </c>
      <c r="P7" s="21">
        <f t="shared" si="4"/>
        <v>500000</v>
      </c>
      <c r="Q7" s="22">
        <f t="shared" si="5"/>
        <v>66500</v>
      </c>
      <c r="R7" s="22">
        <f t="shared" si="6"/>
        <v>5400</v>
      </c>
      <c r="S7" s="23">
        <v>18.0</v>
      </c>
      <c r="T7" s="22">
        <f t="shared" si="7"/>
        <v>816500</v>
      </c>
      <c r="U7" s="22">
        <f t="shared" si="8"/>
        <v>133500</v>
      </c>
      <c r="V7" s="22">
        <f t="shared" si="9"/>
        <v>36300</v>
      </c>
      <c r="W7" s="24">
        <f t="shared" si="10"/>
        <v>0.1635027557</v>
      </c>
      <c r="X7" s="22">
        <f t="shared" si="11"/>
        <v>412500</v>
      </c>
      <c r="Y7" s="25">
        <f t="shared" si="1"/>
        <v>-37500</v>
      </c>
      <c r="Z7" s="12"/>
      <c r="AA7" s="12"/>
      <c r="AB7" s="12"/>
      <c r="AC7" s="12">
        <f>SUM(AD7:AQ7)</f>
        <v>175264</v>
      </c>
      <c r="AD7" s="12">
        <v>150000.0</v>
      </c>
      <c r="AE7" s="12">
        <f>2000*G7</f>
        <v>6000</v>
      </c>
      <c r="AF7" s="12">
        <f>2*N7</f>
        <v>5504</v>
      </c>
      <c r="AG7" s="12">
        <f>2*N7</f>
        <v>5504</v>
      </c>
      <c r="AH7" s="12">
        <f>3*N7</f>
        <v>8256</v>
      </c>
      <c r="AI7" s="12"/>
      <c r="AJ7" s="12"/>
      <c r="AK7" s="12"/>
      <c r="AL7" s="12"/>
      <c r="AM7" s="12"/>
      <c r="AN7" s="12"/>
      <c r="AO7" s="12"/>
      <c r="AP7" s="12"/>
      <c r="AQ7" s="12"/>
      <c r="AR7" s="12"/>
      <c r="AS7" s="12"/>
      <c r="AT7" s="12"/>
      <c r="AU7" s="12"/>
      <c r="AV7" s="12"/>
      <c r="AW7" s="33"/>
      <c r="AX7" s="33"/>
      <c r="AY7" s="29"/>
      <c r="AZ7" s="34"/>
      <c r="BA7" s="12"/>
      <c r="BB7" s="12"/>
      <c r="BC7" s="12"/>
      <c r="BD7" s="12"/>
      <c r="BE7" s="12"/>
      <c r="BF7" s="12"/>
      <c r="BG7" s="12"/>
      <c r="BH7" s="12"/>
      <c r="BI7" s="12"/>
      <c r="BJ7" s="12"/>
      <c r="BK7" s="12"/>
      <c r="BL7" s="12"/>
      <c r="BM7" s="12"/>
      <c r="BN7" s="12"/>
      <c r="BO7" s="12"/>
      <c r="BP7" s="12"/>
      <c r="BQ7" s="12"/>
      <c r="BR7" s="12"/>
      <c r="BS7" s="12"/>
      <c r="BT7" s="12"/>
      <c r="BU7" s="12"/>
      <c r="BV7" s="12"/>
      <c r="BW7" s="12"/>
      <c r="BX7" s="12"/>
      <c r="BY7" s="12"/>
    </row>
    <row r="8" ht="15.75" customHeight="1">
      <c r="A8" s="12" t="s">
        <v>61</v>
      </c>
      <c r="B8" s="12"/>
      <c r="C8" s="13">
        <v>45457.0</v>
      </c>
      <c r="D8" s="36" t="s">
        <v>62</v>
      </c>
      <c r="E8" s="12"/>
      <c r="F8" s="32">
        <v>3.0</v>
      </c>
      <c r="G8" s="32"/>
      <c r="H8" s="32">
        <v>1350.0</v>
      </c>
      <c r="I8" s="32">
        <v>475000.0</v>
      </c>
      <c r="J8" s="32">
        <v>450000.0</v>
      </c>
      <c r="K8" s="18">
        <f t="shared" si="2"/>
        <v>333.3333333</v>
      </c>
      <c r="L8" s="32">
        <v>90000.0</v>
      </c>
      <c r="M8" s="32">
        <v>600000.0</v>
      </c>
      <c r="N8" s="32">
        <v>1350.0</v>
      </c>
      <c r="O8" s="20">
        <f t="shared" si="3"/>
        <v>444.4444444</v>
      </c>
      <c r="P8" s="21">
        <f t="shared" si="4"/>
        <v>150000</v>
      </c>
      <c r="Q8" s="22">
        <f t="shared" si="5"/>
        <v>42000</v>
      </c>
      <c r="R8" s="22">
        <f t="shared" si="6"/>
        <v>5400</v>
      </c>
      <c r="S8" s="23">
        <v>6.0</v>
      </c>
      <c r="T8" s="22">
        <f t="shared" si="7"/>
        <v>582000</v>
      </c>
      <c r="U8" s="22">
        <f t="shared" si="8"/>
        <v>18000</v>
      </c>
      <c r="V8" s="22">
        <f t="shared" si="9"/>
        <v>-14400</v>
      </c>
      <c r="W8" s="24">
        <f t="shared" si="10"/>
        <v>0.03092783505</v>
      </c>
      <c r="X8" s="22">
        <f t="shared" si="11"/>
        <v>360000</v>
      </c>
      <c r="Y8" s="25">
        <f t="shared" si="1"/>
        <v>-90000</v>
      </c>
      <c r="Z8" s="12"/>
      <c r="AA8" s="12"/>
      <c r="AB8" s="12"/>
      <c r="AC8" s="12"/>
      <c r="AD8" s="12"/>
      <c r="AE8" s="12"/>
      <c r="AF8" s="12"/>
      <c r="AG8" s="12"/>
      <c r="AH8" s="12"/>
      <c r="AI8" s="12"/>
      <c r="AJ8" s="12"/>
      <c r="AK8" s="12"/>
      <c r="AL8" s="12"/>
      <c r="AM8" s="12"/>
      <c r="AN8" s="12"/>
      <c r="AO8" s="12"/>
      <c r="AP8" s="12"/>
      <c r="AQ8" s="12"/>
      <c r="AR8" s="12"/>
      <c r="AS8" s="12"/>
      <c r="AT8" s="12"/>
      <c r="AU8" s="12"/>
      <c r="AV8" s="12"/>
      <c r="AW8" s="33"/>
      <c r="AX8" s="33"/>
      <c r="AY8" s="29"/>
      <c r="AZ8" s="34"/>
      <c r="BA8" s="12"/>
      <c r="BB8" s="12"/>
      <c r="BC8" s="12"/>
      <c r="BD8" s="12"/>
      <c r="BE8" s="12"/>
      <c r="BF8" s="12"/>
      <c r="BG8" s="12"/>
      <c r="BH8" s="12"/>
      <c r="BI8" s="12"/>
      <c r="BJ8" s="12"/>
      <c r="BK8" s="12"/>
      <c r="BL8" s="12"/>
      <c r="BM8" s="12"/>
      <c r="BN8" s="12"/>
      <c r="BO8" s="12"/>
      <c r="BP8" s="12"/>
      <c r="BQ8" s="12"/>
      <c r="BR8" s="12"/>
      <c r="BS8" s="12"/>
      <c r="BT8" s="12"/>
      <c r="BU8" s="12"/>
      <c r="BV8" s="12"/>
      <c r="BW8" s="12"/>
      <c r="BX8" s="12"/>
      <c r="BY8" s="12"/>
    </row>
    <row r="9" ht="15.75" customHeight="1">
      <c r="A9" s="12" t="s">
        <v>63</v>
      </c>
      <c r="B9" s="12"/>
      <c r="C9" s="13">
        <v>45457.0</v>
      </c>
      <c r="D9" s="36" t="s">
        <v>64</v>
      </c>
      <c r="E9" s="12"/>
      <c r="F9" s="32">
        <v>4.0</v>
      </c>
      <c r="G9" s="32">
        <v>3.0</v>
      </c>
      <c r="H9" s="32">
        <v>2156.0</v>
      </c>
      <c r="I9" s="32">
        <v>375000.0</v>
      </c>
      <c r="J9" s="32">
        <v>300000.0</v>
      </c>
      <c r="K9" s="18">
        <f t="shared" si="2"/>
        <v>139.1465677</v>
      </c>
      <c r="L9" s="32">
        <v>100000.0</v>
      </c>
      <c r="M9" s="32">
        <v>530000.0</v>
      </c>
      <c r="N9" s="32">
        <v>2166.0</v>
      </c>
      <c r="O9" s="20">
        <f t="shared" si="3"/>
        <v>244.6906741</v>
      </c>
      <c r="P9" s="21">
        <f t="shared" si="4"/>
        <v>230000</v>
      </c>
      <c r="Q9" s="22">
        <f t="shared" si="5"/>
        <v>37100</v>
      </c>
      <c r="R9" s="22">
        <f t="shared" si="6"/>
        <v>3600</v>
      </c>
      <c r="S9" s="23">
        <v>12.0</v>
      </c>
      <c r="T9" s="22">
        <f t="shared" si="7"/>
        <v>437100</v>
      </c>
      <c r="U9" s="22">
        <f t="shared" si="8"/>
        <v>92900</v>
      </c>
      <c r="V9" s="22">
        <f t="shared" si="9"/>
        <v>49700</v>
      </c>
      <c r="W9" s="24">
        <f t="shared" si="10"/>
        <v>0.2125371768</v>
      </c>
      <c r="X9" s="22">
        <f t="shared" si="11"/>
        <v>297500</v>
      </c>
      <c r="Y9" s="25">
        <f t="shared" si="1"/>
        <v>-2500</v>
      </c>
      <c r="Z9" s="12"/>
      <c r="AA9" s="12"/>
      <c r="AB9" s="12"/>
      <c r="AC9" s="12"/>
      <c r="AD9" s="12"/>
      <c r="AE9" s="12"/>
      <c r="AF9" s="12"/>
      <c r="AG9" s="12"/>
      <c r="AH9" s="12"/>
      <c r="AI9" s="12"/>
      <c r="AJ9" s="12"/>
      <c r="AK9" s="12"/>
      <c r="AL9" s="12"/>
      <c r="AM9" s="12"/>
      <c r="AN9" s="12"/>
      <c r="AO9" s="12"/>
      <c r="AP9" s="12"/>
      <c r="AQ9" s="12"/>
      <c r="AR9" s="12"/>
      <c r="AS9" s="12"/>
      <c r="AT9" s="12"/>
      <c r="AU9" s="12"/>
      <c r="AV9" s="12"/>
      <c r="AW9" s="33"/>
      <c r="AX9" s="33"/>
      <c r="AY9" s="29"/>
      <c r="AZ9" s="34"/>
      <c r="BA9" s="12"/>
      <c r="BB9" s="12"/>
      <c r="BC9" s="12"/>
      <c r="BD9" s="12"/>
      <c r="BE9" s="12"/>
      <c r="BF9" s="12"/>
      <c r="BG9" s="12"/>
      <c r="BH9" s="12"/>
      <c r="BI9" s="12"/>
      <c r="BJ9" s="12"/>
      <c r="BK9" s="12"/>
      <c r="BL9" s="12"/>
      <c r="BM9" s="12"/>
      <c r="BN9" s="12"/>
      <c r="BO9" s="12"/>
      <c r="BP9" s="12"/>
      <c r="BQ9" s="12"/>
      <c r="BR9" s="12"/>
      <c r="BS9" s="12"/>
      <c r="BT9" s="12"/>
      <c r="BU9" s="12"/>
      <c r="BV9" s="12"/>
      <c r="BW9" s="12"/>
      <c r="BX9" s="12"/>
      <c r="BY9" s="12"/>
    </row>
    <row r="10" ht="15.75" customHeight="1">
      <c r="A10" s="12" t="s">
        <v>65</v>
      </c>
      <c r="C10" s="12"/>
      <c r="D10" s="31"/>
      <c r="E10" s="12"/>
      <c r="F10" s="32"/>
      <c r="G10" s="32"/>
      <c r="H10" s="32">
        <v>1212.0</v>
      </c>
      <c r="I10" s="32">
        <v>415000.0</v>
      </c>
      <c r="J10" s="32">
        <v>360000.0</v>
      </c>
      <c r="K10" s="18">
        <f t="shared" si="2"/>
        <v>297.029703</v>
      </c>
      <c r="L10" s="32">
        <v>80000.0</v>
      </c>
      <c r="M10" s="32">
        <v>600000.0</v>
      </c>
      <c r="N10" s="32"/>
      <c r="O10" s="20" t="str">
        <f t="shared" si="3"/>
        <v>#DIV/0!</v>
      </c>
      <c r="P10" s="21">
        <f t="shared" si="4"/>
        <v>240000</v>
      </c>
      <c r="Q10" s="22">
        <f t="shared" si="5"/>
        <v>42000</v>
      </c>
      <c r="R10" s="22">
        <f t="shared" si="6"/>
        <v>4320</v>
      </c>
      <c r="S10" s="23">
        <v>6.0</v>
      </c>
      <c r="T10" s="22">
        <f t="shared" si="7"/>
        <v>482000</v>
      </c>
      <c r="U10" s="22">
        <f t="shared" si="8"/>
        <v>118000</v>
      </c>
      <c r="V10" s="22">
        <f t="shared" si="9"/>
        <v>92080</v>
      </c>
      <c r="W10" s="24">
        <f t="shared" si="10"/>
        <v>0.244813278</v>
      </c>
      <c r="X10" s="22">
        <f t="shared" si="11"/>
        <v>370000</v>
      </c>
      <c r="Y10" s="25">
        <f t="shared" si="1"/>
        <v>10000</v>
      </c>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33"/>
      <c r="AX10" s="33"/>
      <c r="AY10" s="29"/>
      <c r="AZ10" s="34"/>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row>
    <row r="11" ht="15.75" customHeight="1">
      <c r="A11" s="12" t="s">
        <v>66</v>
      </c>
      <c r="C11" s="12"/>
      <c r="D11" s="31"/>
      <c r="E11" s="12"/>
      <c r="F11" s="32"/>
      <c r="G11" s="32"/>
      <c r="H11" s="32">
        <v>1194.0</v>
      </c>
      <c r="I11" s="32">
        <v>350000.0</v>
      </c>
      <c r="J11" s="32">
        <v>330000.0</v>
      </c>
      <c r="K11" s="12"/>
      <c r="L11" s="32">
        <v>80000.0</v>
      </c>
      <c r="M11" s="32">
        <v>550000.0</v>
      </c>
      <c r="N11" s="32">
        <v>1194.0</v>
      </c>
      <c r="O11" s="20">
        <f t="shared" si="3"/>
        <v>460.6365159</v>
      </c>
      <c r="P11" s="21">
        <f t="shared" si="4"/>
        <v>220000</v>
      </c>
      <c r="Q11" s="22">
        <f t="shared" si="5"/>
        <v>38500</v>
      </c>
      <c r="R11" s="22">
        <f t="shared" si="6"/>
        <v>3960</v>
      </c>
      <c r="S11" s="23">
        <v>9.0</v>
      </c>
      <c r="T11" s="22">
        <f t="shared" si="7"/>
        <v>448500</v>
      </c>
      <c r="U11" s="22">
        <f t="shared" si="8"/>
        <v>101500</v>
      </c>
      <c r="V11" s="22">
        <f t="shared" si="9"/>
        <v>65860</v>
      </c>
      <c r="W11" s="24">
        <f t="shared" si="10"/>
        <v>0.226309922</v>
      </c>
      <c r="X11" s="22">
        <f t="shared" si="11"/>
        <v>332500</v>
      </c>
      <c r="Y11" s="25">
        <f t="shared" si="1"/>
        <v>2500</v>
      </c>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33"/>
      <c r="AX11" s="33"/>
      <c r="AY11" s="29"/>
      <c r="AZ11" s="34"/>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row>
    <row r="12" ht="15.75" customHeight="1">
      <c r="A12" s="12" t="s">
        <v>67</v>
      </c>
      <c r="B12" s="12"/>
      <c r="C12" s="12"/>
      <c r="D12" s="31"/>
      <c r="E12" s="12"/>
      <c r="F12" s="32"/>
      <c r="G12" s="32"/>
      <c r="H12" s="32"/>
      <c r="I12" s="32">
        <v>445000.0</v>
      </c>
      <c r="J12" s="32">
        <v>350000.0</v>
      </c>
      <c r="K12" s="12"/>
      <c r="L12" s="32">
        <v>150000.0</v>
      </c>
      <c r="M12" s="32">
        <v>650000.0</v>
      </c>
      <c r="N12" s="32"/>
      <c r="O12" s="20" t="str">
        <f t="shared" si="3"/>
        <v>#DIV/0!</v>
      </c>
      <c r="P12" s="21">
        <f t="shared" si="4"/>
        <v>300000</v>
      </c>
      <c r="Q12" s="22">
        <f t="shared" si="5"/>
        <v>45500</v>
      </c>
      <c r="R12" s="22">
        <f t="shared" si="6"/>
        <v>4200</v>
      </c>
      <c r="S12" s="23">
        <v>9.0</v>
      </c>
      <c r="T12" s="22">
        <f t="shared" si="7"/>
        <v>545500</v>
      </c>
      <c r="U12" s="22">
        <f t="shared" si="8"/>
        <v>104500</v>
      </c>
      <c r="V12" s="22">
        <f t="shared" si="9"/>
        <v>66700</v>
      </c>
      <c r="W12" s="24">
        <f t="shared" si="10"/>
        <v>0.1915673694</v>
      </c>
      <c r="X12" s="22">
        <f t="shared" si="11"/>
        <v>337500</v>
      </c>
      <c r="Y12" s="25">
        <f t="shared" si="1"/>
        <v>-12500</v>
      </c>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33"/>
      <c r="AX12" s="33"/>
      <c r="AY12" s="29"/>
      <c r="AZ12" s="34"/>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row>
    <row r="13" ht="15.75" customHeight="1">
      <c r="A13" s="12" t="s">
        <v>68</v>
      </c>
      <c r="B13" s="12"/>
      <c r="C13" s="12"/>
      <c r="D13" s="31"/>
      <c r="E13" s="12"/>
      <c r="F13" s="32">
        <v>2.0</v>
      </c>
      <c r="G13" s="32">
        <v>3.0</v>
      </c>
      <c r="H13" s="32">
        <v>1990.0</v>
      </c>
      <c r="I13" s="32">
        <v>350000.0</v>
      </c>
      <c r="J13" s="32">
        <v>350000.0</v>
      </c>
      <c r="K13" s="12"/>
      <c r="L13" s="32">
        <v>175000.0</v>
      </c>
      <c r="M13" s="32">
        <v>850000.0</v>
      </c>
      <c r="N13" s="32">
        <v>3590.0</v>
      </c>
      <c r="O13" s="20">
        <f t="shared" si="3"/>
        <v>236.7688022</v>
      </c>
      <c r="P13" s="21">
        <f t="shared" si="4"/>
        <v>500000</v>
      </c>
      <c r="Q13" s="22">
        <f t="shared" si="5"/>
        <v>59500</v>
      </c>
      <c r="R13" s="22">
        <f>0.012*(J13+500000)</f>
        <v>10200</v>
      </c>
      <c r="S13" s="23">
        <v>12.0</v>
      </c>
      <c r="T13" s="22">
        <f t="shared" si="7"/>
        <v>584500</v>
      </c>
      <c r="U13" s="22">
        <f t="shared" si="8"/>
        <v>265500</v>
      </c>
      <c r="V13" s="22">
        <f t="shared" si="9"/>
        <v>143100</v>
      </c>
      <c r="W13" s="24">
        <f t="shared" si="10"/>
        <v>0.4542343884</v>
      </c>
      <c r="X13" s="22">
        <f t="shared" si="11"/>
        <v>462500</v>
      </c>
      <c r="Y13" s="25">
        <f t="shared" si="1"/>
        <v>112500</v>
      </c>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33"/>
      <c r="AX13" s="33"/>
      <c r="AY13" s="29"/>
      <c r="AZ13" s="34"/>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row>
    <row r="14" ht="15.75" customHeight="1">
      <c r="A14" s="12" t="s">
        <v>69</v>
      </c>
      <c r="B14" s="12"/>
      <c r="C14" s="12"/>
      <c r="D14" s="31"/>
      <c r="E14" s="12"/>
      <c r="F14" s="32">
        <v>2.0</v>
      </c>
      <c r="G14" s="32">
        <v>3.0</v>
      </c>
      <c r="H14" s="32">
        <v>1990.0</v>
      </c>
      <c r="I14" s="32">
        <v>350000.0</v>
      </c>
      <c r="J14" s="32">
        <v>350000.0</v>
      </c>
      <c r="K14" s="12"/>
      <c r="L14" s="32">
        <v>175000.0</v>
      </c>
      <c r="M14" s="32">
        <v>675000.0</v>
      </c>
      <c r="N14" s="32">
        <v>1990.0</v>
      </c>
      <c r="O14" s="20">
        <f t="shared" si="3"/>
        <v>339.1959799</v>
      </c>
      <c r="P14" s="21">
        <f t="shared" si="4"/>
        <v>325000</v>
      </c>
      <c r="Q14" s="22">
        <f t="shared" si="5"/>
        <v>47250</v>
      </c>
      <c r="R14" s="22">
        <f>0.012*(J14)</f>
        <v>4200</v>
      </c>
      <c r="S14" s="23">
        <v>9.0</v>
      </c>
      <c r="T14" s="22">
        <f t="shared" si="7"/>
        <v>572250</v>
      </c>
      <c r="U14" s="22">
        <f t="shared" si="8"/>
        <v>102750</v>
      </c>
      <c r="V14" s="22">
        <f t="shared" si="9"/>
        <v>64950</v>
      </c>
      <c r="W14" s="24">
        <f t="shared" si="10"/>
        <v>0.1795543906</v>
      </c>
      <c r="X14" s="22">
        <f t="shared" si="11"/>
        <v>331250</v>
      </c>
      <c r="Y14" s="25">
        <f t="shared" si="1"/>
        <v>-18750</v>
      </c>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33"/>
      <c r="AX14" s="33"/>
      <c r="AY14" s="29"/>
      <c r="AZ14" s="34"/>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row>
    <row r="15" ht="15.75" customHeight="1">
      <c r="A15" s="37" t="s">
        <v>70</v>
      </c>
      <c r="B15" s="12"/>
      <c r="C15" s="12"/>
      <c r="D15" s="31"/>
      <c r="E15" s="12"/>
      <c r="F15" s="32"/>
      <c r="G15" s="32"/>
      <c r="H15" s="32"/>
      <c r="I15" s="32"/>
      <c r="J15" s="38" t="s">
        <v>71</v>
      </c>
      <c r="K15" s="12"/>
      <c r="L15" s="38" t="s">
        <v>72</v>
      </c>
      <c r="M15" s="38" t="s">
        <v>73</v>
      </c>
      <c r="N15" s="38" t="s">
        <v>74</v>
      </c>
      <c r="O15" s="12"/>
      <c r="P15" s="12"/>
      <c r="Q15" s="12"/>
      <c r="R15" s="12"/>
      <c r="S15" s="38" t="s">
        <v>75</v>
      </c>
      <c r="T15" s="12"/>
      <c r="U15" s="12"/>
      <c r="V15" s="39"/>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33"/>
      <c r="AX15" s="33"/>
      <c r="AY15" s="29"/>
      <c r="AZ15" s="34"/>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row>
    <row r="16" ht="15.75" customHeight="1">
      <c r="A16" s="12"/>
      <c r="B16" s="12"/>
      <c r="C16" s="12"/>
      <c r="D16" s="31"/>
      <c r="E16" s="12"/>
      <c r="F16" s="32"/>
      <c r="G16" s="32"/>
      <c r="H16" s="32"/>
      <c r="I16" s="32"/>
      <c r="J16" s="32"/>
      <c r="K16" s="12"/>
      <c r="L16" s="32"/>
      <c r="M16" s="32"/>
      <c r="N16" s="32"/>
      <c r="O16" s="12"/>
      <c r="P16" s="12"/>
      <c r="Q16" s="12"/>
      <c r="R16" s="12"/>
      <c r="S16" s="32"/>
      <c r="T16" s="12"/>
      <c r="U16" s="12"/>
      <c r="V16" s="39"/>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33"/>
      <c r="AX16" s="33"/>
      <c r="AY16" s="29"/>
      <c r="AZ16" s="34"/>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row>
    <row r="17" ht="15.75" customHeight="1">
      <c r="A17" s="12"/>
      <c r="B17" s="12"/>
      <c r="C17" s="12"/>
      <c r="D17" s="31"/>
      <c r="E17" s="12"/>
      <c r="F17" s="32"/>
      <c r="G17" s="32"/>
      <c r="H17" s="32"/>
      <c r="I17" s="32"/>
      <c r="J17" s="32"/>
      <c r="K17" s="12"/>
      <c r="L17" s="32"/>
      <c r="M17" s="32"/>
      <c r="N17" s="32"/>
      <c r="O17" s="12"/>
      <c r="P17" s="12"/>
      <c r="Q17" s="12"/>
      <c r="R17" s="12"/>
      <c r="S17" s="32"/>
      <c r="T17" s="12"/>
      <c r="U17" s="12"/>
      <c r="V17" s="39"/>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33"/>
      <c r="AX17" s="33"/>
      <c r="AY17" s="29"/>
      <c r="AZ17" s="34"/>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row>
    <row r="18" ht="15.75" customHeight="1">
      <c r="A18" s="12"/>
      <c r="B18" s="12"/>
      <c r="C18" s="12"/>
      <c r="D18" s="31"/>
      <c r="E18" s="12"/>
      <c r="F18" s="32"/>
      <c r="G18" s="32"/>
      <c r="H18" s="32"/>
      <c r="I18" s="32"/>
      <c r="J18" s="32"/>
      <c r="K18" s="12"/>
      <c r="L18" s="32"/>
      <c r="M18" s="32"/>
      <c r="N18" s="32"/>
      <c r="O18" s="12"/>
      <c r="P18" s="12"/>
      <c r="Q18" s="12"/>
      <c r="R18" s="12"/>
      <c r="S18" s="32"/>
      <c r="T18" s="12"/>
      <c r="U18" s="12"/>
      <c r="V18" s="39"/>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33"/>
      <c r="AX18" s="33"/>
      <c r="AY18" s="29"/>
      <c r="AZ18" s="34"/>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row>
    <row r="19" ht="15.75" customHeight="1">
      <c r="A19" s="12"/>
      <c r="B19" s="12"/>
      <c r="C19" s="12"/>
      <c r="D19" s="31"/>
      <c r="E19" s="12"/>
      <c r="F19" s="32"/>
      <c r="G19" s="32"/>
      <c r="H19" s="32"/>
      <c r="I19" s="32"/>
      <c r="J19" s="32"/>
      <c r="K19" s="12"/>
      <c r="L19" s="32"/>
      <c r="M19" s="32"/>
      <c r="N19" s="32"/>
      <c r="O19" s="12"/>
      <c r="P19" s="12"/>
      <c r="Q19" s="12"/>
      <c r="R19" s="12"/>
      <c r="S19" s="32"/>
      <c r="T19" s="12"/>
      <c r="U19" s="12"/>
      <c r="V19" s="39"/>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33"/>
      <c r="AX19" s="33"/>
      <c r="AY19" s="29"/>
      <c r="AZ19" s="34"/>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row>
    <row r="20" ht="15.75" customHeight="1">
      <c r="A20" s="12"/>
      <c r="B20" s="12"/>
      <c r="C20" s="12"/>
      <c r="D20" s="31"/>
      <c r="E20" s="12"/>
      <c r="F20" s="32"/>
      <c r="G20" s="32"/>
      <c r="H20" s="32"/>
      <c r="I20" s="32"/>
      <c r="J20" s="32"/>
      <c r="K20" s="12"/>
      <c r="L20" s="32"/>
      <c r="M20" s="32"/>
      <c r="N20" s="32"/>
      <c r="O20" s="12"/>
      <c r="P20" s="12"/>
      <c r="Q20" s="12"/>
      <c r="R20" s="12"/>
      <c r="S20" s="32"/>
      <c r="T20" s="12"/>
      <c r="U20" s="12"/>
      <c r="V20" s="39"/>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33"/>
      <c r="AX20" s="33"/>
      <c r="AY20" s="29"/>
      <c r="AZ20" s="34"/>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row>
    <row r="21" ht="15.75" customHeight="1">
      <c r="A21" s="12"/>
      <c r="B21" s="12"/>
      <c r="C21" s="12"/>
      <c r="D21" s="31"/>
      <c r="E21" s="12"/>
      <c r="F21" s="32"/>
      <c r="G21" s="32"/>
      <c r="H21" s="32"/>
      <c r="I21" s="32"/>
      <c r="J21" s="32"/>
      <c r="K21" s="12"/>
      <c r="L21" s="32"/>
      <c r="M21" s="32"/>
      <c r="N21" s="32"/>
      <c r="O21" s="12"/>
      <c r="P21" s="12"/>
      <c r="Q21" s="12"/>
      <c r="R21" s="12"/>
      <c r="S21" s="32"/>
      <c r="T21" s="12"/>
      <c r="U21" s="12"/>
      <c r="V21" s="39"/>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33"/>
      <c r="AX21" s="33"/>
      <c r="AY21" s="29"/>
      <c r="AZ21" s="34"/>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row>
    <row r="22" ht="15.75" customHeight="1">
      <c r="A22" s="12"/>
      <c r="B22" s="12"/>
      <c r="C22" s="12"/>
      <c r="D22" s="31"/>
      <c r="E22" s="12"/>
      <c r="F22" s="32"/>
      <c r="G22" s="32"/>
      <c r="H22" s="32"/>
      <c r="I22" s="32"/>
      <c r="J22" s="32"/>
      <c r="K22" s="12"/>
      <c r="L22" s="32"/>
      <c r="M22" s="32"/>
      <c r="N22" s="32"/>
      <c r="O22" s="12"/>
      <c r="P22" s="12"/>
      <c r="Q22" s="12"/>
      <c r="R22" s="12"/>
      <c r="S22" s="32"/>
      <c r="T22" s="12"/>
      <c r="U22" s="12"/>
      <c r="V22" s="39"/>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33"/>
      <c r="AX22" s="33"/>
      <c r="AY22" s="29"/>
      <c r="AZ22" s="34"/>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row>
    <row r="23" ht="15.75" customHeight="1">
      <c r="A23" s="12"/>
      <c r="B23" s="12"/>
      <c r="C23" s="12"/>
      <c r="D23" s="31"/>
      <c r="E23" s="12"/>
      <c r="F23" s="32"/>
      <c r="G23" s="32"/>
      <c r="H23" s="32"/>
      <c r="I23" s="32"/>
      <c r="J23" s="32"/>
      <c r="K23" s="12"/>
      <c r="L23" s="32"/>
      <c r="M23" s="32"/>
      <c r="N23" s="32"/>
      <c r="O23" s="12"/>
      <c r="P23" s="12"/>
      <c r="Q23" s="12"/>
      <c r="R23" s="12"/>
      <c r="S23" s="32"/>
      <c r="T23" s="12"/>
      <c r="U23" s="12"/>
      <c r="V23" s="39"/>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33"/>
      <c r="AX23" s="33"/>
      <c r="AY23" s="29"/>
      <c r="AZ23" s="34"/>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row>
    <row r="24" ht="15.75" customHeight="1">
      <c r="A24" s="12"/>
      <c r="B24" s="12"/>
      <c r="C24" s="12"/>
      <c r="D24" s="31"/>
      <c r="E24" s="12"/>
      <c r="F24" s="32"/>
      <c r="G24" s="32"/>
      <c r="H24" s="32"/>
      <c r="I24" s="32"/>
      <c r="J24" s="32"/>
      <c r="K24" s="12"/>
      <c r="L24" s="32"/>
      <c r="M24" s="32"/>
      <c r="N24" s="32"/>
      <c r="O24" s="12"/>
      <c r="P24" s="12"/>
      <c r="Q24" s="12"/>
      <c r="R24" s="12"/>
      <c r="S24" s="32"/>
      <c r="T24" s="12"/>
      <c r="U24" s="12"/>
      <c r="V24" s="39"/>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33"/>
      <c r="AX24" s="33"/>
      <c r="AY24" s="29"/>
      <c r="AZ24" s="34"/>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row>
    <row r="25" ht="15.75" customHeight="1">
      <c r="A25" s="12"/>
      <c r="B25" s="12"/>
      <c r="C25" s="12"/>
      <c r="D25" s="31"/>
      <c r="E25" s="12"/>
      <c r="F25" s="32"/>
      <c r="G25" s="32"/>
      <c r="H25" s="32"/>
      <c r="I25" s="32"/>
      <c r="J25" s="32"/>
      <c r="K25" s="12"/>
      <c r="L25" s="32"/>
      <c r="M25" s="32"/>
      <c r="N25" s="32"/>
      <c r="O25" s="12"/>
      <c r="P25" s="12"/>
      <c r="Q25" s="12"/>
      <c r="R25" s="12"/>
      <c r="S25" s="32"/>
      <c r="T25" s="12"/>
      <c r="U25" s="12"/>
      <c r="V25" s="39"/>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33"/>
      <c r="AX25" s="33"/>
      <c r="AY25" s="29"/>
      <c r="AZ25" s="34"/>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row>
    <row r="26" ht="15.75" customHeight="1">
      <c r="A26" s="12"/>
      <c r="B26" s="12"/>
      <c r="C26" s="12"/>
      <c r="D26" s="31"/>
      <c r="E26" s="12"/>
      <c r="F26" s="32"/>
      <c r="G26" s="32"/>
      <c r="H26" s="32"/>
      <c r="I26" s="32"/>
      <c r="J26" s="32"/>
      <c r="K26" s="12"/>
      <c r="L26" s="32"/>
      <c r="M26" s="32"/>
      <c r="N26" s="32"/>
      <c r="O26" s="12"/>
      <c r="P26" s="12"/>
      <c r="Q26" s="12"/>
      <c r="R26" s="12"/>
      <c r="S26" s="32"/>
      <c r="T26" s="12"/>
      <c r="U26" s="12"/>
      <c r="V26" s="39"/>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33"/>
      <c r="AX26" s="33"/>
      <c r="AY26" s="29"/>
      <c r="AZ26" s="34"/>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row>
    <row r="27" ht="15.75" customHeight="1">
      <c r="A27" s="12"/>
      <c r="B27" s="12"/>
      <c r="C27" s="12"/>
      <c r="D27" s="31"/>
      <c r="E27" s="12"/>
      <c r="F27" s="32"/>
      <c r="G27" s="32"/>
      <c r="H27" s="32"/>
      <c r="I27" s="32"/>
      <c r="J27" s="32"/>
      <c r="K27" s="12"/>
      <c r="L27" s="32"/>
      <c r="M27" s="32"/>
      <c r="N27" s="32"/>
      <c r="O27" s="12"/>
      <c r="P27" s="12"/>
      <c r="Q27" s="12"/>
      <c r="R27" s="12"/>
      <c r="S27" s="32"/>
      <c r="T27" s="12"/>
      <c r="U27" s="12"/>
      <c r="V27" s="39"/>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33"/>
      <c r="AX27" s="33"/>
      <c r="AY27" s="29"/>
      <c r="AZ27" s="34"/>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row>
    <row r="28" ht="15.75" customHeight="1">
      <c r="A28" s="12"/>
      <c r="B28" s="12"/>
      <c r="C28" s="12"/>
      <c r="D28" s="31"/>
      <c r="E28" s="12"/>
      <c r="F28" s="32"/>
      <c r="G28" s="32"/>
      <c r="H28" s="32"/>
      <c r="I28" s="32"/>
      <c r="J28" s="32"/>
      <c r="K28" s="12"/>
      <c r="L28" s="32"/>
      <c r="M28" s="32"/>
      <c r="N28" s="32"/>
      <c r="O28" s="12"/>
      <c r="P28" s="12"/>
      <c r="Q28" s="12"/>
      <c r="R28" s="12"/>
      <c r="S28" s="32"/>
      <c r="T28" s="12"/>
      <c r="U28" s="12"/>
      <c r="V28" s="39"/>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33"/>
      <c r="AX28" s="33"/>
      <c r="AY28" s="29"/>
      <c r="AZ28" s="34"/>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row>
    <row r="29" ht="15.75" customHeight="1">
      <c r="A29" s="12"/>
      <c r="B29" s="12"/>
      <c r="C29" s="12"/>
      <c r="D29" s="31"/>
      <c r="E29" s="12"/>
      <c r="F29" s="32"/>
      <c r="G29" s="32"/>
      <c r="H29" s="32"/>
      <c r="I29" s="32"/>
      <c r="J29" s="32"/>
      <c r="K29" s="12"/>
      <c r="L29" s="32"/>
      <c r="M29" s="32"/>
      <c r="N29" s="32"/>
      <c r="O29" s="12"/>
      <c r="P29" s="12"/>
      <c r="Q29" s="12"/>
      <c r="R29" s="12"/>
      <c r="S29" s="32"/>
      <c r="T29" s="12"/>
      <c r="U29" s="12"/>
      <c r="V29" s="39"/>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33"/>
      <c r="AX29" s="33"/>
      <c r="AY29" s="29"/>
      <c r="AZ29" s="34"/>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row>
    <row r="30" ht="15.75" customHeight="1">
      <c r="A30" s="12"/>
      <c r="B30" s="12"/>
      <c r="C30" s="12"/>
      <c r="D30" s="31"/>
      <c r="E30" s="12"/>
      <c r="F30" s="32"/>
      <c r="G30" s="32"/>
      <c r="H30" s="32"/>
      <c r="I30" s="32"/>
      <c r="J30" s="32"/>
      <c r="K30" s="12"/>
      <c r="L30" s="32"/>
      <c r="M30" s="32"/>
      <c r="N30" s="32"/>
      <c r="O30" s="12"/>
      <c r="P30" s="12"/>
      <c r="Q30" s="12"/>
      <c r="R30" s="12"/>
      <c r="S30" s="32"/>
      <c r="T30" s="12"/>
      <c r="U30" s="12"/>
      <c r="V30" s="39"/>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33"/>
      <c r="AX30" s="33"/>
      <c r="AY30" s="29"/>
      <c r="AZ30" s="34"/>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row>
    <row r="31" ht="15.75" customHeight="1">
      <c r="A31" s="12"/>
      <c r="B31" s="12"/>
      <c r="C31" s="12"/>
      <c r="D31" s="31"/>
      <c r="E31" s="12"/>
      <c r="F31" s="32"/>
      <c r="G31" s="32"/>
      <c r="H31" s="32"/>
      <c r="I31" s="32"/>
      <c r="J31" s="32"/>
      <c r="K31" s="12"/>
      <c r="L31" s="32"/>
      <c r="M31" s="32"/>
      <c r="N31" s="32"/>
      <c r="O31" s="12"/>
      <c r="P31" s="12"/>
      <c r="Q31" s="12"/>
      <c r="R31" s="12"/>
      <c r="S31" s="32"/>
      <c r="T31" s="12"/>
      <c r="U31" s="12"/>
      <c r="V31" s="39"/>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33"/>
      <c r="AX31" s="33"/>
      <c r="AY31" s="29"/>
      <c r="AZ31" s="34"/>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row>
    <row r="32" ht="15.75" customHeight="1">
      <c r="A32" s="12"/>
      <c r="B32" s="12"/>
      <c r="C32" s="12"/>
      <c r="D32" s="31"/>
      <c r="E32" s="12"/>
      <c r="F32" s="32"/>
      <c r="G32" s="32"/>
      <c r="H32" s="32"/>
      <c r="I32" s="32"/>
      <c r="J32" s="32"/>
      <c r="K32" s="12"/>
      <c r="L32" s="32"/>
      <c r="M32" s="32"/>
      <c r="N32" s="32"/>
      <c r="O32" s="12"/>
      <c r="P32" s="12"/>
      <c r="Q32" s="12"/>
      <c r="R32" s="12"/>
      <c r="S32" s="32"/>
      <c r="T32" s="12"/>
      <c r="U32" s="12"/>
      <c r="V32" s="39"/>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33"/>
      <c r="AX32" s="33"/>
      <c r="AY32" s="29"/>
      <c r="AZ32" s="34"/>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row>
    <row r="33" ht="15.75" customHeight="1">
      <c r="A33" s="12"/>
      <c r="B33" s="12"/>
      <c r="C33" s="12"/>
      <c r="D33" s="31"/>
      <c r="E33" s="12"/>
      <c r="F33" s="32"/>
      <c r="G33" s="32"/>
      <c r="H33" s="32"/>
      <c r="I33" s="32"/>
      <c r="J33" s="32"/>
      <c r="K33" s="12"/>
      <c r="L33" s="32"/>
      <c r="M33" s="32"/>
      <c r="N33" s="32"/>
      <c r="O33" s="12"/>
      <c r="P33" s="12"/>
      <c r="Q33" s="12"/>
      <c r="R33" s="12"/>
      <c r="S33" s="32"/>
      <c r="T33" s="12"/>
      <c r="U33" s="12"/>
      <c r="V33" s="39"/>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33"/>
      <c r="AX33" s="33"/>
      <c r="AY33" s="29"/>
      <c r="AZ33" s="34"/>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row>
    <row r="34" ht="15.75" customHeight="1">
      <c r="A34" s="12"/>
      <c r="B34" s="12"/>
      <c r="C34" s="12"/>
      <c r="D34" s="31"/>
      <c r="E34" s="12"/>
      <c r="F34" s="32"/>
      <c r="G34" s="32"/>
      <c r="H34" s="32"/>
      <c r="I34" s="32"/>
      <c r="J34" s="32"/>
      <c r="K34" s="12"/>
      <c r="L34" s="32"/>
      <c r="M34" s="32"/>
      <c r="N34" s="32"/>
      <c r="O34" s="12"/>
      <c r="P34" s="12"/>
      <c r="Q34" s="12"/>
      <c r="R34" s="12"/>
      <c r="S34" s="32"/>
      <c r="T34" s="12"/>
      <c r="U34" s="12"/>
      <c r="V34" s="39"/>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33"/>
      <c r="AX34" s="33"/>
      <c r="AY34" s="29"/>
      <c r="AZ34" s="34"/>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row>
    <row r="35" ht="15.75" customHeight="1">
      <c r="A35" s="12"/>
      <c r="B35" s="12"/>
      <c r="C35" s="12"/>
      <c r="D35" s="31"/>
      <c r="E35" s="12"/>
      <c r="F35" s="32"/>
      <c r="G35" s="32"/>
      <c r="H35" s="32"/>
      <c r="I35" s="32"/>
      <c r="J35" s="32"/>
      <c r="K35" s="12"/>
      <c r="L35" s="32"/>
      <c r="M35" s="32"/>
      <c r="N35" s="32"/>
      <c r="O35" s="12"/>
      <c r="P35" s="12"/>
      <c r="Q35" s="12"/>
      <c r="R35" s="12"/>
      <c r="S35" s="32"/>
      <c r="T35" s="12"/>
      <c r="U35" s="12"/>
      <c r="V35" s="39"/>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33"/>
      <c r="AX35" s="33"/>
      <c r="AY35" s="29"/>
      <c r="AZ35" s="34"/>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row>
    <row r="36" ht="15.75" customHeight="1">
      <c r="A36" s="12"/>
      <c r="B36" s="12"/>
      <c r="C36" s="12"/>
      <c r="D36" s="31"/>
      <c r="E36" s="12"/>
      <c r="F36" s="32"/>
      <c r="G36" s="32"/>
      <c r="H36" s="32"/>
      <c r="I36" s="32"/>
      <c r="J36" s="32"/>
      <c r="K36" s="12"/>
      <c r="L36" s="32"/>
      <c r="M36" s="32"/>
      <c r="N36" s="32"/>
      <c r="O36" s="12"/>
      <c r="P36" s="12"/>
      <c r="Q36" s="12"/>
      <c r="R36" s="12"/>
      <c r="S36" s="32"/>
      <c r="T36" s="12"/>
      <c r="U36" s="12"/>
      <c r="V36" s="39"/>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33"/>
      <c r="AX36" s="33"/>
      <c r="AY36" s="29"/>
      <c r="AZ36" s="34"/>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row>
    <row r="37" ht="15.75" customHeight="1">
      <c r="A37" s="12"/>
      <c r="B37" s="12"/>
      <c r="C37" s="12"/>
      <c r="D37" s="31"/>
      <c r="E37" s="12"/>
      <c r="F37" s="32"/>
      <c r="G37" s="32"/>
      <c r="H37" s="32"/>
      <c r="I37" s="32"/>
      <c r="J37" s="32"/>
      <c r="K37" s="12"/>
      <c r="L37" s="32"/>
      <c r="M37" s="32"/>
      <c r="N37" s="32"/>
      <c r="O37" s="12"/>
      <c r="P37" s="12"/>
      <c r="Q37" s="12"/>
      <c r="R37" s="12"/>
      <c r="S37" s="32"/>
      <c r="T37" s="12"/>
      <c r="U37" s="12"/>
      <c r="V37" s="39"/>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33"/>
      <c r="AX37" s="33"/>
      <c r="AY37" s="29"/>
      <c r="AZ37" s="34"/>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row>
    <row r="38" ht="15.75" customHeight="1">
      <c r="A38" s="12"/>
      <c r="B38" s="12"/>
      <c r="C38" s="12"/>
      <c r="D38" s="31"/>
      <c r="E38" s="12"/>
      <c r="F38" s="32"/>
      <c r="G38" s="32"/>
      <c r="H38" s="32"/>
      <c r="I38" s="32"/>
      <c r="J38" s="32"/>
      <c r="K38" s="12"/>
      <c r="L38" s="32"/>
      <c r="M38" s="32"/>
      <c r="N38" s="32"/>
      <c r="O38" s="12"/>
      <c r="P38" s="12"/>
      <c r="Q38" s="12"/>
      <c r="R38" s="12"/>
      <c r="S38" s="32"/>
      <c r="T38" s="12"/>
      <c r="U38" s="12"/>
      <c r="V38" s="39"/>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33"/>
      <c r="AX38" s="33"/>
      <c r="AY38" s="29"/>
      <c r="AZ38" s="34"/>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row>
    <row r="39" ht="15.75" customHeight="1">
      <c r="A39" s="12"/>
      <c r="B39" s="12"/>
      <c r="C39" s="12"/>
      <c r="D39" s="31"/>
      <c r="E39" s="12"/>
      <c r="F39" s="32"/>
      <c r="G39" s="32"/>
      <c r="H39" s="32"/>
      <c r="I39" s="32"/>
      <c r="J39" s="32"/>
      <c r="K39" s="12"/>
      <c r="L39" s="32"/>
      <c r="M39" s="32"/>
      <c r="N39" s="32"/>
      <c r="O39" s="12"/>
      <c r="P39" s="12"/>
      <c r="Q39" s="12"/>
      <c r="R39" s="12"/>
      <c r="S39" s="32"/>
      <c r="T39" s="12"/>
      <c r="U39" s="12"/>
      <c r="V39" s="39"/>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33"/>
      <c r="AX39" s="33"/>
      <c r="AY39" s="29"/>
      <c r="AZ39" s="34"/>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row>
    <row r="40" ht="15.75" customHeight="1">
      <c r="A40" s="12"/>
      <c r="B40" s="12"/>
      <c r="C40" s="12"/>
      <c r="D40" s="31"/>
      <c r="E40" s="12"/>
      <c r="F40" s="32"/>
      <c r="G40" s="32"/>
      <c r="H40" s="32"/>
      <c r="I40" s="32"/>
      <c r="J40" s="32"/>
      <c r="K40" s="12"/>
      <c r="L40" s="32"/>
      <c r="M40" s="32"/>
      <c r="N40" s="32"/>
      <c r="O40" s="12"/>
      <c r="P40" s="12"/>
      <c r="Q40" s="12"/>
      <c r="R40" s="12"/>
      <c r="S40" s="32"/>
      <c r="T40" s="12"/>
      <c r="U40" s="12"/>
      <c r="V40" s="39"/>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33"/>
      <c r="AX40" s="33"/>
      <c r="AY40" s="29"/>
      <c r="AZ40" s="34"/>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row>
    <row r="41" ht="15.75" customHeight="1">
      <c r="A41" s="12"/>
      <c r="B41" s="12"/>
      <c r="C41" s="12"/>
      <c r="D41" s="31"/>
      <c r="E41" s="12"/>
      <c r="F41" s="32"/>
      <c r="G41" s="32"/>
      <c r="H41" s="32"/>
      <c r="I41" s="32"/>
      <c r="J41" s="32"/>
      <c r="K41" s="12"/>
      <c r="L41" s="32"/>
      <c r="M41" s="32"/>
      <c r="N41" s="32"/>
      <c r="O41" s="12"/>
      <c r="P41" s="12"/>
      <c r="Q41" s="12"/>
      <c r="R41" s="12"/>
      <c r="S41" s="32"/>
      <c r="T41" s="12"/>
      <c r="U41" s="12"/>
      <c r="V41" s="39"/>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33"/>
      <c r="AX41" s="33"/>
      <c r="AY41" s="29"/>
      <c r="AZ41" s="34"/>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row>
    <row r="42" ht="15.75" customHeight="1">
      <c r="A42" s="12"/>
      <c r="B42" s="12"/>
      <c r="C42" s="12"/>
      <c r="D42" s="31"/>
      <c r="E42" s="12"/>
      <c r="F42" s="32"/>
      <c r="G42" s="32"/>
      <c r="H42" s="32"/>
      <c r="I42" s="32"/>
      <c r="J42" s="32"/>
      <c r="K42" s="12"/>
      <c r="L42" s="32"/>
      <c r="M42" s="32"/>
      <c r="N42" s="32"/>
      <c r="O42" s="12"/>
      <c r="P42" s="12"/>
      <c r="Q42" s="12"/>
      <c r="R42" s="12"/>
      <c r="S42" s="32"/>
      <c r="T42" s="12"/>
      <c r="U42" s="12"/>
      <c r="V42" s="39"/>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33"/>
      <c r="AX42" s="33"/>
      <c r="AY42" s="29"/>
      <c r="AZ42" s="34"/>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row>
    <row r="43" ht="15.75" customHeight="1">
      <c r="A43" s="12"/>
      <c r="B43" s="12"/>
      <c r="C43" s="12"/>
      <c r="D43" s="31"/>
      <c r="E43" s="12"/>
      <c r="F43" s="32"/>
      <c r="G43" s="32"/>
      <c r="H43" s="32"/>
      <c r="I43" s="32"/>
      <c r="J43" s="32"/>
      <c r="K43" s="12"/>
      <c r="L43" s="32"/>
      <c r="M43" s="32"/>
      <c r="N43" s="32"/>
      <c r="O43" s="12"/>
      <c r="P43" s="12"/>
      <c r="Q43" s="12"/>
      <c r="R43" s="12"/>
      <c r="S43" s="32"/>
      <c r="T43" s="12"/>
      <c r="U43" s="12"/>
      <c r="V43" s="39"/>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33"/>
      <c r="AX43" s="33"/>
      <c r="AY43" s="29"/>
      <c r="AZ43" s="34"/>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row>
    <row r="44" ht="15.75" customHeight="1">
      <c r="A44" s="12"/>
      <c r="B44" s="12"/>
      <c r="C44" s="12"/>
      <c r="D44" s="31"/>
      <c r="E44" s="12"/>
      <c r="F44" s="32"/>
      <c r="G44" s="32"/>
      <c r="H44" s="32"/>
      <c r="I44" s="32"/>
      <c r="J44" s="32"/>
      <c r="K44" s="12"/>
      <c r="L44" s="32"/>
      <c r="M44" s="32"/>
      <c r="N44" s="32"/>
      <c r="O44" s="12"/>
      <c r="P44" s="12"/>
      <c r="Q44" s="12"/>
      <c r="R44" s="12"/>
      <c r="S44" s="32"/>
      <c r="T44" s="12"/>
      <c r="U44" s="12"/>
      <c r="V44" s="39"/>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33"/>
      <c r="AX44" s="33"/>
      <c r="AY44" s="29"/>
      <c r="AZ44" s="34"/>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row>
    <row r="45" ht="15.75" customHeight="1">
      <c r="A45" s="12"/>
      <c r="B45" s="12"/>
      <c r="C45" s="12"/>
      <c r="D45" s="31"/>
      <c r="E45" s="12"/>
      <c r="F45" s="32"/>
      <c r="G45" s="32"/>
      <c r="H45" s="32"/>
      <c r="I45" s="32"/>
      <c r="J45" s="32"/>
      <c r="K45" s="12"/>
      <c r="L45" s="32"/>
      <c r="M45" s="32"/>
      <c r="N45" s="32"/>
      <c r="O45" s="12"/>
      <c r="P45" s="12"/>
      <c r="Q45" s="12"/>
      <c r="R45" s="12"/>
      <c r="S45" s="32"/>
      <c r="T45" s="12"/>
      <c r="U45" s="12"/>
      <c r="V45" s="39"/>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33"/>
      <c r="AX45" s="33"/>
      <c r="AY45" s="29"/>
      <c r="AZ45" s="34"/>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row>
    <row r="46" ht="15.75" customHeight="1">
      <c r="A46" s="12"/>
      <c r="B46" s="12"/>
      <c r="C46" s="12"/>
      <c r="D46" s="31"/>
      <c r="E46" s="12"/>
      <c r="F46" s="32"/>
      <c r="G46" s="32"/>
      <c r="H46" s="32"/>
      <c r="I46" s="32"/>
      <c r="J46" s="32"/>
      <c r="K46" s="12"/>
      <c r="L46" s="32"/>
      <c r="M46" s="32"/>
      <c r="N46" s="32"/>
      <c r="O46" s="12"/>
      <c r="P46" s="12"/>
      <c r="Q46" s="12"/>
      <c r="R46" s="12"/>
      <c r="S46" s="32"/>
      <c r="T46" s="12"/>
      <c r="U46" s="12"/>
      <c r="V46" s="39"/>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33"/>
      <c r="AX46" s="33"/>
      <c r="AY46" s="29"/>
      <c r="AZ46" s="34"/>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row>
    <row r="47" ht="15.75" customHeight="1">
      <c r="A47" s="12"/>
      <c r="B47" s="12"/>
      <c r="C47" s="12"/>
      <c r="D47" s="31"/>
      <c r="E47" s="12"/>
      <c r="F47" s="32"/>
      <c r="G47" s="32"/>
      <c r="H47" s="32"/>
      <c r="I47" s="32"/>
      <c r="J47" s="32"/>
      <c r="K47" s="12"/>
      <c r="L47" s="32"/>
      <c r="M47" s="32"/>
      <c r="N47" s="32"/>
      <c r="O47" s="12"/>
      <c r="P47" s="12"/>
      <c r="Q47" s="12"/>
      <c r="R47" s="12"/>
      <c r="S47" s="32"/>
      <c r="T47" s="12"/>
      <c r="U47" s="12"/>
      <c r="V47" s="39"/>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33"/>
      <c r="AX47" s="33"/>
      <c r="AY47" s="29"/>
      <c r="AZ47" s="34"/>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row>
    <row r="48" ht="15.75" customHeight="1">
      <c r="A48" s="12"/>
      <c r="B48" s="12"/>
      <c r="C48" s="12"/>
      <c r="D48" s="31"/>
      <c r="E48" s="12"/>
      <c r="F48" s="32"/>
      <c r="G48" s="32"/>
      <c r="H48" s="32"/>
      <c r="I48" s="32"/>
      <c r="J48" s="32"/>
      <c r="K48" s="12"/>
      <c r="L48" s="32"/>
      <c r="M48" s="32"/>
      <c r="N48" s="32"/>
      <c r="O48" s="12"/>
      <c r="P48" s="12"/>
      <c r="Q48" s="12"/>
      <c r="R48" s="12"/>
      <c r="S48" s="32"/>
      <c r="T48" s="12"/>
      <c r="U48" s="12"/>
      <c r="V48" s="39"/>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33"/>
      <c r="AX48" s="33"/>
      <c r="AY48" s="29"/>
      <c r="AZ48" s="34"/>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row>
    <row r="49" ht="15.75" customHeight="1">
      <c r="A49" s="12"/>
      <c r="B49" s="12"/>
      <c r="C49" s="12"/>
      <c r="D49" s="31"/>
      <c r="E49" s="12"/>
      <c r="F49" s="32"/>
      <c r="G49" s="32"/>
      <c r="H49" s="32"/>
      <c r="I49" s="32"/>
      <c r="J49" s="32"/>
      <c r="K49" s="12"/>
      <c r="L49" s="32"/>
      <c r="M49" s="32"/>
      <c r="N49" s="32"/>
      <c r="O49" s="12"/>
      <c r="P49" s="12"/>
      <c r="Q49" s="12"/>
      <c r="R49" s="12"/>
      <c r="S49" s="32"/>
      <c r="T49" s="12"/>
      <c r="U49" s="12"/>
      <c r="V49" s="39"/>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33"/>
      <c r="AX49" s="33"/>
      <c r="AY49" s="29"/>
      <c r="AZ49" s="34"/>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row>
    <row r="50" ht="15.75" customHeight="1">
      <c r="A50" s="12"/>
      <c r="B50" s="12"/>
      <c r="C50" s="12"/>
      <c r="D50" s="31"/>
      <c r="E50" s="12"/>
      <c r="F50" s="32"/>
      <c r="G50" s="32"/>
      <c r="H50" s="32"/>
      <c r="I50" s="32"/>
      <c r="J50" s="32"/>
      <c r="K50" s="12"/>
      <c r="L50" s="32"/>
      <c r="M50" s="32"/>
      <c r="N50" s="32"/>
      <c r="O50" s="12"/>
      <c r="P50" s="12"/>
      <c r="Q50" s="12"/>
      <c r="R50" s="12"/>
      <c r="S50" s="32"/>
      <c r="T50" s="12"/>
      <c r="U50" s="12"/>
      <c r="V50" s="39"/>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33"/>
      <c r="AX50" s="33"/>
      <c r="AY50" s="29"/>
      <c r="AZ50" s="34"/>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row>
    <row r="51" ht="15.75" customHeight="1">
      <c r="A51" s="12"/>
      <c r="B51" s="12"/>
      <c r="C51" s="12"/>
      <c r="D51" s="31"/>
      <c r="E51" s="12"/>
      <c r="F51" s="32"/>
      <c r="G51" s="32"/>
      <c r="H51" s="32"/>
      <c r="I51" s="32"/>
      <c r="J51" s="32"/>
      <c r="K51" s="12"/>
      <c r="L51" s="32"/>
      <c r="M51" s="32"/>
      <c r="N51" s="32"/>
      <c r="O51" s="12"/>
      <c r="P51" s="12"/>
      <c r="Q51" s="12"/>
      <c r="R51" s="12"/>
      <c r="S51" s="32"/>
      <c r="T51" s="12"/>
      <c r="U51" s="12"/>
      <c r="V51" s="39"/>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33"/>
      <c r="AX51" s="33"/>
      <c r="AY51" s="29"/>
      <c r="AZ51" s="34"/>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row>
    <row r="52" ht="15.75" customHeight="1">
      <c r="A52" s="12"/>
      <c r="B52" s="12"/>
      <c r="C52" s="12"/>
      <c r="D52" s="31"/>
      <c r="E52" s="12"/>
      <c r="F52" s="32"/>
      <c r="G52" s="32"/>
      <c r="H52" s="32"/>
      <c r="I52" s="32"/>
      <c r="J52" s="32"/>
      <c r="K52" s="12"/>
      <c r="L52" s="32"/>
      <c r="M52" s="32"/>
      <c r="N52" s="32"/>
      <c r="O52" s="12"/>
      <c r="P52" s="12"/>
      <c r="Q52" s="12"/>
      <c r="R52" s="12"/>
      <c r="S52" s="32"/>
      <c r="T52" s="12"/>
      <c r="U52" s="12"/>
      <c r="V52" s="39"/>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33"/>
      <c r="AX52" s="33"/>
      <c r="AY52" s="29"/>
      <c r="AZ52" s="34"/>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row>
    <row r="53" ht="15.75" customHeight="1">
      <c r="A53" s="12"/>
      <c r="B53" s="12"/>
      <c r="C53" s="12"/>
      <c r="D53" s="31"/>
      <c r="E53" s="12"/>
      <c r="F53" s="32"/>
      <c r="G53" s="32"/>
      <c r="H53" s="32"/>
      <c r="I53" s="32"/>
      <c r="J53" s="32"/>
      <c r="K53" s="12"/>
      <c r="L53" s="32"/>
      <c r="M53" s="32"/>
      <c r="N53" s="32"/>
      <c r="O53" s="12"/>
      <c r="P53" s="12"/>
      <c r="Q53" s="12"/>
      <c r="R53" s="12"/>
      <c r="S53" s="32"/>
      <c r="T53" s="12"/>
      <c r="U53" s="12"/>
      <c r="V53" s="39"/>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33"/>
      <c r="AX53" s="33"/>
      <c r="AY53" s="29"/>
      <c r="AZ53" s="34"/>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row>
    <row r="54" ht="15.75" customHeight="1">
      <c r="A54" s="12"/>
      <c r="B54" s="12"/>
      <c r="C54" s="12"/>
      <c r="D54" s="31"/>
      <c r="E54" s="12"/>
      <c r="F54" s="32"/>
      <c r="G54" s="32"/>
      <c r="H54" s="32"/>
      <c r="I54" s="32"/>
      <c r="J54" s="32"/>
      <c r="K54" s="12"/>
      <c r="L54" s="32"/>
      <c r="M54" s="32"/>
      <c r="N54" s="32"/>
      <c r="O54" s="12"/>
      <c r="P54" s="12"/>
      <c r="Q54" s="12"/>
      <c r="R54" s="12"/>
      <c r="S54" s="32"/>
      <c r="T54" s="12"/>
      <c r="U54" s="12"/>
      <c r="V54" s="39"/>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33"/>
      <c r="AX54" s="33"/>
      <c r="AY54" s="29"/>
      <c r="AZ54" s="34"/>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row>
    <row r="55" ht="15.75" customHeight="1">
      <c r="A55" s="12"/>
      <c r="B55" s="12"/>
      <c r="C55" s="12"/>
      <c r="D55" s="31"/>
      <c r="E55" s="12"/>
      <c r="F55" s="32"/>
      <c r="G55" s="32"/>
      <c r="H55" s="32"/>
      <c r="I55" s="32"/>
      <c r="J55" s="32"/>
      <c r="K55" s="12"/>
      <c r="L55" s="32"/>
      <c r="M55" s="32"/>
      <c r="N55" s="32"/>
      <c r="O55" s="12"/>
      <c r="P55" s="12"/>
      <c r="Q55" s="12"/>
      <c r="R55" s="12"/>
      <c r="S55" s="32"/>
      <c r="T55" s="12"/>
      <c r="U55" s="12"/>
      <c r="V55" s="39"/>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33"/>
      <c r="AX55" s="33"/>
      <c r="AY55" s="29"/>
      <c r="AZ55" s="34"/>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row>
    <row r="56" ht="15.75" customHeight="1">
      <c r="A56" s="12"/>
      <c r="B56" s="12"/>
      <c r="C56" s="12"/>
      <c r="D56" s="31"/>
      <c r="E56" s="12"/>
      <c r="F56" s="32"/>
      <c r="G56" s="32"/>
      <c r="H56" s="32"/>
      <c r="I56" s="32"/>
      <c r="J56" s="32"/>
      <c r="K56" s="12"/>
      <c r="L56" s="32"/>
      <c r="M56" s="32"/>
      <c r="N56" s="32"/>
      <c r="O56" s="12"/>
      <c r="P56" s="12"/>
      <c r="Q56" s="12"/>
      <c r="R56" s="12"/>
      <c r="S56" s="32"/>
      <c r="T56" s="12"/>
      <c r="U56" s="12"/>
      <c r="V56" s="39"/>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33"/>
      <c r="AX56" s="33"/>
      <c r="AY56" s="29"/>
      <c r="AZ56" s="34"/>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row>
    <row r="57" ht="15.75" customHeight="1">
      <c r="A57" s="12"/>
      <c r="B57" s="12"/>
      <c r="C57" s="12"/>
      <c r="D57" s="31"/>
      <c r="E57" s="12"/>
      <c r="F57" s="32"/>
      <c r="G57" s="32"/>
      <c r="H57" s="32"/>
      <c r="I57" s="32"/>
      <c r="J57" s="32"/>
      <c r="K57" s="12"/>
      <c r="L57" s="32"/>
      <c r="M57" s="32"/>
      <c r="N57" s="32"/>
      <c r="O57" s="12"/>
      <c r="P57" s="12"/>
      <c r="Q57" s="12"/>
      <c r="R57" s="12"/>
      <c r="S57" s="32"/>
      <c r="T57" s="12"/>
      <c r="U57" s="12"/>
      <c r="V57" s="39"/>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33"/>
      <c r="AX57" s="33"/>
      <c r="AY57" s="29"/>
      <c r="AZ57" s="34"/>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row>
    <row r="58" ht="15.75" customHeight="1">
      <c r="A58" s="12"/>
      <c r="B58" s="12"/>
      <c r="C58" s="12"/>
      <c r="D58" s="31"/>
      <c r="E58" s="12"/>
      <c r="F58" s="32"/>
      <c r="G58" s="32"/>
      <c r="H58" s="32"/>
      <c r="I58" s="32"/>
      <c r="J58" s="32"/>
      <c r="K58" s="12"/>
      <c r="L58" s="32"/>
      <c r="M58" s="32"/>
      <c r="N58" s="32"/>
      <c r="O58" s="12"/>
      <c r="P58" s="12"/>
      <c r="Q58" s="12"/>
      <c r="R58" s="12"/>
      <c r="S58" s="32"/>
      <c r="T58" s="12"/>
      <c r="U58" s="12"/>
      <c r="V58" s="39"/>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33"/>
      <c r="AX58" s="33"/>
      <c r="AY58" s="29"/>
      <c r="AZ58" s="34"/>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row>
    <row r="59" ht="15.75" customHeight="1">
      <c r="A59" s="12"/>
      <c r="B59" s="12"/>
      <c r="C59" s="12"/>
      <c r="D59" s="31"/>
      <c r="E59" s="12"/>
      <c r="F59" s="32"/>
      <c r="G59" s="32"/>
      <c r="H59" s="32"/>
      <c r="I59" s="32"/>
      <c r="J59" s="32"/>
      <c r="K59" s="12"/>
      <c r="L59" s="32"/>
      <c r="M59" s="32"/>
      <c r="N59" s="32"/>
      <c r="O59" s="12"/>
      <c r="P59" s="12"/>
      <c r="Q59" s="12"/>
      <c r="R59" s="12"/>
      <c r="S59" s="32"/>
      <c r="T59" s="12"/>
      <c r="U59" s="12"/>
      <c r="V59" s="39"/>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33"/>
      <c r="AX59" s="33"/>
      <c r="AY59" s="29"/>
      <c r="AZ59" s="34"/>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row>
    <row r="60" ht="15.75" customHeight="1">
      <c r="A60" s="12"/>
      <c r="B60" s="12"/>
      <c r="C60" s="12"/>
      <c r="D60" s="31"/>
      <c r="E60" s="12"/>
      <c r="F60" s="32"/>
      <c r="G60" s="32"/>
      <c r="H60" s="32"/>
      <c r="I60" s="32"/>
      <c r="J60" s="32"/>
      <c r="K60" s="12"/>
      <c r="L60" s="32"/>
      <c r="M60" s="32"/>
      <c r="N60" s="32"/>
      <c r="O60" s="12"/>
      <c r="P60" s="12"/>
      <c r="Q60" s="12"/>
      <c r="R60" s="12"/>
      <c r="S60" s="32"/>
      <c r="T60" s="12"/>
      <c r="U60" s="12"/>
      <c r="V60" s="39"/>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33"/>
      <c r="AX60" s="33"/>
      <c r="AY60" s="29"/>
      <c r="AZ60" s="34"/>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row>
    <row r="61" ht="15.75" customHeight="1">
      <c r="A61" s="12"/>
      <c r="B61" s="12"/>
      <c r="C61" s="12"/>
      <c r="D61" s="31"/>
      <c r="E61" s="12"/>
      <c r="F61" s="32"/>
      <c r="G61" s="32"/>
      <c r="H61" s="32"/>
      <c r="I61" s="32"/>
      <c r="J61" s="32"/>
      <c r="K61" s="12"/>
      <c r="L61" s="32"/>
      <c r="M61" s="32"/>
      <c r="N61" s="32"/>
      <c r="O61" s="12"/>
      <c r="P61" s="12"/>
      <c r="Q61" s="12"/>
      <c r="R61" s="12"/>
      <c r="S61" s="32"/>
      <c r="T61" s="12"/>
      <c r="U61" s="12"/>
      <c r="V61" s="39"/>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33"/>
      <c r="AX61" s="33"/>
      <c r="AY61" s="29"/>
      <c r="AZ61" s="34"/>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row>
    <row r="62" ht="15.75" customHeight="1">
      <c r="A62" s="12"/>
      <c r="B62" s="12"/>
      <c r="C62" s="12"/>
      <c r="D62" s="31"/>
      <c r="E62" s="12"/>
      <c r="F62" s="32"/>
      <c r="G62" s="32"/>
      <c r="H62" s="32"/>
      <c r="I62" s="32"/>
      <c r="J62" s="32"/>
      <c r="K62" s="12"/>
      <c r="L62" s="32"/>
      <c r="M62" s="32"/>
      <c r="N62" s="32"/>
      <c r="O62" s="12"/>
      <c r="P62" s="12"/>
      <c r="Q62" s="12"/>
      <c r="R62" s="12"/>
      <c r="S62" s="32"/>
      <c r="T62" s="12"/>
      <c r="U62" s="12"/>
      <c r="V62" s="39"/>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33"/>
      <c r="AX62" s="33"/>
      <c r="AY62" s="29"/>
      <c r="AZ62" s="34"/>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row>
    <row r="63" ht="15.75" customHeight="1">
      <c r="A63" s="12"/>
      <c r="B63" s="12"/>
      <c r="C63" s="12"/>
      <c r="D63" s="31"/>
      <c r="E63" s="12"/>
      <c r="F63" s="32"/>
      <c r="G63" s="32"/>
      <c r="H63" s="32"/>
      <c r="I63" s="32"/>
      <c r="J63" s="32"/>
      <c r="K63" s="12"/>
      <c r="L63" s="32"/>
      <c r="M63" s="32"/>
      <c r="N63" s="32"/>
      <c r="O63" s="12"/>
      <c r="P63" s="12"/>
      <c r="Q63" s="12"/>
      <c r="R63" s="12"/>
      <c r="S63" s="32"/>
      <c r="T63" s="12"/>
      <c r="U63" s="12"/>
      <c r="V63" s="39"/>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33"/>
      <c r="AX63" s="33"/>
      <c r="AY63" s="29"/>
      <c r="AZ63" s="34"/>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row>
    <row r="64" ht="15.75" customHeight="1">
      <c r="A64" s="12"/>
      <c r="B64" s="12"/>
      <c r="C64" s="12"/>
      <c r="D64" s="31"/>
      <c r="E64" s="12"/>
      <c r="F64" s="32"/>
      <c r="G64" s="32"/>
      <c r="H64" s="32"/>
      <c r="I64" s="32"/>
      <c r="J64" s="32"/>
      <c r="K64" s="12"/>
      <c r="L64" s="32"/>
      <c r="M64" s="32"/>
      <c r="N64" s="32"/>
      <c r="O64" s="12"/>
      <c r="P64" s="12"/>
      <c r="Q64" s="12"/>
      <c r="R64" s="12"/>
      <c r="S64" s="32"/>
      <c r="T64" s="12"/>
      <c r="U64" s="12"/>
      <c r="V64" s="39"/>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33"/>
      <c r="AX64" s="33"/>
      <c r="AY64" s="29"/>
      <c r="AZ64" s="34"/>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row>
    <row r="65" ht="15.75" customHeight="1">
      <c r="A65" s="12"/>
      <c r="B65" s="12"/>
      <c r="C65" s="12"/>
      <c r="D65" s="31"/>
      <c r="E65" s="12"/>
      <c r="F65" s="32"/>
      <c r="G65" s="32"/>
      <c r="H65" s="32"/>
      <c r="I65" s="32"/>
      <c r="J65" s="32"/>
      <c r="K65" s="12"/>
      <c r="L65" s="32"/>
      <c r="M65" s="32"/>
      <c r="N65" s="32"/>
      <c r="O65" s="12"/>
      <c r="P65" s="12"/>
      <c r="Q65" s="12"/>
      <c r="R65" s="12"/>
      <c r="S65" s="32"/>
      <c r="T65" s="12"/>
      <c r="U65" s="12"/>
      <c r="V65" s="39"/>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33"/>
      <c r="AX65" s="33"/>
      <c r="AY65" s="29"/>
      <c r="AZ65" s="34"/>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row>
    <row r="66" ht="15.75" customHeight="1">
      <c r="A66" s="12"/>
      <c r="B66" s="12"/>
      <c r="C66" s="12"/>
      <c r="D66" s="31"/>
      <c r="E66" s="12"/>
      <c r="F66" s="32"/>
      <c r="G66" s="32"/>
      <c r="H66" s="32"/>
      <c r="I66" s="32"/>
      <c r="J66" s="32"/>
      <c r="K66" s="12"/>
      <c r="L66" s="32"/>
      <c r="M66" s="32"/>
      <c r="N66" s="32"/>
      <c r="O66" s="12"/>
      <c r="P66" s="12"/>
      <c r="Q66" s="12"/>
      <c r="R66" s="12"/>
      <c r="S66" s="32"/>
      <c r="T66" s="12"/>
      <c r="U66" s="12"/>
      <c r="V66" s="39"/>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33"/>
      <c r="AX66" s="33"/>
      <c r="AY66" s="29"/>
      <c r="AZ66" s="34"/>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row>
    <row r="67" ht="15.75" customHeight="1">
      <c r="A67" s="12"/>
      <c r="B67" s="12"/>
      <c r="C67" s="12"/>
      <c r="D67" s="31"/>
      <c r="E67" s="12"/>
      <c r="F67" s="32"/>
      <c r="G67" s="32"/>
      <c r="H67" s="32"/>
      <c r="I67" s="32"/>
      <c r="J67" s="32"/>
      <c r="K67" s="12"/>
      <c r="L67" s="32"/>
      <c r="M67" s="32"/>
      <c r="N67" s="32"/>
      <c r="O67" s="12"/>
      <c r="P67" s="12"/>
      <c r="Q67" s="12"/>
      <c r="R67" s="12"/>
      <c r="S67" s="32"/>
      <c r="T67" s="12"/>
      <c r="U67" s="12"/>
      <c r="V67" s="39"/>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33"/>
      <c r="AX67" s="33"/>
      <c r="AY67" s="29"/>
      <c r="AZ67" s="34"/>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row>
    <row r="68" ht="15.75" customHeight="1">
      <c r="A68" s="12"/>
      <c r="B68" s="12"/>
      <c r="C68" s="12"/>
      <c r="D68" s="31"/>
      <c r="E68" s="12"/>
      <c r="F68" s="32"/>
      <c r="G68" s="32"/>
      <c r="H68" s="32"/>
      <c r="I68" s="32"/>
      <c r="J68" s="32"/>
      <c r="K68" s="12"/>
      <c r="L68" s="32"/>
      <c r="M68" s="32"/>
      <c r="N68" s="32"/>
      <c r="O68" s="12"/>
      <c r="P68" s="12"/>
      <c r="Q68" s="12"/>
      <c r="R68" s="12"/>
      <c r="S68" s="32"/>
      <c r="T68" s="12"/>
      <c r="U68" s="12"/>
      <c r="V68" s="39"/>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33"/>
      <c r="AX68" s="33"/>
      <c r="AY68" s="29"/>
      <c r="AZ68" s="34"/>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row>
    <row r="69" ht="15.75" customHeight="1">
      <c r="A69" s="12"/>
      <c r="B69" s="12"/>
      <c r="C69" s="12"/>
      <c r="D69" s="31"/>
      <c r="E69" s="12"/>
      <c r="F69" s="32"/>
      <c r="G69" s="32"/>
      <c r="H69" s="32"/>
      <c r="I69" s="32"/>
      <c r="J69" s="32"/>
      <c r="K69" s="12"/>
      <c r="L69" s="32"/>
      <c r="M69" s="32"/>
      <c r="N69" s="32"/>
      <c r="O69" s="12"/>
      <c r="P69" s="12"/>
      <c r="Q69" s="12"/>
      <c r="R69" s="12"/>
      <c r="S69" s="32"/>
      <c r="T69" s="12"/>
      <c r="U69" s="12"/>
      <c r="V69" s="39"/>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33"/>
      <c r="AX69" s="33"/>
      <c r="AY69" s="29"/>
      <c r="AZ69" s="34"/>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row>
    <row r="70" ht="15.75" customHeight="1">
      <c r="A70" s="12"/>
      <c r="B70" s="12"/>
      <c r="C70" s="12"/>
      <c r="D70" s="31"/>
      <c r="E70" s="12"/>
      <c r="F70" s="32"/>
      <c r="G70" s="32"/>
      <c r="H70" s="32"/>
      <c r="I70" s="32"/>
      <c r="J70" s="32"/>
      <c r="K70" s="12"/>
      <c r="L70" s="32"/>
      <c r="M70" s="32"/>
      <c r="N70" s="32"/>
      <c r="O70" s="12"/>
      <c r="P70" s="12"/>
      <c r="Q70" s="12"/>
      <c r="R70" s="12"/>
      <c r="S70" s="32"/>
      <c r="T70" s="12"/>
      <c r="U70" s="12"/>
      <c r="V70" s="39"/>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33"/>
      <c r="AX70" s="33"/>
      <c r="AY70" s="29"/>
      <c r="AZ70" s="34"/>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row>
    <row r="71" ht="15.75" customHeight="1">
      <c r="A71" s="12"/>
      <c r="B71" s="12"/>
      <c r="C71" s="12"/>
      <c r="D71" s="31"/>
      <c r="E71" s="12"/>
      <c r="F71" s="32"/>
      <c r="G71" s="32"/>
      <c r="H71" s="32"/>
      <c r="I71" s="32"/>
      <c r="J71" s="32"/>
      <c r="K71" s="12"/>
      <c r="L71" s="32"/>
      <c r="M71" s="32"/>
      <c r="N71" s="32"/>
      <c r="O71" s="12"/>
      <c r="P71" s="12"/>
      <c r="Q71" s="12"/>
      <c r="R71" s="12"/>
      <c r="S71" s="32"/>
      <c r="T71" s="12"/>
      <c r="U71" s="12"/>
      <c r="V71" s="39"/>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33"/>
      <c r="AX71" s="33"/>
      <c r="AY71" s="29"/>
      <c r="AZ71" s="34"/>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row>
    <row r="72" ht="15.75" customHeight="1">
      <c r="A72" s="12"/>
      <c r="B72" s="12"/>
      <c r="C72" s="12"/>
      <c r="D72" s="31"/>
      <c r="E72" s="12"/>
      <c r="F72" s="32"/>
      <c r="G72" s="32"/>
      <c r="H72" s="32"/>
      <c r="I72" s="32"/>
      <c r="J72" s="32"/>
      <c r="K72" s="12"/>
      <c r="L72" s="32"/>
      <c r="M72" s="32"/>
      <c r="N72" s="32"/>
      <c r="O72" s="12"/>
      <c r="P72" s="12"/>
      <c r="Q72" s="12"/>
      <c r="R72" s="12"/>
      <c r="S72" s="32"/>
      <c r="T72" s="12"/>
      <c r="U72" s="12"/>
      <c r="V72" s="39"/>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33"/>
      <c r="AX72" s="33"/>
      <c r="AY72" s="29"/>
      <c r="AZ72" s="34"/>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row>
    <row r="73" ht="15.75" customHeight="1">
      <c r="A73" s="12"/>
      <c r="B73" s="12"/>
      <c r="C73" s="12"/>
      <c r="D73" s="31"/>
      <c r="E73" s="12"/>
      <c r="F73" s="32"/>
      <c r="G73" s="32"/>
      <c r="H73" s="32"/>
      <c r="I73" s="32"/>
      <c r="J73" s="32"/>
      <c r="K73" s="12"/>
      <c r="L73" s="32"/>
      <c r="M73" s="32"/>
      <c r="N73" s="32"/>
      <c r="O73" s="12"/>
      <c r="P73" s="12"/>
      <c r="Q73" s="12"/>
      <c r="R73" s="12"/>
      <c r="S73" s="32"/>
      <c r="T73" s="12"/>
      <c r="U73" s="12"/>
      <c r="V73" s="39"/>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33"/>
      <c r="AX73" s="33"/>
      <c r="AY73" s="29"/>
      <c r="AZ73" s="34"/>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row>
    <row r="74" ht="15.75" customHeight="1">
      <c r="A74" s="12"/>
      <c r="B74" s="12"/>
      <c r="C74" s="12"/>
      <c r="D74" s="31"/>
      <c r="E74" s="12"/>
      <c r="F74" s="32"/>
      <c r="G74" s="32"/>
      <c r="H74" s="32"/>
      <c r="I74" s="32"/>
      <c r="J74" s="32"/>
      <c r="K74" s="12"/>
      <c r="L74" s="32"/>
      <c r="M74" s="32"/>
      <c r="N74" s="32"/>
      <c r="O74" s="12"/>
      <c r="P74" s="12"/>
      <c r="Q74" s="12"/>
      <c r="R74" s="12"/>
      <c r="S74" s="32"/>
      <c r="T74" s="12"/>
      <c r="U74" s="12"/>
      <c r="V74" s="39"/>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33"/>
      <c r="AX74" s="33"/>
      <c r="AY74" s="29"/>
      <c r="AZ74" s="34"/>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row>
    <row r="75" ht="15.75" customHeight="1">
      <c r="A75" s="12"/>
      <c r="B75" s="12"/>
      <c r="C75" s="12"/>
      <c r="D75" s="31"/>
      <c r="E75" s="12"/>
      <c r="F75" s="32"/>
      <c r="G75" s="32"/>
      <c r="H75" s="32"/>
      <c r="I75" s="32"/>
      <c r="J75" s="32"/>
      <c r="K75" s="12"/>
      <c r="L75" s="32"/>
      <c r="M75" s="32"/>
      <c r="N75" s="32"/>
      <c r="O75" s="12"/>
      <c r="P75" s="12"/>
      <c r="Q75" s="12"/>
      <c r="R75" s="12"/>
      <c r="S75" s="32"/>
      <c r="T75" s="12"/>
      <c r="U75" s="12"/>
      <c r="V75" s="39"/>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33"/>
      <c r="AX75" s="33"/>
      <c r="AY75" s="29"/>
      <c r="AZ75" s="34"/>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row>
    <row r="76" ht="15.75" customHeight="1">
      <c r="A76" s="12"/>
      <c r="B76" s="12"/>
      <c r="C76" s="12"/>
      <c r="D76" s="31"/>
      <c r="E76" s="12"/>
      <c r="F76" s="32"/>
      <c r="G76" s="32"/>
      <c r="H76" s="32"/>
      <c r="I76" s="32"/>
      <c r="J76" s="32"/>
      <c r="K76" s="12"/>
      <c r="L76" s="32"/>
      <c r="M76" s="32"/>
      <c r="N76" s="32"/>
      <c r="O76" s="12"/>
      <c r="P76" s="12"/>
      <c r="Q76" s="12"/>
      <c r="R76" s="12"/>
      <c r="S76" s="32"/>
      <c r="T76" s="12"/>
      <c r="U76" s="12"/>
      <c r="V76" s="39"/>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33"/>
      <c r="AX76" s="33"/>
      <c r="AY76" s="29"/>
      <c r="AZ76" s="34"/>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row>
    <row r="77" ht="15.75" customHeight="1">
      <c r="A77" s="12"/>
      <c r="B77" s="12"/>
      <c r="C77" s="12"/>
      <c r="D77" s="31"/>
      <c r="E77" s="12"/>
      <c r="F77" s="32"/>
      <c r="G77" s="32"/>
      <c r="H77" s="32"/>
      <c r="I77" s="32"/>
      <c r="J77" s="32"/>
      <c r="K77" s="12"/>
      <c r="L77" s="32"/>
      <c r="M77" s="32"/>
      <c r="N77" s="32"/>
      <c r="O77" s="12"/>
      <c r="P77" s="12"/>
      <c r="Q77" s="12"/>
      <c r="R77" s="12"/>
      <c r="S77" s="32"/>
      <c r="T77" s="12"/>
      <c r="U77" s="12"/>
      <c r="V77" s="39"/>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33"/>
      <c r="AX77" s="33"/>
      <c r="AY77" s="29"/>
      <c r="AZ77" s="34"/>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row>
    <row r="78" ht="15.75" customHeight="1">
      <c r="A78" s="12"/>
      <c r="B78" s="12"/>
      <c r="C78" s="12"/>
      <c r="D78" s="31"/>
      <c r="E78" s="12"/>
      <c r="F78" s="32"/>
      <c r="G78" s="32"/>
      <c r="H78" s="32"/>
      <c r="I78" s="32"/>
      <c r="J78" s="32"/>
      <c r="K78" s="12"/>
      <c r="L78" s="32"/>
      <c r="M78" s="32"/>
      <c r="N78" s="32"/>
      <c r="O78" s="12"/>
      <c r="P78" s="12"/>
      <c r="Q78" s="12"/>
      <c r="R78" s="12"/>
      <c r="S78" s="32"/>
      <c r="T78" s="12"/>
      <c r="U78" s="12"/>
      <c r="V78" s="39"/>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33"/>
      <c r="AX78" s="33"/>
      <c r="AY78" s="29"/>
      <c r="AZ78" s="34"/>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row>
    <row r="79" ht="15.75" customHeight="1">
      <c r="A79" s="12"/>
      <c r="B79" s="12"/>
      <c r="C79" s="12"/>
      <c r="D79" s="31"/>
      <c r="E79" s="12"/>
      <c r="F79" s="32"/>
      <c r="G79" s="32"/>
      <c r="H79" s="32"/>
      <c r="I79" s="32"/>
      <c r="J79" s="32"/>
      <c r="K79" s="12"/>
      <c r="L79" s="32"/>
      <c r="M79" s="32"/>
      <c r="N79" s="32"/>
      <c r="O79" s="12"/>
      <c r="P79" s="12"/>
      <c r="Q79" s="12"/>
      <c r="R79" s="12"/>
      <c r="S79" s="32"/>
      <c r="T79" s="12"/>
      <c r="U79" s="12"/>
      <c r="V79" s="39"/>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33"/>
      <c r="AX79" s="33"/>
      <c r="AY79" s="29"/>
      <c r="AZ79" s="34"/>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row>
    <row r="80" ht="15.75" customHeight="1">
      <c r="A80" s="12"/>
      <c r="B80" s="12"/>
      <c r="C80" s="12"/>
      <c r="D80" s="31"/>
      <c r="E80" s="12"/>
      <c r="F80" s="32"/>
      <c r="G80" s="32"/>
      <c r="H80" s="32"/>
      <c r="I80" s="32"/>
      <c r="J80" s="32"/>
      <c r="K80" s="12"/>
      <c r="L80" s="32"/>
      <c r="M80" s="32"/>
      <c r="N80" s="32"/>
      <c r="O80" s="12"/>
      <c r="P80" s="12"/>
      <c r="Q80" s="12"/>
      <c r="R80" s="12"/>
      <c r="S80" s="32"/>
      <c r="T80" s="12"/>
      <c r="U80" s="12"/>
      <c r="V80" s="39"/>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33"/>
      <c r="AX80" s="33"/>
      <c r="AY80" s="29"/>
      <c r="AZ80" s="34"/>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row>
    <row r="81" ht="15.75" customHeight="1">
      <c r="A81" s="12"/>
      <c r="B81" s="12"/>
      <c r="C81" s="12"/>
      <c r="D81" s="31"/>
      <c r="E81" s="12"/>
      <c r="F81" s="32"/>
      <c r="G81" s="32"/>
      <c r="H81" s="32"/>
      <c r="I81" s="32"/>
      <c r="J81" s="32"/>
      <c r="K81" s="12"/>
      <c r="L81" s="32"/>
      <c r="M81" s="32"/>
      <c r="N81" s="32"/>
      <c r="O81" s="12"/>
      <c r="P81" s="12"/>
      <c r="Q81" s="12"/>
      <c r="R81" s="12"/>
      <c r="S81" s="32"/>
      <c r="T81" s="12"/>
      <c r="U81" s="12"/>
      <c r="V81" s="39"/>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33"/>
      <c r="AX81" s="33"/>
      <c r="AY81" s="29"/>
      <c r="AZ81" s="34"/>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row>
    <row r="82" ht="15.75" customHeight="1">
      <c r="A82" s="12"/>
      <c r="B82" s="12"/>
      <c r="C82" s="12"/>
      <c r="D82" s="31"/>
      <c r="E82" s="12"/>
      <c r="F82" s="32"/>
      <c r="G82" s="32"/>
      <c r="H82" s="32"/>
      <c r="I82" s="32"/>
      <c r="J82" s="32"/>
      <c r="K82" s="12"/>
      <c r="L82" s="32"/>
      <c r="M82" s="32"/>
      <c r="N82" s="32"/>
      <c r="O82" s="12"/>
      <c r="P82" s="12"/>
      <c r="Q82" s="12"/>
      <c r="R82" s="12"/>
      <c r="S82" s="32"/>
      <c r="T82" s="12"/>
      <c r="U82" s="12"/>
      <c r="V82" s="39"/>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33"/>
      <c r="AX82" s="33"/>
      <c r="AY82" s="29"/>
      <c r="AZ82" s="34"/>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row>
    <row r="83" ht="15.75" customHeight="1">
      <c r="A83" s="12"/>
      <c r="B83" s="12"/>
      <c r="C83" s="12"/>
      <c r="D83" s="31"/>
      <c r="E83" s="12"/>
      <c r="F83" s="32"/>
      <c r="G83" s="32"/>
      <c r="H83" s="32"/>
      <c r="I83" s="32"/>
      <c r="J83" s="32"/>
      <c r="K83" s="12"/>
      <c r="L83" s="32"/>
      <c r="M83" s="32"/>
      <c r="N83" s="32"/>
      <c r="O83" s="12"/>
      <c r="P83" s="12"/>
      <c r="Q83" s="12"/>
      <c r="R83" s="12"/>
      <c r="S83" s="32"/>
      <c r="T83" s="12"/>
      <c r="U83" s="12"/>
      <c r="V83" s="39"/>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33"/>
      <c r="AX83" s="33"/>
      <c r="AY83" s="29"/>
      <c r="AZ83" s="34"/>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row>
    <row r="84" ht="15.75" customHeight="1">
      <c r="A84" s="12"/>
      <c r="B84" s="12"/>
      <c r="C84" s="12"/>
      <c r="D84" s="31"/>
      <c r="E84" s="12"/>
      <c r="F84" s="32"/>
      <c r="G84" s="32"/>
      <c r="H84" s="32"/>
      <c r="I84" s="32"/>
      <c r="J84" s="32"/>
      <c r="K84" s="12"/>
      <c r="L84" s="32"/>
      <c r="M84" s="32"/>
      <c r="N84" s="32"/>
      <c r="O84" s="12"/>
      <c r="P84" s="12"/>
      <c r="Q84" s="12"/>
      <c r="R84" s="12"/>
      <c r="S84" s="32"/>
      <c r="T84" s="12"/>
      <c r="U84" s="12"/>
      <c r="V84" s="39"/>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33"/>
      <c r="AX84" s="33"/>
      <c r="AY84" s="29"/>
      <c r="AZ84" s="34"/>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row>
    <row r="85" ht="15.75" customHeight="1">
      <c r="A85" s="12"/>
      <c r="B85" s="12"/>
      <c r="C85" s="12"/>
      <c r="D85" s="31"/>
      <c r="E85" s="12"/>
      <c r="F85" s="32"/>
      <c r="G85" s="32"/>
      <c r="H85" s="32"/>
      <c r="I85" s="32"/>
      <c r="J85" s="32"/>
      <c r="K85" s="12"/>
      <c r="L85" s="32"/>
      <c r="M85" s="32"/>
      <c r="N85" s="32"/>
      <c r="O85" s="12"/>
      <c r="P85" s="12"/>
      <c r="Q85" s="12"/>
      <c r="R85" s="12"/>
      <c r="S85" s="32"/>
      <c r="T85" s="12"/>
      <c r="U85" s="12"/>
      <c r="V85" s="39"/>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33"/>
      <c r="AX85" s="33"/>
      <c r="AY85" s="29"/>
      <c r="AZ85" s="34"/>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row>
    <row r="86" ht="15.75" customHeight="1">
      <c r="A86" s="12"/>
      <c r="B86" s="12"/>
      <c r="C86" s="12"/>
      <c r="D86" s="31"/>
      <c r="E86" s="12"/>
      <c r="F86" s="32"/>
      <c r="G86" s="32"/>
      <c r="H86" s="32"/>
      <c r="I86" s="32"/>
      <c r="J86" s="32"/>
      <c r="K86" s="12"/>
      <c r="L86" s="32"/>
      <c r="M86" s="32"/>
      <c r="N86" s="32"/>
      <c r="O86" s="12"/>
      <c r="P86" s="12"/>
      <c r="Q86" s="12"/>
      <c r="R86" s="12"/>
      <c r="S86" s="32"/>
      <c r="T86" s="12"/>
      <c r="U86" s="12"/>
      <c r="V86" s="39"/>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33"/>
      <c r="AX86" s="33"/>
      <c r="AY86" s="29"/>
      <c r="AZ86" s="34"/>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row>
    <row r="87" ht="15.75" customHeight="1">
      <c r="A87" s="12"/>
      <c r="B87" s="12"/>
      <c r="C87" s="12"/>
      <c r="D87" s="31"/>
      <c r="E87" s="12"/>
      <c r="F87" s="32"/>
      <c r="G87" s="32"/>
      <c r="H87" s="32"/>
      <c r="I87" s="32"/>
      <c r="J87" s="32"/>
      <c r="K87" s="12"/>
      <c r="L87" s="32"/>
      <c r="M87" s="32"/>
      <c r="N87" s="32"/>
      <c r="O87" s="12"/>
      <c r="P87" s="12"/>
      <c r="Q87" s="12"/>
      <c r="R87" s="12"/>
      <c r="S87" s="32"/>
      <c r="T87" s="12"/>
      <c r="U87" s="12"/>
      <c r="V87" s="39"/>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33"/>
      <c r="AX87" s="33"/>
      <c r="AY87" s="29"/>
      <c r="AZ87" s="34"/>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row>
    <row r="88" ht="15.75" customHeight="1">
      <c r="A88" s="12"/>
      <c r="B88" s="12"/>
      <c r="C88" s="12"/>
      <c r="D88" s="31"/>
      <c r="E88" s="12"/>
      <c r="F88" s="32"/>
      <c r="G88" s="32"/>
      <c r="H88" s="32"/>
      <c r="I88" s="32"/>
      <c r="J88" s="32"/>
      <c r="K88" s="12"/>
      <c r="L88" s="32"/>
      <c r="M88" s="32"/>
      <c r="N88" s="32"/>
      <c r="O88" s="12"/>
      <c r="P88" s="12"/>
      <c r="Q88" s="12"/>
      <c r="R88" s="12"/>
      <c r="S88" s="32"/>
      <c r="T88" s="12"/>
      <c r="U88" s="12"/>
      <c r="V88" s="39"/>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33"/>
      <c r="AX88" s="33"/>
      <c r="AY88" s="29"/>
      <c r="AZ88" s="34"/>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row>
    <row r="89" ht="15.75" customHeight="1">
      <c r="A89" s="12"/>
      <c r="B89" s="12"/>
      <c r="C89" s="12"/>
      <c r="D89" s="31"/>
      <c r="E89" s="12"/>
      <c r="F89" s="32"/>
      <c r="G89" s="32"/>
      <c r="H89" s="32"/>
      <c r="I89" s="32"/>
      <c r="J89" s="32"/>
      <c r="K89" s="12"/>
      <c r="L89" s="32"/>
      <c r="M89" s="32"/>
      <c r="N89" s="32"/>
      <c r="O89" s="12"/>
      <c r="P89" s="12"/>
      <c r="Q89" s="12"/>
      <c r="R89" s="12"/>
      <c r="S89" s="32"/>
      <c r="T89" s="12"/>
      <c r="U89" s="12"/>
      <c r="V89" s="39"/>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33"/>
      <c r="AX89" s="33"/>
      <c r="AY89" s="29"/>
      <c r="AZ89" s="34"/>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row>
    <row r="90" ht="15.75" customHeight="1">
      <c r="A90" s="12"/>
      <c r="B90" s="12"/>
      <c r="C90" s="12"/>
      <c r="D90" s="31"/>
      <c r="E90" s="12"/>
      <c r="F90" s="32"/>
      <c r="G90" s="32"/>
      <c r="H90" s="32"/>
      <c r="I90" s="32"/>
      <c r="J90" s="32"/>
      <c r="K90" s="12"/>
      <c r="L90" s="32"/>
      <c r="M90" s="32"/>
      <c r="N90" s="32"/>
      <c r="O90" s="12"/>
      <c r="P90" s="12"/>
      <c r="Q90" s="12"/>
      <c r="R90" s="12"/>
      <c r="S90" s="32"/>
      <c r="T90" s="12"/>
      <c r="U90" s="12"/>
      <c r="V90" s="39"/>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33"/>
      <c r="AX90" s="33"/>
      <c r="AY90" s="29"/>
      <c r="AZ90" s="34"/>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row>
    <row r="91" ht="15.75" customHeight="1">
      <c r="A91" s="12"/>
      <c r="B91" s="12"/>
      <c r="C91" s="12"/>
      <c r="D91" s="31"/>
      <c r="E91" s="12"/>
      <c r="F91" s="32"/>
      <c r="G91" s="32"/>
      <c r="H91" s="32"/>
      <c r="I91" s="32"/>
      <c r="J91" s="32"/>
      <c r="K91" s="12"/>
      <c r="L91" s="32"/>
      <c r="M91" s="32"/>
      <c r="N91" s="32"/>
      <c r="O91" s="12"/>
      <c r="P91" s="12"/>
      <c r="Q91" s="12"/>
      <c r="R91" s="12"/>
      <c r="S91" s="32"/>
      <c r="T91" s="12"/>
      <c r="U91" s="12"/>
      <c r="V91" s="39"/>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33"/>
      <c r="AX91" s="33"/>
      <c r="AY91" s="29"/>
      <c r="AZ91" s="34"/>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row>
    <row r="92" ht="15.75" customHeight="1">
      <c r="A92" s="12"/>
      <c r="B92" s="12"/>
      <c r="C92" s="12"/>
      <c r="D92" s="31"/>
      <c r="E92" s="12"/>
      <c r="F92" s="32"/>
      <c r="G92" s="32"/>
      <c r="H92" s="32"/>
      <c r="I92" s="32"/>
      <c r="J92" s="32"/>
      <c r="K92" s="12"/>
      <c r="L92" s="32"/>
      <c r="M92" s="32"/>
      <c r="N92" s="32"/>
      <c r="O92" s="12"/>
      <c r="P92" s="12"/>
      <c r="Q92" s="12"/>
      <c r="R92" s="12"/>
      <c r="S92" s="32"/>
      <c r="T92" s="12"/>
      <c r="U92" s="12"/>
      <c r="V92" s="39"/>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33"/>
      <c r="AX92" s="33"/>
      <c r="AY92" s="29"/>
      <c r="AZ92" s="34"/>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row>
    <row r="93" ht="15.75" customHeight="1">
      <c r="A93" s="12"/>
      <c r="B93" s="12"/>
      <c r="C93" s="12"/>
      <c r="D93" s="31"/>
      <c r="E93" s="12"/>
      <c r="F93" s="32"/>
      <c r="G93" s="32"/>
      <c r="H93" s="32"/>
      <c r="I93" s="32"/>
      <c r="J93" s="32"/>
      <c r="K93" s="12"/>
      <c r="L93" s="32"/>
      <c r="M93" s="32"/>
      <c r="N93" s="32"/>
      <c r="O93" s="12"/>
      <c r="P93" s="12"/>
      <c r="Q93" s="12"/>
      <c r="R93" s="12"/>
      <c r="S93" s="32"/>
      <c r="T93" s="12"/>
      <c r="U93" s="12"/>
      <c r="V93" s="39"/>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33"/>
      <c r="AX93" s="33"/>
      <c r="AY93" s="29"/>
      <c r="AZ93" s="34"/>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row>
    <row r="94" ht="15.75" customHeight="1">
      <c r="A94" s="12"/>
      <c r="B94" s="12"/>
      <c r="C94" s="12"/>
      <c r="D94" s="31"/>
      <c r="E94" s="12"/>
      <c r="F94" s="32"/>
      <c r="G94" s="32"/>
      <c r="H94" s="32"/>
      <c r="I94" s="32"/>
      <c r="J94" s="32"/>
      <c r="K94" s="12"/>
      <c r="L94" s="32"/>
      <c r="M94" s="32"/>
      <c r="N94" s="32"/>
      <c r="O94" s="12"/>
      <c r="P94" s="12"/>
      <c r="Q94" s="12"/>
      <c r="R94" s="12"/>
      <c r="S94" s="32"/>
      <c r="T94" s="12"/>
      <c r="U94" s="12"/>
      <c r="V94" s="39"/>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33"/>
      <c r="AX94" s="33"/>
      <c r="AY94" s="29"/>
      <c r="AZ94" s="34"/>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row>
    <row r="95" ht="15.75" customHeight="1">
      <c r="A95" s="12"/>
      <c r="B95" s="12"/>
      <c r="C95" s="12"/>
      <c r="D95" s="31"/>
      <c r="E95" s="12"/>
      <c r="F95" s="32"/>
      <c r="G95" s="32"/>
      <c r="H95" s="32"/>
      <c r="I95" s="32"/>
      <c r="J95" s="32"/>
      <c r="K95" s="12"/>
      <c r="L95" s="32"/>
      <c r="M95" s="32"/>
      <c r="N95" s="32"/>
      <c r="O95" s="12"/>
      <c r="P95" s="12"/>
      <c r="Q95" s="12"/>
      <c r="R95" s="12"/>
      <c r="S95" s="32"/>
      <c r="T95" s="12"/>
      <c r="U95" s="12"/>
      <c r="V95" s="39"/>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33"/>
      <c r="AX95" s="33"/>
      <c r="AY95" s="29"/>
      <c r="AZ95" s="34"/>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row>
    <row r="96" ht="15.75" customHeight="1">
      <c r="A96" s="12"/>
      <c r="B96" s="12"/>
      <c r="C96" s="12"/>
      <c r="D96" s="31"/>
      <c r="E96" s="12"/>
      <c r="F96" s="32"/>
      <c r="G96" s="32"/>
      <c r="H96" s="32"/>
      <c r="I96" s="32"/>
      <c r="J96" s="32"/>
      <c r="K96" s="12"/>
      <c r="L96" s="32"/>
      <c r="M96" s="32"/>
      <c r="N96" s="32"/>
      <c r="O96" s="12"/>
      <c r="P96" s="12"/>
      <c r="Q96" s="12"/>
      <c r="R96" s="12"/>
      <c r="S96" s="32"/>
      <c r="T96" s="12"/>
      <c r="U96" s="12"/>
      <c r="V96" s="39"/>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33"/>
      <c r="AX96" s="33"/>
      <c r="AY96" s="29"/>
      <c r="AZ96" s="34"/>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row>
    <row r="97" ht="15.75" customHeight="1">
      <c r="A97" s="12"/>
      <c r="B97" s="12"/>
      <c r="C97" s="12"/>
      <c r="D97" s="31"/>
      <c r="E97" s="12"/>
      <c r="F97" s="32"/>
      <c r="G97" s="32"/>
      <c r="H97" s="32"/>
      <c r="I97" s="32"/>
      <c r="J97" s="32"/>
      <c r="K97" s="12"/>
      <c r="L97" s="32"/>
      <c r="M97" s="32"/>
      <c r="N97" s="32"/>
      <c r="O97" s="12"/>
      <c r="P97" s="12"/>
      <c r="Q97" s="12"/>
      <c r="R97" s="12"/>
      <c r="S97" s="32"/>
      <c r="T97" s="12"/>
      <c r="U97" s="12"/>
      <c r="V97" s="39"/>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33"/>
      <c r="AX97" s="33"/>
      <c r="AY97" s="29"/>
      <c r="AZ97" s="34"/>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row>
    <row r="98" ht="15.75" customHeight="1">
      <c r="A98" s="12"/>
      <c r="B98" s="12"/>
      <c r="C98" s="12"/>
      <c r="D98" s="31"/>
      <c r="E98" s="12"/>
      <c r="F98" s="32"/>
      <c r="G98" s="32"/>
      <c r="H98" s="32"/>
      <c r="I98" s="32"/>
      <c r="J98" s="32"/>
      <c r="K98" s="12"/>
      <c r="L98" s="32"/>
      <c r="M98" s="32"/>
      <c r="N98" s="32"/>
      <c r="O98" s="12"/>
      <c r="P98" s="12"/>
      <c r="Q98" s="12"/>
      <c r="R98" s="12"/>
      <c r="S98" s="32"/>
      <c r="T98" s="12"/>
      <c r="U98" s="12"/>
      <c r="V98" s="39"/>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33"/>
      <c r="AX98" s="33"/>
      <c r="AY98" s="29"/>
      <c r="AZ98" s="34"/>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row>
    <row r="99" ht="15.75" customHeight="1">
      <c r="A99" s="12"/>
      <c r="B99" s="12"/>
      <c r="C99" s="12"/>
      <c r="D99" s="31"/>
      <c r="E99" s="12"/>
      <c r="F99" s="32"/>
      <c r="G99" s="32"/>
      <c r="H99" s="32"/>
      <c r="I99" s="32"/>
      <c r="J99" s="32"/>
      <c r="K99" s="12"/>
      <c r="L99" s="32"/>
      <c r="M99" s="32"/>
      <c r="N99" s="32"/>
      <c r="O99" s="12"/>
      <c r="P99" s="12"/>
      <c r="Q99" s="12"/>
      <c r="R99" s="12"/>
      <c r="S99" s="32"/>
      <c r="T99" s="12"/>
      <c r="U99" s="12"/>
      <c r="V99" s="39"/>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33"/>
      <c r="AX99" s="33"/>
      <c r="AY99" s="29"/>
      <c r="AZ99" s="34"/>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row>
    <row r="100" ht="15.75" customHeight="1">
      <c r="A100" s="12"/>
      <c r="B100" s="12"/>
      <c r="C100" s="12"/>
      <c r="D100" s="31"/>
      <c r="E100" s="12"/>
      <c r="F100" s="32"/>
      <c r="G100" s="32"/>
      <c r="H100" s="32"/>
      <c r="I100" s="32"/>
      <c r="J100" s="32"/>
      <c r="K100" s="12"/>
      <c r="L100" s="32"/>
      <c r="M100" s="32"/>
      <c r="N100" s="32"/>
      <c r="O100" s="12"/>
      <c r="P100" s="12"/>
      <c r="Q100" s="12"/>
      <c r="R100" s="12"/>
      <c r="S100" s="32"/>
      <c r="T100" s="12"/>
      <c r="U100" s="12"/>
      <c r="V100" s="39"/>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33"/>
      <c r="AX100" s="33"/>
      <c r="AY100" s="29"/>
      <c r="AZ100" s="34"/>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row>
    <row r="101" ht="15.75" customHeight="1">
      <c r="A101" s="12"/>
      <c r="B101" s="12"/>
      <c r="C101" s="12"/>
      <c r="D101" s="31"/>
      <c r="E101" s="12"/>
      <c r="F101" s="32"/>
      <c r="G101" s="32"/>
      <c r="H101" s="32"/>
      <c r="I101" s="32"/>
      <c r="J101" s="32"/>
      <c r="K101" s="12"/>
      <c r="L101" s="32"/>
      <c r="M101" s="32"/>
      <c r="N101" s="32"/>
      <c r="O101" s="12"/>
      <c r="P101" s="12"/>
      <c r="Q101" s="12"/>
      <c r="R101" s="12"/>
      <c r="S101" s="32"/>
      <c r="T101" s="12"/>
      <c r="U101" s="12"/>
      <c r="V101" s="39"/>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33"/>
      <c r="AX101" s="33"/>
      <c r="AY101" s="29"/>
      <c r="AZ101" s="34"/>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row>
    <row r="102" ht="15.75" customHeight="1">
      <c r="A102" s="12"/>
      <c r="B102" s="12"/>
      <c r="C102" s="12"/>
      <c r="D102" s="31"/>
      <c r="E102" s="12"/>
      <c r="F102" s="32"/>
      <c r="G102" s="32"/>
      <c r="H102" s="32"/>
      <c r="I102" s="32"/>
      <c r="J102" s="32"/>
      <c r="K102" s="12"/>
      <c r="L102" s="32"/>
      <c r="M102" s="32"/>
      <c r="N102" s="32"/>
      <c r="O102" s="12"/>
      <c r="P102" s="12"/>
      <c r="Q102" s="12"/>
      <c r="R102" s="12"/>
      <c r="S102" s="32"/>
      <c r="T102" s="12"/>
      <c r="U102" s="12"/>
      <c r="V102" s="39"/>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33"/>
      <c r="AX102" s="33"/>
      <c r="AY102" s="29"/>
      <c r="AZ102" s="34"/>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row>
    <row r="103" ht="15.75" customHeight="1">
      <c r="A103" s="12"/>
      <c r="B103" s="12"/>
      <c r="C103" s="12"/>
      <c r="D103" s="31"/>
      <c r="E103" s="12"/>
      <c r="F103" s="32"/>
      <c r="G103" s="32"/>
      <c r="H103" s="32"/>
      <c r="I103" s="32"/>
      <c r="J103" s="32"/>
      <c r="K103" s="12"/>
      <c r="L103" s="32"/>
      <c r="M103" s="32"/>
      <c r="N103" s="32"/>
      <c r="O103" s="12"/>
      <c r="P103" s="12"/>
      <c r="Q103" s="12"/>
      <c r="R103" s="12"/>
      <c r="S103" s="32"/>
      <c r="T103" s="12"/>
      <c r="U103" s="12"/>
      <c r="V103" s="39"/>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33"/>
      <c r="AX103" s="33"/>
      <c r="AY103" s="29"/>
      <c r="AZ103" s="34"/>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row>
    <row r="104" ht="15.75" customHeight="1">
      <c r="A104" s="12"/>
      <c r="B104" s="12"/>
      <c r="C104" s="12"/>
      <c r="D104" s="31"/>
      <c r="E104" s="12"/>
      <c r="F104" s="32"/>
      <c r="G104" s="32"/>
      <c r="H104" s="32"/>
      <c r="I104" s="32"/>
      <c r="J104" s="32"/>
      <c r="K104" s="12"/>
      <c r="L104" s="32"/>
      <c r="M104" s="32"/>
      <c r="N104" s="32"/>
      <c r="O104" s="12"/>
      <c r="P104" s="12"/>
      <c r="Q104" s="12"/>
      <c r="R104" s="12"/>
      <c r="S104" s="32"/>
      <c r="T104" s="12"/>
      <c r="U104" s="12"/>
      <c r="V104" s="39"/>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33"/>
      <c r="AX104" s="33"/>
      <c r="AY104" s="29"/>
      <c r="AZ104" s="34"/>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row>
    <row r="105" ht="15.75" customHeight="1">
      <c r="A105" s="12"/>
      <c r="B105" s="12"/>
      <c r="C105" s="12"/>
      <c r="D105" s="31"/>
      <c r="E105" s="12"/>
      <c r="F105" s="32"/>
      <c r="G105" s="32"/>
      <c r="H105" s="32"/>
      <c r="I105" s="32"/>
      <c r="J105" s="32"/>
      <c r="K105" s="12"/>
      <c r="L105" s="32"/>
      <c r="M105" s="32"/>
      <c r="N105" s="32"/>
      <c r="O105" s="12"/>
      <c r="P105" s="12"/>
      <c r="Q105" s="12"/>
      <c r="R105" s="12"/>
      <c r="S105" s="32"/>
      <c r="T105" s="12"/>
      <c r="U105" s="12"/>
      <c r="V105" s="39"/>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33"/>
      <c r="AX105" s="33"/>
      <c r="AY105" s="29"/>
      <c r="AZ105" s="34"/>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row>
    <row r="106" ht="15.75" customHeight="1">
      <c r="A106" s="12"/>
      <c r="B106" s="12"/>
      <c r="C106" s="12"/>
      <c r="D106" s="31"/>
      <c r="E106" s="12"/>
      <c r="F106" s="32"/>
      <c r="G106" s="32"/>
      <c r="H106" s="32"/>
      <c r="I106" s="32"/>
      <c r="J106" s="32"/>
      <c r="K106" s="12"/>
      <c r="L106" s="32"/>
      <c r="M106" s="32"/>
      <c r="N106" s="32"/>
      <c r="O106" s="12"/>
      <c r="P106" s="12"/>
      <c r="Q106" s="12"/>
      <c r="R106" s="12"/>
      <c r="S106" s="32"/>
      <c r="T106" s="12"/>
      <c r="U106" s="12"/>
      <c r="V106" s="39"/>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33"/>
      <c r="AX106" s="33"/>
      <c r="AY106" s="29"/>
      <c r="AZ106" s="34"/>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row>
    <row r="107" ht="15.75" customHeight="1">
      <c r="A107" s="12"/>
      <c r="B107" s="12"/>
      <c r="C107" s="12"/>
      <c r="D107" s="31"/>
      <c r="E107" s="12"/>
      <c r="F107" s="32"/>
      <c r="G107" s="32"/>
      <c r="H107" s="32"/>
      <c r="I107" s="32"/>
      <c r="J107" s="32"/>
      <c r="K107" s="12"/>
      <c r="L107" s="32"/>
      <c r="M107" s="32"/>
      <c r="N107" s="32"/>
      <c r="O107" s="12"/>
      <c r="P107" s="12"/>
      <c r="Q107" s="12"/>
      <c r="R107" s="12"/>
      <c r="S107" s="32"/>
      <c r="T107" s="12"/>
      <c r="U107" s="12"/>
      <c r="V107" s="39"/>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33"/>
      <c r="AX107" s="33"/>
      <c r="AY107" s="29"/>
      <c r="AZ107" s="34"/>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row>
    <row r="108" ht="15.75" customHeight="1">
      <c r="A108" s="12"/>
      <c r="B108" s="12"/>
      <c r="C108" s="12"/>
      <c r="D108" s="31"/>
      <c r="E108" s="12"/>
      <c r="F108" s="32"/>
      <c r="G108" s="32"/>
      <c r="H108" s="32"/>
      <c r="I108" s="32"/>
      <c r="J108" s="32"/>
      <c r="K108" s="12"/>
      <c r="L108" s="32"/>
      <c r="M108" s="32"/>
      <c r="N108" s="32"/>
      <c r="O108" s="12"/>
      <c r="P108" s="12"/>
      <c r="Q108" s="12"/>
      <c r="R108" s="12"/>
      <c r="S108" s="32"/>
      <c r="T108" s="12"/>
      <c r="U108" s="12"/>
      <c r="V108" s="39"/>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33"/>
      <c r="AX108" s="33"/>
      <c r="AY108" s="29"/>
      <c r="AZ108" s="34"/>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row>
    <row r="109" ht="15.75" customHeight="1">
      <c r="A109" s="12"/>
      <c r="B109" s="12"/>
      <c r="C109" s="12"/>
      <c r="D109" s="31"/>
      <c r="E109" s="12"/>
      <c r="F109" s="32"/>
      <c r="G109" s="32"/>
      <c r="H109" s="32"/>
      <c r="I109" s="32"/>
      <c r="J109" s="32"/>
      <c r="K109" s="12"/>
      <c r="L109" s="32"/>
      <c r="M109" s="32"/>
      <c r="N109" s="32"/>
      <c r="O109" s="12"/>
      <c r="P109" s="12"/>
      <c r="Q109" s="12"/>
      <c r="R109" s="12"/>
      <c r="S109" s="32"/>
      <c r="T109" s="12"/>
      <c r="U109" s="12"/>
      <c r="V109" s="39"/>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33"/>
      <c r="AX109" s="33"/>
      <c r="AY109" s="29"/>
      <c r="AZ109" s="34"/>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row>
    <row r="110" ht="15.75" customHeight="1">
      <c r="A110" s="12"/>
      <c r="B110" s="12"/>
      <c r="C110" s="12"/>
      <c r="D110" s="31"/>
      <c r="E110" s="12"/>
      <c r="F110" s="32"/>
      <c r="G110" s="32"/>
      <c r="H110" s="32"/>
      <c r="I110" s="32"/>
      <c r="J110" s="32"/>
      <c r="K110" s="12"/>
      <c r="L110" s="32"/>
      <c r="M110" s="32"/>
      <c r="N110" s="32"/>
      <c r="O110" s="12"/>
      <c r="P110" s="12"/>
      <c r="Q110" s="12"/>
      <c r="R110" s="12"/>
      <c r="S110" s="32"/>
      <c r="T110" s="12"/>
      <c r="U110" s="12"/>
      <c r="V110" s="39"/>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33"/>
      <c r="AX110" s="33"/>
      <c r="AY110" s="29"/>
      <c r="AZ110" s="34"/>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row>
    <row r="111" ht="15.75" customHeight="1">
      <c r="A111" s="12"/>
      <c r="B111" s="12"/>
      <c r="C111" s="12"/>
      <c r="D111" s="31"/>
      <c r="E111" s="12"/>
      <c r="F111" s="32"/>
      <c r="G111" s="32"/>
      <c r="H111" s="32"/>
      <c r="I111" s="32"/>
      <c r="J111" s="32"/>
      <c r="K111" s="12"/>
      <c r="L111" s="32"/>
      <c r="M111" s="32"/>
      <c r="N111" s="32"/>
      <c r="O111" s="12"/>
      <c r="P111" s="12"/>
      <c r="Q111" s="12"/>
      <c r="R111" s="12"/>
      <c r="S111" s="32"/>
      <c r="T111" s="12"/>
      <c r="U111" s="12"/>
      <c r="V111" s="39"/>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33"/>
      <c r="AX111" s="33"/>
      <c r="AY111" s="29"/>
      <c r="AZ111" s="34"/>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row>
    <row r="112" ht="15.75" customHeight="1">
      <c r="A112" s="12"/>
      <c r="B112" s="12"/>
      <c r="C112" s="12"/>
      <c r="D112" s="31"/>
      <c r="E112" s="12"/>
      <c r="F112" s="32"/>
      <c r="G112" s="32"/>
      <c r="H112" s="32"/>
      <c r="I112" s="32"/>
      <c r="J112" s="32"/>
      <c r="K112" s="12"/>
      <c r="L112" s="32"/>
      <c r="M112" s="32"/>
      <c r="N112" s="32"/>
      <c r="O112" s="12"/>
      <c r="P112" s="12"/>
      <c r="Q112" s="12"/>
      <c r="R112" s="12"/>
      <c r="S112" s="32"/>
      <c r="T112" s="12"/>
      <c r="U112" s="12"/>
      <c r="V112" s="39"/>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33"/>
      <c r="AX112" s="33"/>
      <c r="AY112" s="29"/>
      <c r="AZ112" s="34"/>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row>
    <row r="113" ht="15.75" customHeight="1">
      <c r="A113" s="12"/>
      <c r="B113" s="12"/>
      <c r="C113" s="12"/>
      <c r="D113" s="31"/>
      <c r="E113" s="12"/>
      <c r="F113" s="32"/>
      <c r="G113" s="32"/>
      <c r="H113" s="32"/>
      <c r="I113" s="32"/>
      <c r="J113" s="32"/>
      <c r="K113" s="12"/>
      <c r="L113" s="32"/>
      <c r="M113" s="32"/>
      <c r="N113" s="32"/>
      <c r="O113" s="12"/>
      <c r="P113" s="12"/>
      <c r="Q113" s="12"/>
      <c r="R113" s="12"/>
      <c r="S113" s="32"/>
      <c r="T113" s="12"/>
      <c r="U113" s="12"/>
      <c r="V113" s="39"/>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33"/>
      <c r="AX113" s="33"/>
      <c r="AY113" s="29"/>
      <c r="AZ113" s="34"/>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row>
    <row r="114" ht="15.75" customHeight="1">
      <c r="A114" s="12"/>
      <c r="B114" s="12"/>
      <c r="C114" s="12"/>
      <c r="D114" s="31"/>
      <c r="E114" s="12"/>
      <c r="F114" s="32"/>
      <c r="G114" s="32"/>
      <c r="H114" s="32"/>
      <c r="I114" s="32"/>
      <c r="J114" s="32"/>
      <c r="K114" s="12"/>
      <c r="L114" s="32"/>
      <c r="M114" s="32"/>
      <c r="N114" s="32"/>
      <c r="O114" s="12"/>
      <c r="P114" s="12"/>
      <c r="Q114" s="12"/>
      <c r="R114" s="12"/>
      <c r="S114" s="32"/>
      <c r="T114" s="12"/>
      <c r="U114" s="12"/>
      <c r="V114" s="39"/>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33"/>
      <c r="AX114" s="33"/>
      <c r="AY114" s="29"/>
      <c r="AZ114" s="34"/>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row>
    <row r="115" ht="15.75" customHeight="1">
      <c r="A115" s="12"/>
      <c r="B115" s="12"/>
      <c r="C115" s="12"/>
      <c r="D115" s="31"/>
      <c r="E115" s="12"/>
      <c r="F115" s="32"/>
      <c r="G115" s="32"/>
      <c r="H115" s="32"/>
      <c r="I115" s="32"/>
      <c r="J115" s="32"/>
      <c r="K115" s="12"/>
      <c r="L115" s="32"/>
      <c r="M115" s="32"/>
      <c r="N115" s="32"/>
      <c r="O115" s="12"/>
      <c r="P115" s="12"/>
      <c r="Q115" s="12"/>
      <c r="R115" s="12"/>
      <c r="S115" s="32"/>
      <c r="T115" s="12"/>
      <c r="U115" s="12"/>
      <c r="V115" s="39"/>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33"/>
      <c r="AX115" s="33"/>
      <c r="AY115" s="29"/>
      <c r="AZ115" s="34"/>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row>
    <row r="116" ht="15.75" customHeight="1">
      <c r="A116" s="12"/>
      <c r="B116" s="12"/>
      <c r="C116" s="12"/>
      <c r="D116" s="31"/>
      <c r="E116" s="12"/>
      <c r="F116" s="32"/>
      <c r="G116" s="32"/>
      <c r="H116" s="32"/>
      <c r="I116" s="32"/>
      <c r="J116" s="32"/>
      <c r="K116" s="12"/>
      <c r="L116" s="32"/>
      <c r="M116" s="32"/>
      <c r="N116" s="32"/>
      <c r="O116" s="12"/>
      <c r="P116" s="12"/>
      <c r="Q116" s="12"/>
      <c r="R116" s="12"/>
      <c r="S116" s="32"/>
      <c r="T116" s="12"/>
      <c r="U116" s="12"/>
      <c r="V116" s="39"/>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33"/>
      <c r="AX116" s="33"/>
      <c r="AY116" s="29"/>
      <c r="AZ116" s="34"/>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row>
    <row r="117" ht="15.75" customHeight="1">
      <c r="A117" s="12"/>
      <c r="B117" s="12"/>
      <c r="C117" s="12"/>
      <c r="D117" s="31"/>
      <c r="E117" s="12"/>
      <c r="F117" s="32"/>
      <c r="G117" s="32"/>
      <c r="H117" s="32"/>
      <c r="I117" s="32"/>
      <c r="J117" s="32"/>
      <c r="K117" s="12"/>
      <c r="L117" s="32"/>
      <c r="M117" s="32"/>
      <c r="N117" s="32"/>
      <c r="O117" s="12"/>
      <c r="P117" s="12"/>
      <c r="Q117" s="12"/>
      <c r="R117" s="12"/>
      <c r="S117" s="32"/>
      <c r="T117" s="12"/>
      <c r="U117" s="12"/>
      <c r="V117" s="39"/>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33"/>
      <c r="AX117" s="33"/>
      <c r="AY117" s="29"/>
      <c r="AZ117" s="34"/>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row>
    <row r="118" ht="15.75" customHeight="1">
      <c r="A118" s="12"/>
      <c r="B118" s="12"/>
      <c r="C118" s="12"/>
      <c r="D118" s="31"/>
      <c r="E118" s="12"/>
      <c r="F118" s="32"/>
      <c r="G118" s="32"/>
      <c r="H118" s="32"/>
      <c r="I118" s="32"/>
      <c r="J118" s="32"/>
      <c r="K118" s="12"/>
      <c r="L118" s="32"/>
      <c r="M118" s="32"/>
      <c r="N118" s="32"/>
      <c r="O118" s="12"/>
      <c r="P118" s="12"/>
      <c r="Q118" s="12"/>
      <c r="R118" s="12"/>
      <c r="S118" s="32"/>
      <c r="T118" s="12"/>
      <c r="U118" s="12"/>
      <c r="V118" s="39"/>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33"/>
      <c r="AX118" s="33"/>
      <c r="AY118" s="29"/>
      <c r="AZ118" s="34"/>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row>
    <row r="119" ht="15.75" customHeight="1">
      <c r="A119" s="12"/>
      <c r="B119" s="12"/>
      <c r="C119" s="12"/>
      <c r="D119" s="31"/>
      <c r="E119" s="12"/>
      <c r="F119" s="32"/>
      <c r="G119" s="32"/>
      <c r="H119" s="32"/>
      <c r="I119" s="32"/>
      <c r="J119" s="32"/>
      <c r="K119" s="12"/>
      <c r="L119" s="32"/>
      <c r="M119" s="32"/>
      <c r="N119" s="32"/>
      <c r="O119" s="12"/>
      <c r="P119" s="12"/>
      <c r="Q119" s="12"/>
      <c r="R119" s="12"/>
      <c r="S119" s="32"/>
      <c r="T119" s="12"/>
      <c r="U119" s="12"/>
      <c r="V119" s="39"/>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33"/>
      <c r="AX119" s="33"/>
      <c r="AY119" s="29"/>
      <c r="AZ119" s="34"/>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row>
    <row r="120" ht="15.75" customHeight="1">
      <c r="A120" s="12"/>
      <c r="B120" s="12"/>
      <c r="C120" s="12"/>
      <c r="D120" s="31"/>
      <c r="E120" s="12"/>
      <c r="F120" s="32"/>
      <c r="G120" s="32"/>
      <c r="H120" s="32"/>
      <c r="I120" s="32"/>
      <c r="J120" s="32"/>
      <c r="K120" s="12"/>
      <c r="L120" s="32"/>
      <c r="M120" s="32"/>
      <c r="N120" s="32"/>
      <c r="O120" s="12"/>
      <c r="P120" s="12"/>
      <c r="Q120" s="12"/>
      <c r="R120" s="12"/>
      <c r="S120" s="32"/>
      <c r="T120" s="12"/>
      <c r="U120" s="12"/>
      <c r="V120" s="39"/>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33"/>
      <c r="AX120" s="33"/>
      <c r="AY120" s="29"/>
      <c r="AZ120" s="34"/>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row>
    <row r="121" ht="15.75" customHeight="1">
      <c r="A121" s="12"/>
      <c r="B121" s="12"/>
      <c r="C121" s="12"/>
      <c r="D121" s="31"/>
      <c r="E121" s="12"/>
      <c r="F121" s="32"/>
      <c r="G121" s="32"/>
      <c r="H121" s="32"/>
      <c r="I121" s="32"/>
      <c r="J121" s="32"/>
      <c r="K121" s="12"/>
      <c r="L121" s="32"/>
      <c r="M121" s="32"/>
      <c r="N121" s="32"/>
      <c r="O121" s="12"/>
      <c r="P121" s="12"/>
      <c r="Q121" s="12"/>
      <c r="R121" s="12"/>
      <c r="S121" s="32"/>
      <c r="T121" s="12"/>
      <c r="U121" s="12"/>
      <c r="V121" s="39"/>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33"/>
      <c r="AX121" s="33"/>
      <c r="AY121" s="29"/>
      <c r="AZ121" s="34"/>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row>
    <row r="122" ht="15.75" customHeight="1">
      <c r="A122" s="12"/>
      <c r="B122" s="12"/>
      <c r="C122" s="12"/>
      <c r="D122" s="31"/>
      <c r="E122" s="12"/>
      <c r="F122" s="32"/>
      <c r="G122" s="32"/>
      <c r="H122" s="32"/>
      <c r="I122" s="32"/>
      <c r="J122" s="32"/>
      <c r="K122" s="12"/>
      <c r="L122" s="32"/>
      <c r="M122" s="32"/>
      <c r="N122" s="32"/>
      <c r="O122" s="12"/>
      <c r="P122" s="12"/>
      <c r="Q122" s="12"/>
      <c r="R122" s="12"/>
      <c r="S122" s="32"/>
      <c r="T122" s="12"/>
      <c r="U122" s="12"/>
      <c r="V122" s="39"/>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33"/>
      <c r="AX122" s="33"/>
      <c r="AY122" s="29"/>
      <c r="AZ122" s="34"/>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row>
    <row r="123" ht="15.75" customHeight="1">
      <c r="A123" s="12"/>
      <c r="B123" s="12"/>
      <c r="C123" s="12"/>
      <c r="D123" s="31"/>
      <c r="E123" s="12"/>
      <c r="F123" s="32"/>
      <c r="G123" s="32"/>
      <c r="H123" s="32"/>
      <c r="I123" s="32"/>
      <c r="J123" s="32"/>
      <c r="K123" s="12"/>
      <c r="L123" s="32"/>
      <c r="M123" s="32"/>
      <c r="N123" s="32"/>
      <c r="O123" s="12"/>
      <c r="P123" s="12"/>
      <c r="Q123" s="12"/>
      <c r="R123" s="12"/>
      <c r="S123" s="32"/>
      <c r="T123" s="12"/>
      <c r="U123" s="12"/>
      <c r="V123" s="39"/>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33"/>
      <c r="AX123" s="33"/>
      <c r="AY123" s="29"/>
      <c r="AZ123" s="34"/>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row>
    <row r="124" ht="15.75" customHeight="1">
      <c r="A124" s="12"/>
      <c r="B124" s="12"/>
      <c r="C124" s="12"/>
      <c r="D124" s="31"/>
      <c r="E124" s="12"/>
      <c r="F124" s="32"/>
      <c r="G124" s="32"/>
      <c r="H124" s="32"/>
      <c r="I124" s="32"/>
      <c r="J124" s="32"/>
      <c r="K124" s="12"/>
      <c r="L124" s="32"/>
      <c r="M124" s="32"/>
      <c r="N124" s="32"/>
      <c r="O124" s="12"/>
      <c r="P124" s="12"/>
      <c r="Q124" s="12"/>
      <c r="R124" s="12"/>
      <c r="S124" s="32"/>
      <c r="T124" s="12"/>
      <c r="U124" s="12"/>
      <c r="V124" s="39"/>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33"/>
      <c r="AX124" s="33"/>
      <c r="AY124" s="29"/>
      <c r="AZ124" s="34"/>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row>
    <row r="125" ht="15.75" customHeight="1">
      <c r="A125" s="12"/>
      <c r="B125" s="12"/>
      <c r="C125" s="12"/>
      <c r="D125" s="31"/>
      <c r="E125" s="12"/>
      <c r="F125" s="32"/>
      <c r="G125" s="32"/>
      <c r="H125" s="32"/>
      <c r="I125" s="32"/>
      <c r="J125" s="32"/>
      <c r="K125" s="12"/>
      <c r="L125" s="32"/>
      <c r="M125" s="32"/>
      <c r="N125" s="32"/>
      <c r="O125" s="12"/>
      <c r="P125" s="12"/>
      <c r="Q125" s="12"/>
      <c r="R125" s="12"/>
      <c r="S125" s="32"/>
      <c r="T125" s="12"/>
      <c r="U125" s="12"/>
      <c r="V125" s="39"/>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33"/>
      <c r="AX125" s="33"/>
      <c r="AY125" s="29"/>
      <c r="AZ125" s="34"/>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row>
    <row r="126" ht="15.75" customHeight="1">
      <c r="A126" s="12"/>
      <c r="B126" s="12"/>
      <c r="C126" s="12"/>
      <c r="D126" s="31"/>
      <c r="E126" s="12"/>
      <c r="F126" s="32"/>
      <c r="G126" s="32"/>
      <c r="H126" s="32"/>
      <c r="I126" s="32"/>
      <c r="J126" s="32"/>
      <c r="K126" s="12"/>
      <c r="L126" s="32"/>
      <c r="M126" s="32"/>
      <c r="N126" s="32"/>
      <c r="O126" s="12"/>
      <c r="P126" s="12"/>
      <c r="Q126" s="12"/>
      <c r="R126" s="12"/>
      <c r="S126" s="32"/>
      <c r="T126" s="12"/>
      <c r="U126" s="12"/>
      <c r="V126" s="39"/>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33"/>
      <c r="AX126" s="33"/>
      <c r="AY126" s="29"/>
      <c r="AZ126" s="34"/>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row>
    <row r="127" ht="15.75" customHeight="1">
      <c r="A127" s="12"/>
      <c r="B127" s="12"/>
      <c r="C127" s="12"/>
      <c r="D127" s="31"/>
      <c r="E127" s="12"/>
      <c r="F127" s="32"/>
      <c r="G127" s="32"/>
      <c r="H127" s="32"/>
      <c r="I127" s="32"/>
      <c r="J127" s="32"/>
      <c r="K127" s="12"/>
      <c r="L127" s="32"/>
      <c r="M127" s="32"/>
      <c r="N127" s="32"/>
      <c r="O127" s="12"/>
      <c r="P127" s="12"/>
      <c r="Q127" s="12"/>
      <c r="R127" s="12"/>
      <c r="S127" s="32"/>
      <c r="T127" s="12"/>
      <c r="U127" s="12"/>
      <c r="V127" s="39"/>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33"/>
      <c r="AX127" s="33"/>
      <c r="AY127" s="29"/>
      <c r="AZ127" s="34"/>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row>
    <row r="128" ht="15.75" customHeight="1">
      <c r="A128" s="12"/>
      <c r="B128" s="12"/>
      <c r="C128" s="12"/>
      <c r="D128" s="31"/>
      <c r="E128" s="12"/>
      <c r="F128" s="32"/>
      <c r="G128" s="32"/>
      <c r="H128" s="32"/>
      <c r="I128" s="32"/>
      <c r="J128" s="32"/>
      <c r="K128" s="12"/>
      <c r="L128" s="32"/>
      <c r="M128" s="32"/>
      <c r="N128" s="32"/>
      <c r="O128" s="12"/>
      <c r="P128" s="12"/>
      <c r="Q128" s="12"/>
      <c r="R128" s="12"/>
      <c r="S128" s="32"/>
      <c r="T128" s="12"/>
      <c r="U128" s="12"/>
      <c r="V128" s="39"/>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33"/>
      <c r="AX128" s="33"/>
      <c r="AY128" s="29"/>
      <c r="AZ128" s="34"/>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row>
    <row r="129" ht="15.75" customHeight="1">
      <c r="A129" s="12"/>
      <c r="B129" s="12"/>
      <c r="C129" s="12"/>
      <c r="D129" s="31"/>
      <c r="E129" s="12"/>
      <c r="F129" s="32"/>
      <c r="G129" s="32"/>
      <c r="H129" s="32"/>
      <c r="I129" s="32"/>
      <c r="J129" s="32"/>
      <c r="K129" s="12"/>
      <c r="L129" s="32"/>
      <c r="M129" s="32"/>
      <c r="N129" s="32"/>
      <c r="O129" s="12"/>
      <c r="P129" s="12"/>
      <c r="Q129" s="12"/>
      <c r="R129" s="12"/>
      <c r="S129" s="32"/>
      <c r="T129" s="12"/>
      <c r="U129" s="12"/>
      <c r="V129" s="39"/>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33"/>
      <c r="AX129" s="33"/>
      <c r="AY129" s="29"/>
      <c r="AZ129" s="34"/>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row>
    <row r="130" ht="15.75" customHeight="1">
      <c r="A130" s="12"/>
      <c r="B130" s="12"/>
      <c r="C130" s="12"/>
      <c r="D130" s="31"/>
      <c r="E130" s="12"/>
      <c r="F130" s="32"/>
      <c r="G130" s="32"/>
      <c r="H130" s="32"/>
      <c r="I130" s="32"/>
      <c r="J130" s="32"/>
      <c r="K130" s="12"/>
      <c r="L130" s="32"/>
      <c r="M130" s="32"/>
      <c r="N130" s="32"/>
      <c r="O130" s="12"/>
      <c r="P130" s="12"/>
      <c r="Q130" s="12"/>
      <c r="R130" s="12"/>
      <c r="S130" s="32"/>
      <c r="T130" s="12"/>
      <c r="U130" s="12"/>
      <c r="V130" s="39"/>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33"/>
      <c r="AX130" s="33"/>
      <c r="AY130" s="29"/>
      <c r="AZ130" s="34"/>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row>
    <row r="131" ht="15.75" customHeight="1">
      <c r="A131" s="12"/>
      <c r="B131" s="12"/>
      <c r="C131" s="12"/>
      <c r="D131" s="31"/>
      <c r="E131" s="12"/>
      <c r="F131" s="32"/>
      <c r="G131" s="32"/>
      <c r="H131" s="32"/>
      <c r="I131" s="32"/>
      <c r="J131" s="32"/>
      <c r="K131" s="12"/>
      <c r="L131" s="32"/>
      <c r="M131" s="32"/>
      <c r="N131" s="32"/>
      <c r="O131" s="12"/>
      <c r="P131" s="12"/>
      <c r="Q131" s="12"/>
      <c r="R131" s="12"/>
      <c r="S131" s="32"/>
      <c r="T131" s="12"/>
      <c r="U131" s="12"/>
      <c r="V131" s="39"/>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33"/>
      <c r="AX131" s="33"/>
      <c r="AY131" s="29"/>
      <c r="AZ131" s="34"/>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row>
    <row r="132" ht="15.75" customHeight="1">
      <c r="A132" s="12"/>
      <c r="B132" s="12"/>
      <c r="C132" s="12"/>
      <c r="D132" s="31"/>
      <c r="E132" s="12"/>
      <c r="F132" s="32"/>
      <c r="G132" s="32"/>
      <c r="H132" s="32"/>
      <c r="I132" s="32"/>
      <c r="J132" s="32"/>
      <c r="K132" s="12"/>
      <c r="L132" s="32"/>
      <c r="M132" s="32"/>
      <c r="N132" s="32"/>
      <c r="O132" s="12"/>
      <c r="P132" s="12"/>
      <c r="Q132" s="12"/>
      <c r="R132" s="12"/>
      <c r="S132" s="32"/>
      <c r="T132" s="12"/>
      <c r="U132" s="12"/>
      <c r="V132" s="39"/>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33"/>
      <c r="AX132" s="33"/>
      <c r="AY132" s="29"/>
      <c r="AZ132" s="34"/>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row>
    <row r="133" ht="15.75" customHeight="1">
      <c r="A133" s="12"/>
      <c r="B133" s="12"/>
      <c r="C133" s="12"/>
      <c r="D133" s="31"/>
      <c r="E133" s="12"/>
      <c r="F133" s="32"/>
      <c r="G133" s="32"/>
      <c r="H133" s="32"/>
      <c r="I133" s="32"/>
      <c r="J133" s="32"/>
      <c r="K133" s="12"/>
      <c r="L133" s="32"/>
      <c r="M133" s="32"/>
      <c r="N133" s="32"/>
      <c r="O133" s="12"/>
      <c r="P133" s="12"/>
      <c r="Q133" s="12"/>
      <c r="R133" s="12"/>
      <c r="S133" s="32"/>
      <c r="T133" s="12"/>
      <c r="U133" s="12"/>
      <c r="V133" s="39"/>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33"/>
      <c r="AX133" s="33"/>
      <c r="AY133" s="29"/>
      <c r="AZ133" s="34"/>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row>
    <row r="134" ht="15.75" customHeight="1">
      <c r="A134" s="12"/>
      <c r="B134" s="12"/>
      <c r="C134" s="12"/>
      <c r="D134" s="31"/>
      <c r="E134" s="12"/>
      <c r="F134" s="32"/>
      <c r="G134" s="32"/>
      <c r="H134" s="32"/>
      <c r="I134" s="32"/>
      <c r="J134" s="32"/>
      <c r="K134" s="12"/>
      <c r="L134" s="32"/>
      <c r="M134" s="32"/>
      <c r="N134" s="32"/>
      <c r="O134" s="12"/>
      <c r="P134" s="12"/>
      <c r="Q134" s="12"/>
      <c r="R134" s="12"/>
      <c r="S134" s="32"/>
      <c r="T134" s="12"/>
      <c r="U134" s="12"/>
      <c r="V134" s="39"/>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33"/>
      <c r="AX134" s="33"/>
      <c r="AY134" s="29"/>
      <c r="AZ134" s="34"/>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row>
    <row r="135" ht="15.75" customHeight="1">
      <c r="A135" s="12"/>
      <c r="B135" s="12"/>
      <c r="C135" s="12"/>
      <c r="D135" s="31"/>
      <c r="E135" s="12"/>
      <c r="F135" s="32"/>
      <c r="G135" s="32"/>
      <c r="H135" s="32"/>
      <c r="I135" s="32"/>
      <c r="J135" s="32"/>
      <c r="K135" s="12"/>
      <c r="L135" s="32"/>
      <c r="M135" s="32"/>
      <c r="N135" s="32"/>
      <c r="O135" s="12"/>
      <c r="P135" s="12"/>
      <c r="Q135" s="12"/>
      <c r="R135" s="12"/>
      <c r="S135" s="32"/>
      <c r="T135" s="12"/>
      <c r="U135" s="12"/>
      <c r="V135" s="39"/>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33"/>
      <c r="AX135" s="33"/>
      <c r="AY135" s="29"/>
      <c r="AZ135" s="34"/>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row>
    <row r="136" ht="15.75" customHeight="1">
      <c r="A136" s="12"/>
      <c r="B136" s="12"/>
      <c r="C136" s="12"/>
      <c r="D136" s="31"/>
      <c r="E136" s="12"/>
      <c r="F136" s="32"/>
      <c r="G136" s="32"/>
      <c r="H136" s="32"/>
      <c r="I136" s="32"/>
      <c r="J136" s="32"/>
      <c r="K136" s="12"/>
      <c r="L136" s="32"/>
      <c r="M136" s="32"/>
      <c r="N136" s="32"/>
      <c r="O136" s="12"/>
      <c r="P136" s="12"/>
      <c r="Q136" s="12"/>
      <c r="R136" s="12"/>
      <c r="S136" s="32"/>
      <c r="T136" s="12"/>
      <c r="U136" s="12"/>
      <c r="V136" s="39"/>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33"/>
      <c r="AX136" s="33"/>
      <c r="AY136" s="29"/>
      <c r="AZ136" s="34"/>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row>
    <row r="137" ht="15.75" customHeight="1">
      <c r="A137" s="12"/>
      <c r="B137" s="12"/>
      <c r="C137" s="12"/>
      <c r="D137" s="31"/>
      <c r="E137" s="12"/>
      <c r="F137" s="32"/>
      <c r="G137" s="32"/>
      <c r="H137" s="32"/>
      <c r="I137" s="32"/>
      <c r="J137" s="32"/>
      <c r="K137" s="12"/>
      <c r="L137" s="32"/>
      <c r="M137" s="32"/>
      <c r="N137" s="32"/>
      <c r="O137" s="12"/>
      <c r="P137" s="12"/>
      <c r="Q137" s="12"/>
      <c r="R137" s="12"/>
      <c r="S137" s="32"/>
      <c r="T137" s="12"/>
      <c r="U137" s="12"/>
      <c r="V137" s="39"/>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33"/>
      <c r="AX137" s="33"/>
      <c r="AY137" s="29"/>
      <c r="AZ137" s="34"/>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row>
    <row r="138" ht="15.75" customHeight="1">
      <c r="A138" s="12"/>
      <c r="B138" s="12"/>
      <c r="C138" s="12"/>
      <c r="D138" s="31"/>
      <c r="E138" s="12"/>
      <c r="F138" s="32"/>
      <c r="G138" s="32"/>
      <c r="H138" s="32"/>
      <c r="I138" s="32"/>
      <c r="J138" s="32"/>
      <c r="K138" s="12"/>
      <c r="L138" s="32"/>
      <c r="M138" s="32"/>
      <c r="N138" s="32"/>
      <c r="O138" s="12"/>
      <c r="P138" s="12"/>
      <c r="Q138" s="12"/>
      <c r="R138" s="12"/>
      <c r="S138" s="32"/>
      <c r="T138" s="12"/>
      <c r="U138" s="12"/>
      <c r="V138" s="39"/>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33"/>
      <c r="AX138" s="33"/>
      <c r="AY138" s="29"/>
      <c r="AZ138" s="34"/>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row>
    <row r="139" ht="15.75" customHeight="1">
      <c r="A139" s="12"/>
      <c r="B139" s="12"/>
      <c r="C139" s="12"/>
      <c r="D139" s="31"/>
      <c r="E139" s="12"/>
      <c r="F139" s="32"/>
      <c r="G139" s="32"/>
      <c r="H139" s="32"/>
      <c r="I139" s="32"/>
      <c r="J139" s="32"/>
      <c r="K139" s="12"/>
      <c r="L139" s="32"/>
      <c r="M139" s="32"/>
      <c r="N139" s="32"/>
      <c r="O139" s="12"/>
      <c r="P139" s="12"/>
      <c r="Q139" s="12"/>
      <c r="R139" s="12"/>
      <c r="S139" s="32"/>
      <c r="T139" s="12"/>
      <c r="U139" s="12"/>
      <c r="V139" s="39"/>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33"/>
      <c r="AX139" s="33"/>
      <c r="AY139" s="29"/>
      <c r="AZ139" s="34"/>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row>
    <row r="140" ht="15.75" customHeight="1">
      <c r="A140" s="12"/>
      <c r="B140" s="12"/>
      <c r="C140" s="12"/>
      <c r="D140" s="31"/>
      <c r="E140" s="12"/>
      <c r="F140" s="32"/>
      <c r="G140" s="32"/>
      <c r="H140" s="32"/>
      <c r="I140" s="32"/>
      <c r="J140" s="32"/>
      <c r="K140" s="12"/>
      <c r="L140" s="32"/>
      <c r="M140" s="32"/>
      <c r="N140" s="32"/>
      <c r="O140" s="12"/>
      <c r="P140" s="12"/>
      <c r="Q140" s="12"/>
      <c r="R140" s="12"/>
      <c r="S140" s="32"/>
      <c r="T140" s="12"/>
      <c r="U140" s="12"/>
      <c r="V140" s="39"/>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33"/>
      <c r="AX140" s="33"/>
      <c r="AY140" s="29"/>
      <c r="AZ140" s="34"/>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row>
    <row r="141" ht="15.75" customHeight="1">
      <c r="A141" s="12"/>
      <c r="B141" s="12"/>
      <c r="C141" s="12"/>
      <c r="D141" s="31"/>
      <c r="E141" s="12"/>
      <c r="F141" s="32"/>
      <c r="G141" s="32"/>
      <c r="H141" s="32"/>
      <c r="I141" s="32"/>
      <c r="J141" s="32"/>
      <c r="K141" s="12"/>
      <c r="L141" s="32"/>
      <c r="M141" s="32"/>
      <c r="N141" s="32"/>
      <c r="O141" s="12"/>
      <c r="P141" s="12"/>
      <c r="Q141" s="12"/>
      <c r="R141" s="12"/>
      <c r="S141" s="32"/>
      <c r="T141" s="12"/>
      <c r="U141" s="12"/>
      <c r="V141" s="39"/>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33"/>
      <c r="AX141" s="33"/>
      <c r="AY141" s="29"/>
      <c r="AZ141" s="34"/>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row>
    <row r="142" ht="15.75" customHeight="1">
      <c r="A142" s="12"/>
      <c r="B142" s="12"/>
      <c r="C142" s="12"/>
      <c r="D142" s="31"/>
      <c r="E142" s="12"/>
      <c r="F142" s="32"/>
      <c r="G142" s="32"/>
      <c r="H142" s="32"/>
      <c r="I142" s="32"/>
      <c r="J142" s="32"/>
      <c r="K142" s="12"/>
      <c r="L142" s="32"/>
      <c r="M142" s="32"/>
      <c r="N142" s="32"/>
      <c r="O142" s="12"/>
      <c r="P142" s="12"/>
      <c r="Q142" s="12"/>
      <c r="R142" s="12"/>
      <c r="S142" s="32"/>
      <c r="T142" s="12"/>
      <c r="U142" s="12"/>
      <c r="V142" s="39"/>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33"/>
      <c r="AX142" s="33"/>
      <c r="AY142" s="29"/>
      <c r="AZ142" s="34"/>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row>
    <row r="143" ht="15.75" customHeight="1">
      <c r="A143" s="12"/>
      <c r="B143" s="12"/>
      <c r="C143" s="12"/>
      <c r="D143" s="31"/>
      <c r="E143" s="12"/>
      <c r="F143" s="32"/>
      <c r="G143" s="32"/>
      <c r="H143" s="32"/>
      <c r="I143" s="32"/>
      <c r="J143" s="32"/>
      <c r="K143" s="12"/>
      <c r="L143" s="32"/>
      <c r="M143" s="32"/>
      <c r="N143" s="32"/>
      <c r="O143" s="12"/>
      <c r="P143" s="12"/>
      <c r="Q143" s="12"/>
      <c r="R143" s="12"/>
      <c r="S143" s="32"/>
      <c r="T143" s="12"/>
      <c r="U143" s="12"/>
      <c r="V143" s="39"/>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33"/>
      <c r="AX143" s="33"/>
      <c r="AY143" s="29"/>
      <c r="AZ143" s="34"/>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row>
    <row r="144" ht="15.75" customHeight="1">
      <c r="A144" s="12"/>
      <c r="B144" s="12"/>
      <c r="C144" s="12"/>
      <c r="D144" s="31"/>
      <c r="E144" s="12"/>
      <c r="F144" s="32"/>
      <c r="G144" s="32"/>
      <c r="H144" s="32"/>
      <c r="I144" s="32"/>
      <c r="J144" s="32"/>
      <c r="K144" s="12"/>
      <c r="L144" s="32"/>
      <c r="M144" s="32"/>
      <c r="N144" s="32"/>
      <c r="O144" s="12"/>
      <c r="P144" s="12"/>
      <c r="Q144" s="12"/>
      <c r="R144" s="12"/>
      <c r="S144" s="32"/>
      <c r="T144" s="12"/>
      <c r="U144" s="12"/>
      <c r="V144" s="39"/>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33"/>
      <c r="AX144" s="33"/>
      <c r="AY144" s="29"/>
      <c r="AZ144" s="34"/>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row>
    <row r="145" ht="15.75" customHeight="1">
      <c r="A145" s="12"/>
      <c r="B145" s="12"/>
      <c r="C145" s="12"/>
      <c r="D145" s="31"/>
      <c r="E145" s="12"/>
      <c r="F145" s="32"/>
      <c r="G145" s="32"/>
      <c r="H145" s="32"/>
      <c r="I145" s="32"/>
      <c r="J145" s="32"/>
      <c r="K145" s="12"/>
      <c r="L145" s="32"/>
      <c r="M145" s="32"/>
      <c r="N145" s="32"/>
      <c r="O145" s="12"/>
      <c r="P145" s="12"/>
      <c r="Q145" s="12"/>
      <c r="R145" s="12"/>
      <c r="S145" s="32"/>
      <c r="T145" s="12"/>
      <c r="U145" s="12"/>
      <c r="V145" s="39"/>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33"/>
      <c r="AX145" s="33"/>
      <c r="AY145" s="29"/>
      <c r="AZ145" s="34"/>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row>
    <row r="146" ht="15.75" customHeight="1">
      <c r="A146" s="12"/>
      <c r="B146" s="12"/>
      <c r="C146" s="12"/>
      <c r="D146" s="31"/>
      <c r="E146" s="12"/>
      <c r="F146" s="32"/>
      <c r="G146" s="32"/>
      <c r="H146" s="32"/>
      <c r="I146" s="32"/>
      <c r="J146" s="32"/>
      <c r="K146" s="12"/>
      <c r="L146" s="32"/>
      <c r="M146" s="32"/>
      <c r="N146" s="32"/>
      <c r="O146" s="12"/>
      <c r="P146" s="12"/>
      <c r="Q146" s="12"/>
      <c r="R146" s="12"/>
      <c r="S146" s="32"/>
      <c r="T146" s="12"/>
      <c r="U146" s="12"/>
      <c r="V146" s="39"/>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33"/>
      <c r="AX146" s="33"/>
      <c r="AY146" s="29"/>
      <c r="AZ146" s="34"/>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row>
    <row r="147" ht="15.75" customHeight="1">
      <c r="A147" s="12"/>
      <c r="B147" s="12"/>
      <c r="C147" s="12"/>
      <c r="D147" s="31"/>
      <c r="E147" s="12"/>
      <c r="F147" s="32"/>
      <c r="G147" s="32"/>
      <c r="H147" s="32"/>
      <c r="I147" s="32"/>
      <c r="J147" s="32"/>
      <c r="K147" s="12"/>
      <c r="L147" s="32"/>
      <c r="M147" s="32"/>
      <c r="N147" s="32"/>
      <c r="O147" s="12"/>
      <c r="P147" s="12"/>
      <c r="Q147" s="12"/>
      <c r="R147" s="12"/>
      <c r="S147" s="32"/>
      <c r="T147" s="12"/>
      <c r="U147" s="12"/>
      <c r="V147" s="39"/>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33"/>
      <c r="AX147" s="33"/>
      <c r="AY147" s="29"/>
      <c r="AZ147" s="34"/>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row>
    <row r="148" ht="15.75" customHeight="1">
      <c r="A148" s="12"/>
      <c r="B148" s="12"/>
      <c r="C148" s="12"/>
      <c r="D148" s="31"/>
      <c r="E148" s="12"/>
      <c r="F148" s="32"/>
      <c r="G148" s="32"/>
      <c r="H148" s="32"/>
      <c r="I148" s="32"/>
      <c r="J148" s="32"/>
      <c r="K148" s="12"/>
      <c r="L148" s="32"/>
      <c r="M148" s="32"/>
      <c r="N148" s="32"/>
      <c r="O148" s="12"/>
      <c r="P148" s="12"/>
      <c r="Q148" s="12"/>
      <c r="R148" s="12"/>
      <c r="S148" s="32"/>
      <c r="T148" s="12"/>
      <c r="U148" s="12"/>
      <c r="V148" s="39"/>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33"/>
      <c r="AX148" s="33"/>
      <c r="AY148" s="29"/>
      <c r="AZ148" s="34"/>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row>
    <row r="149" ht="15.75" customHeight="1">
      <c r="A149" s="12"/>
      <c r="B149" s="12"/>
      <c r="C149" s="12"/>
      <c r="D149" s="31"/>
      <c r="E149" s="12"/>
      <c r="F149" s="32"/>
      <c r="G149" s="32"/>
      <c r="H149" s="32"/>
      <c r="I149" s="32"/>
      <c r="J149" s="32"/>
      <c r="K149" s="12"/>
      <c r="L149" s="32"/>
      <c r="M149" s="32"/>
      <c r="N149" s="32"/>
      <c r="O149" s="12"/>
      <c r="P149" s="12"/>
      <c r="Q149" s="12"/>
      <c r="R149" s="12"/>
      <c r="S149" s="32"/>
      <c r="T149" s="12"/>
      <c r="U149" s="12"/>
      <c r="V149" s="39"/>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33"/>
      <c r="AX149" s="33"/>
      <c r="AY149" s="29"/>
      <c r="AZ149" s="34"/>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row>
    <row r="150" ht="15.75" customHeight="1">
      <c r="A150" s="12"/>
      <c r="B150" s="12"/>
      <c r="C150" s="12"/>
      <c r="D150" s="31"/>
      <c r="E150" s="12"/>
      <c r="F150" s="32"/>
      <c r="G150" s="32"/>
      <c r="H150" s="32"/>
      <c r="I150" s="32"/>
      <c r="J150" s="32"/>
      <c r="K150" s="12"/>
      <c r="L150" s="32"/>
      <c r="M150" s="32"/>
      <c r="N150" s="32"/>
      <c r="O150" s="12"/>
      <c r="P150" s="12"/>
      <c r="Q150" s="12"/>
      <c r="R150" s="12"/>
      <c r="S150" s="32"/>
      <c r="T150" s="12"/>
      <c r="U150" s="12"/>
      <c r="V150" s="39"/>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33"/>
      <c r="AX150" s="33"/>
      <c r="AY150" s="29"/>
      <c r="AZ150" s="34"/>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row>
    <row r="151" ht="15.75" customHeight="1">
      <c r="A151" s="12"/>
      <c r="B151" s="12"/>
      <c r="C151" s="12"/>
      <c r="D151" s="31"/>
      <c r="E151" s="12"/>
      <c r="F151" s="32"/>
      <c r="G151" s="32"/>
      <c r="H151" s="32"/>
      <c r="I151" s="32"/>
      <c r="J151" s="32"/>
      <c r="K151" s="12"/>
      <c r="L151" s="32"/>
      <c r="M151" s="32"/>
      <c r="N151" s="32"/>
      <c r="O151" s="12"/>
      <c r="P151" s="12"/>
      <c r="Q151" s="12"/>
      <c r="R151" s="12"/>
      <c r="S151" s="32"/>
      <c r="T151" s="12"/>
      <c r="U151" s="12"/>
      <c r="V151" s="39"/>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33"/>
      <c r="AX151" s="33"/>
      <c r="AY151" s="29"/>
      <c r="AZ151" s="34"/>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row>
    <row r="152" ht="15.75" customHeight="1">
      <c r="A152" s="12"/>
      <c r="B152" s="12"/>
      <c r="C152" s="12"/>
      <c r="D152" s="31"/>
      <c r="E152" s="12"/>
      <c r="F152" s="32"/>
      <c r="G152" s="32"/>
      <c r="H152" s="32"/>
      <c r="I152" s="32"/>
      <c r="J152" s="32"/>
      <c r="K152" s="12"/>
      <c r="L152" s="32"/>
      <c r="M152" s="32"/>
      <c r="N152" s="32"/>
      <c r="O152" s="12"/>
      <c r="P152" s="12"/>
      <c r="Q152" s="12"/>
      <c r="R152" s="12"/>
      <c r="S152" s="32"/>
      <c r="T152" s="12"/>
      <c r="U152" s="12"/>
      <c r="V152" s="39"/>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33"/>
      <c r="AX152" s="33"/>
      <c r="AY152" s="29"/>
      <c r="AZ152" s="34"/>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row>
    <row r="153" ht="15.75" customHeight="1">
      <c r="A153" s="12"/>
      <c r="B153" s="12"/>
      <c r="C153" s="12"/>
      <c r="D153" s="31"/>
      <c r="E153" s="12"/>
      <c r="F153" s="32"/>
      <c r="G153" s="32"/>
      <c r="H153" s="32"/>
      <c r="I153" s="32"/>
      <c r="J153" s="32"/>
      <c r="K153" s="12"/>
      <c r="L153" s="32"/>
      <c r="M153" s="32"/>
      <c r="N153" s="32"/>
      <c r="O153" s="12"/>
      <c r="P153" s="12"/>
      <c r="Q153" s="12"/>
      <c r="R153" s="12"/>
      <c r="S153" s="32"/>
      <c r="T153" s="12"/>
      <c r="U153" s="12"/>
      <c r="V153" s="39"/>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33"/>
      <c r="AX153" s="33"/>
      <c r="AY153" s="29"/>
      <c r="AZ153" s="34"/>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row>
    <row r="154" ht="15.75" customHeight="1">
      <c r="A154" s="12"/>
      <c r="B154" s="12"/>
      <c r="C154" s="12"/>
      <c r="D154" s="31"/>
      <c r="E154" s="12"/>
      <c r="F154" s="32"/>
      <c r="G154" s="32"/>
      <c r="H154" s="32"/>
      <c r="I154" s="32"/>
      <c r="J154" s="32"/>
      <c r="K154" s="12"/>
      <c r="L154" s="32"/>
      <c r="M154" s="32"/>
      <c r="N154" s="32"/>
      <c r="O154" s="12"/>
      <c r="P154" s="12"/>
      <c r="Q154" s="12"/>
      <c r="R154" s="12"/>
      <c r="S154" s="32"/>
      <c r="T154" s="12"/>
      <c r="U154" s="12"/>
      <c r="V154" s="39"/>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33"/>
      <c r="AX154" s="33"/>
      <c r="AY154" s="29"/>
      <c r="AZ154" s="34"/>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row>
    <row r="155" ht="15.75" customHeight="1">
      <c r="A155" s="12"/>
      <c r="B155" s="12"/>
      <c r="C155" s="12"/>
      <c r="D155" s="31"/>
      <c r="E155" s="12"/>
      <c r="F155" s="32"/>
      <c r="G155" s="32"/>
      <c r="H155" s="32"/>
      <c r="I155" s="32"/>
      <c r="J155" s="32"/>
      <c r="K155" s="12"/>
      <c r="L155" s="32"/>
      <c r="M155" s="32"/>
      <c r="N155" s="32"/>
      <c r="O155" s="12"/>
      <c r="P155" s="12"/>
      <c r="Q155" s="12"/>
      <c r="R155" s="12"/>
      <c r="S155" s="32"/>
      <c r="T155" s="12"/>
      <c r="U155" s="12"/>
      <c r="V155" s="39"/>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33"/>
      <c r="AX155" s="33"/>
      <c r="AY155" s="29"/>
      <c r="AZ155" s="34"/>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row>
    <row r="156" ht="15.75" customHeight="1">
      <c r="A156" s="12"/>
      <c r="B156" s="12"/>
      <c r="C156" s="12"/>
      <c r="D156" s="31"/>
      <c r="E156" s="12"/>
      <c r="F156" s="32"/>
      <c r="G156" s="32"/>
      <c r="H156" s="32"/>
      <c r="I156" s="32"/>
      <c r="J156" s="32"/>
      <c r="K156" s="12"/>
      <c r="L156" s="32"/>
      <c r="M156" s="32"/>
      <c r="N156" s="32"/>
      <c r="O156" s="12"/>
      <c r="P156" s="12"/>
      <c r="Q156" s="12"/>
      <c r="R156" s="12"/>
      <c r="S156" s="32"/>
      <c r="T156" s="12"/>
      <c r="U156" s="12"/>
      <c r="V156" s="39"/>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33"/>
      <c r="AX156" s="33"/>
      <c r="AY156" s="29"/>
      <c r="AZ156" s="34"/>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row>
    <row r="157" ht="15.75" customHeight="1">
      <c r="A157" s="12"/>
      <c r="B157" s="12"/>
      <c r="C157" s="12"/>
      <c r="D157" s="31"/>
      <c r="E157" s="12"/>
      <c r="F157" s="32"/>
      <c r="G157" s="32"/>
      <c r="H157" s="32"/>
      <c r="I157" s="32"/>
      <c r="J157" s="32"/>
      <c r="K157" s="12"/>
      <c r="L157" s="32"/>
      <c r="M157" s="32"/>
      <c r="N157" s="32"/>
      <c r="O157" s="12"/>
      <c r="P157" s="12"/>
      <c r="Q157" s="12"/>
      <c r="R157" s="12"/>
      <c r="S157" s="32"/>
      <c r="T157" s="12"/>
      <c r="U157" s="12"/>
      <c r="V157" s="39"/>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33"/>
      <c r="AX157" s="33"/>
      <c r="AY157" s="29"/>
      <c r="AZ157" s="34"/>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row>
    <row r="158" ht="15.75" customHeight="1">
      <c r="A158" s="12"/>
      <c r="B158" s="12"/>
      <c r="C158" s="12"/>
      <c r="D158" s="31"/>
      <c r="E158" s="12"/>
      <c r="F158" s="32"/>
      <c r="G158" s="32"/>
      <c r="H158" s="32"/>
      <c r="I158" s="32"/>
      <c r="J158" s="32"/>
      <c r="K158" s="12"/>
      <c r="L158" s="32"/>
      <c r="M158" s="32"/>
      <c r="N158" s="32"/>
      <c r="O158" s="12"/>
      <c r="P158" s="12"/>
      <c r="Q158" s="12"/>
      <c r="R158" s="12"/>
      <c r="S158" s="32"/>
      <c r="T158" s="12"/>
      <c r="U158" s="12"/>
      <c r="V158" s="39"/>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33"/>
      <c r="AX158" s="33"/>
      <c r="AY158" s="29"/>
      <c r="AZ158" s="34"/>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row>
    <row r="159" ht="15.75" customHeight="1">
      <c r="A159" s="12"/>
      <c r="B159" s="12"/>
      <c r="C159" s="12"/>
      <c r="D159" s="31"/>
      <c r="E159" s="12"/>
      <c r="F159" s="32"/>
      <c r="G159" s="32"/>
      <c r="H159" s="32"/>
      <c r="I159" s="32"/>
      <c r="J159" s="32"/>
      <c r="K159" s="12"/>
      <c r="L159" s="32"/>
      <c r="M159" s="32"/>
      <c r="N159" s="32"/>
      <c r="O159" s="12"/>
      <c r="P159" s="12"/>
      <c r="Q159" s="12"/>
      <c r="R159" s="12"/>
      <c r="S159" s="32"/>
      <c r="T159" s="12"/>
      <c r="U159" s="12"/>
      <c r="V159" s="39"/>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33"/>
      <c r="AX159" s="33"/>
      <c r="AY159" s="29"/>
      <c r="AZ159" s="34"/>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row>
    <row r="160" ht="15.75" customHeight="1">
      <c r="A160" s="12"/>
      <c r="B160" s="12"/>
      <c r="C160" s="12"/>
      <c r="D160" s="31"/>
      <c r="E160" s="12"/>
      <c r="F160" s="32"/>
      <c r="G160" s="32"/>
      <c r="H160" s="32"/>
      <c r="I160" s="32"/>
      <c r="J160" s="32"/>
      <c r="K160" s="12"/>
      <c r="L160" s="32"/>
      <c r="M160" s="32"/>
      <c r="N160" s="32"/>
      <c r="O160" s="12"/>
      <c r="P160" s="12"/>
      <c r="Q160" s="12"/>
      <c r="R160" s="12"/>
      <c r="S160" s="32"/>
      <c r="T160" s="12"/>
      <c r="U160" s="12"/>
      <c r="V160" s="39"/>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33"/>
      <c r="AX160" s="33"/>
      <c r="AY160" s="29"/>
      <c r="AZ160" s="34"/>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row>
    <row r="161" ht="15.75" customHeight="1">
      <c r="A161" s="12"/>
      <c r="B161" s="12"/>
      <c r="C161" s="12"/>
      <c r="D161" s="31"/>
      <c r="E161" s="12"/>
      <c r="F161" s="32"/>
      <c r="G161" s="32"/>
      <c r="H161" s="32"/>
      <c r="I161" s="32"/>
      <c r="J161" s="32"/>
      <c r="K161" s="12"/>
      <c r="L161" s="32"/>
      <c r="M161" s="32"/>
      <c r="N161" s="32"/>
      <c r="O161" s="12"/>
      <c r="P161" s="12"/>
      <c r="Q161" s="12"/>
      <c r="R161" s="12"/>
      <c r="S161" s="32"/>
      <c r="T161" s="12"/>
      <c r="U161" s="12"/>
      <c r="V161" s="39"/>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33"/>
      <c r="AX161" s="33"/>
      <c r="AY161" s="29"/>
      <c r="AZ161" s="34"/>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row>
    <row r="162" ht="15.75" customHeight="1">
      <c r="A162" s="12"/>
      <c r="B162" s="12"/>
      <c r="C162" s="12"/>
      <c r="D162" s="31"/>
      <c r="E162" s="12"/>
      <c r="F162" s="32"/>
      <c r="G162" s="32"/>
      <c r="H162" s="32"/>
      <c r="I162" s="32"/>
      <c r="J162" s="32"/>
      <c r="K162" s="12"/>
      <c r="L162" s="32"/>
      <c r="M162" s="32"/>
      <c r="N162" s="32"/>
      <c r="O162" s="12"/>
      <c r="P162" s="12"/>
      <c r="Q162" s="12"/>
      <c r="R162" s="12"/>
      <c r="S162" s="32"/>
      <c r="T162" s="12"/>
      <c r="U162" s="12"/>
      <c r="V162" s="39"/>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33"/>
      <c r="AX162" s="33"/>
      <c r="AY162" s="29"/>
      <c r="AZ162" s="34"/>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row>
    <row r="163" ht="15.75" customHeight="1">
      <c r="A163" s="12"/>
      <c r="B163" s="12"/>
      <c r="C163" s="12"/>
      <c r="D163" s="31"/>
      <c r="E163" s="12"/>
      <c r="F163" s="32"/>
      <c r="G163" s="32"/>
      <c r="H163" s="32"/>
      <c r="I163" s="32"/>
      <c r="J163" s="32"/>
      <c r="K163" s="12"/>
      <c r="L163" s="32"/>
      <c r="M163" s="32"/>
      <c r="N163" s="32"/>
      <c r="O163" s="12"/>
      <c r="P163" s="12"/>
      <c r="Q163" s="12"/>
      <c r="R163" s="12"/>
      <c r="S163" s="32"/>
      <c r="T163" s="12"/>
      <c r="U163" s="12"/>
      <c r="V163" s="39"/>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33"/>
      <c r="AX163" s="33"/>
      <c r="AY163" s="29"/>
      <c r="AZ163" s="34"/>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row>
    <row r="164" ht="15.75" customHeight="1">
      <c r="A164" s="12"/>
      <c r="B164" s="12"/>
      <c r="C164" s="12"/>
      <c r="D164" s="31"/>
      <c r="E164" s="12"/>
      <c r="F164" s="32"/>
      <c r="G164" s="32"/>
      <c r="H164" s="32"/>
      <c r="I164" s="32"/>
      <c r="J164" s="32"/>
      <c r="K164" s="12"/>
      <c r="L164" s="32"/>
      <c r="M164" s="32"/>
      <c r="N164" s="32"/>
      <c r="O164" s="12"/>
      <c r="P164" s="12"/>
      <c r="Q164" s="12"/>
      <c r="R164" s="12"/>
      <c r="S164" s="32"/>
      <c r="T164" s="12"/>
      <c r="U164" s="12"/>
      <c r="V164" s="39"/>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33"/>
      <c r="AX164" s="33"/>
      <c r="AY164" s="29"/>
      <c r="AZ164" s="34"/>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row>
    <row r="165" ht="15.75" customHeight="1">
      <c r="A165" s="12"/>
      <c r="B165" s="12"/>
      <c r="C165" s="12"/>
      <c r="D165" s="31"/>
      <c r="E165" s="12"/>
      <c r="F165" s="32"/>
      <c r="G165" s="32"/>
      <c r="H165" s="32"/>
      <c r="I165" s="32"/>
      <c r="J165" s="32"/>
      <c r="K165" s="12"/>
      <c r="L165" s="32"/>
      <c r="M165" s="32"/>
      <c r="N165" s="32"/>
      <c r="O165" s="12"/>
      <c r="P165" s="12"/>
      <c r="Q165" s="12"/>
      <c r="R165" s="12"/>
      <c r="S165" s="32"/>
      <c r="T165" s="12"/>
      <c r="U165" s="12"/>
      <c r="V165" s="39"/>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33"/>
      <c r="AX165" s="33"/>
      <c r="AY165" s="29"/>
      <c r="AZ165" s="34"/>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row>
    <row r="166" ht="15.75" customHeight="1">
      <c r="A166" s="12"/>
      <c r="B166" s="12"/>
      <c r="C166" s="12"/>
      <c r="D166" s="31"/>
      <c r="E166" s="12"/>
      <c r="F166" s="32"/>
      <c r="G166" s="32"/>
      <c r="H166" s="32"/>
      <c r="I166" s="32"/>
      <c r="J166" s="32"/>
      <c r="K166" s="12"/>
      <c r="L166" s="32"/>
      <c r="M166" s="32"/>
      <c r="N166" s="32"/>
      <c r="O166" s="12"/>
      <c r="P166" s="12"/>
      <c r="Q166" s="12"/>
      <c r="R166" s="12"/>
      <c r="S166" s="32"/>
      <c r="T166" s="12"/>
      <c r="U166" s="12"/>
      <c r="V166" s="39"/>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33"/>
      <c r="AX166" s="33"/>
      <c r="AY166" s="29"/>
      <c r="AZ166" s="34"/>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row>
    <row r="167" ht="15.75" customHeight="1">
      <c r="A167" s="12"/>
      <c r="B167" s="12"/>
      <c r="C167" s="12"/>
      <c r="D167" s="31"/>
      <c r="E167" s="12"/>
      <c r="F167" s="32"/>
      <c r="G167" s="32"/>
      <c r="H167" s="32"/>
      <c r="I167" s="32"/>
      <c r="J167" s="32"/>
      <c r="K167" s="12"/>
      <c r="L167" s="32"/>
      <c r="M167" s="32"/>
      <c r="N167" s="32"/>
      <c r="O167" s="12"/>
      <c r="P167" s="12"/>
      <c r="Q167" s="12"/>
      <c r="R167" s="12"/>
      <c r="S167" s="32"/>
      <c r="T167" s="12"/>
      <c r="U167" s="12"/>
      <c r="V167" s="39"/>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33"/>
      <c r="AX167" s="33"/>
      <c r="AY167" s="29"/>
      <c r="AZ167" s="34"/>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row>
    <row r="168" ht="15.75" customHeight="1">
      <c r="A168" s="12"/>
      <c r="B168" s="12"/>
      <c r="C168" s="12"/>
      <c r="D168" s="31"/>
      <c r="E168" s="12"/>
      <c r="F168" s="32"/>
      <c r="G168" s="32"/>
      <c r="H168" s="32"/>
      <c r="I168" s="32"/>
      <c r="J168" s="32"/>
      <c r="K168" s="12"/>
      <c r="L168" s="32"/>
      <c r="M168" s="32"/>
      <c r="N168" s="32"/>
      <c r="O168" s="12"/>
      <c r="P168" s="12"/>
      <c r="Q168" s="12"/>
      <c r="R168" s="12"/>
      <c r="S168" s="32"/>
      <c r="T168" s="12"/>
      <c r="U168" s="12"/>
      <c r="V168" s="39"/>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33"/>
      <c r="AX168" s="33"/>
      <c r="AY168" s="29"/>
      <c r="AZ168" s="34"/>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row>
    <row r="169" ht="15.75" customHeight="1">
      <c r="A169" s="12"/>
      <c r="B169" s="12"/>
      <c r="C169" s="12"/>
      <c r="D169" s="31"/>
      <c r="E169" s="12"/>
      <c r="F169" s="32"/>
      <c r="G169" s="32"/>
      <c r="H169" s="32"/>
      <c r="I169" s="32"/>
      <c r="J169" s="32"/>
      <c r="K169" s="12"/>
      <c r="L169" s="32"/>
      <c r="M169" s="32"/>
      <c r="N169" s="32"/>
      <c r="O169" s="12"/>
      <c r="P169" s="12"/>
      <c r="Q169" s="12"/>
      <c r="R169" s="12"/>
      <c r="S169" s="32"/>
      <c r="T169" s="12"/>
      <c r="U169" s="12"/>
      <c r="V169" s="39"/>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33"/>
      <c r="AX169" s="33"/>
      <c r="AY169" s="29"/>
      <c r="AZ169" s="34"/>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row>
    <row r="170" ht="15.75" customHeight="1">
      <c r="A170" s="12"/>
      <c r="B170" s="12"/>
      <c r="C170" s="12"/>
      <c r="D170" s="31"/>
      <c r="E170" s="12"/>
      <c r="F170" s="32"/>
      <c r="G170" s="32"/>
      <c r="H170" s="32"/>
      <c r="I170" s="32"/>
      <c r="J170" s="32"/>
      <c r="K170" s="12"/>
      <c r="L170" s="32"/>
      <c r="M170" s="32"/>
      <c r="N170" s="32"/>
      <c r="O170" s="12"/>
      <c r="P170" s="12"/>
      <c r="Q170" s="12"/>
      <c r="R170" s="12"/>
      <c r="S170" s="32"/>
      <c r="T170" s="12"/>
      <c r="U170" s="12"/>
      <c r="V170" s="39"/>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33"/>
      <c r="AX170" s="33"/>
      <c r="AY170" s="29"/>
      <c r="AZ170" s="34"/>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row>
    <row r="171" ht="15.75" customHeight="1">
      <c r="A171" s="12"/>
      <c r="B171" s="12"/>
      <c r="C171" s="12"/>
      <c r="D171" s="31"/>
      <c r="E171" s="12"/>
      <c r="F171" s="32"/>
      <c r="G171" s="32"/>
      <c r="H171" s="32"/>
      <c r="I171" s="32"/>
      <c r="J171" s="32"/>
      <c r="K171" s="12"/>
      <c r="L171" s="32"/>
      <c r="M171" s="32"/>
      <c r="N171" s="32"/>
      <c r="O171" s="12"/>
      <c r="P171" s="12"/>
      <c r="Q171" s="12"/>
      <c r="R171" s="12"/>
      <c r="S171" s="32"/>
      <c r="T171" s="12"/>
      <c r="U171" s="12"/>
      <c r="V171" s="39"/>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33"/>
      <c r="AX171" s="33"/>
      <c r="AY171" s="29"/>
      <c r="AZ171" s="34"/>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row>
    <row r="172" ht="15.75" customHeight="1">
      <c r="A172" s="12"/>
      <c r="B172" s="12"/>
      <c r="C172" s="12"/>
      <c r="D172" s="31"/>
      <c r="E172" s="12"/>
      <c r="F172" s="32"/>
      <c r="G172" s="32"/>
      <c r="H172" s="32"/>
      <c r="I172" s="32"/>
      <c r="J172" s="32"/>
      <c r="K172" s="12"/>
      <c r="L172" s="32"/>
      <c r="M172" s="32"/>
      <c r="N172" s="32"/>
      <c r="O172" s="12"/>
      <c r="P172" s="12"/>
      <c r="Q172" s="12"/>
      <c r="R172" s="12"/>
      <c r="S172" s="32"/>
      <c r="T172" s="12"/>
      <c r="U172" s="12"/>
      <c r="V172" s="39"/>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33"/>
      <c r="AX172" s="33"/>
      <c r="AY172" s="29"/>
      <c r="AZ172" s="34"/>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row>
    <row r="173" ht="15.75" customHeight="1">
      <c r="A173" s="12"/>
      <c r="B173" s="12"/>
      <c r="C173" s="12"/>
      <c r="D173" s="31"/>
      <c r="E173" s="12"/>
      <c r="F173" s="32"/>
      <c r="G173" s="32"/>
      <c r="H173" s="32"/>
      <c r="I173" s="32"/>
      <c r="J173" s="32"/>
      <c r="K173" s="12"/>
      <c r="L173" s="32"/>
      <c r="M173" s="32"/>
      <c r="N173" s="32"/>
      <c r="O173" s="12"/>
      <c r="P173" s="12"/>
      <c r="Q173" s="12"/>
      <c r="R173" s="12"/>
      <c r="S173" s="32"/>
      <c r="T173" s="12"/>
      <c r="U173" s="12"/>
      <c r="V173" s="39"/>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33"/>
      <c r="AX173" s="33"/>
      <c r="AY173" s="29"/>
      <c r="AZ173" s="34"/>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row>
    <row r="174" ht="15.75" customHeight="1">
      <c r="A174" s="12"/>
      <c r="B174" s="12"/>
      <c r="C174" s="12"/>
      <c r="D174" s="31"/>
      <c r="E174" s="12"/>
      <c r="F174" s="32"/>
      <c r="G174" s="32"/>
      <c r="H174" s="32"/>
      <c r="I174" s="32"/>
      <c r="J174" s="32"/>
      <c r="K174" s="12"/>
      <c r="L174" s="32"/>
      <c r="M174" s="32"/>
      <c r="N174" s="32"/>
      <c r="O174" s="12"/>
      <c r="P174" s="12"/>
      <c r="Q174" s="12"/>
      <c r="R174" s="12"/>
      <c r="S174" s="32"/>
      <c r="T174" s="12"/>
      <c r="U174" s="12"/>
      <c r="V174" s="39"/>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33"/>
      <c r="AX174" s="33"/>
      <c r="AY174" s="29"/>
      <c r="AZ174" s="34"/>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row>
    <row r="175" ht="15.75" customHeight="1">
      <c r="A175" s="12"/>
      <c r="B175" s="12"/>
      <c r="C175" s="12"/>
      <c r="D175" s="31"/>
      <c r="E175" s="12"/>
      <c r="F175" s="32"/>
      <c r="G175" s="32"/>
      <c r="H175" s="32"/>
      <c r="I175" s="32"/>
      <c r="J175" s="32"/>
      <c r="K175" s="12"/>
      <c r="L175" s="32"/>
      <c r="M175" s="32"/>
      <c r="N175" s="32"/>
      <c r="O175" s="12"/>
      <c r="P175" s="12"/>
      <c r="Q175" s="12"/>
      <c r="R175" s="12"/>
      <c r="S175" s="32"/>
      <c r="T175" s="12"/>
      <c r="U175" s="12"/>
      <c r="V175" s="39"/>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33"/>
      <c r="AX175" s="33"/>
      <c r="AY175" s="29"/>
      <c r="AZ175" s="34"/>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row>
    <row r="176" ht="15.75" customHeight="1">
      <c r="A176" s="12"/>
      <c r="B176" s="12"/>
      <c r="C176" s="12"/>
      <c r="D176" s="31"/>
      <c r="E176" s="12"/>
      <c r="F176" s="32"/>
      <c r="G176" s="32"/>
      <c r="H176" s="32"/>
      <c r="I176" s="32"/>
      <c r="J176" s="32"/>
      <c r="K176" s="12"/>
      <c r="L176" s="32"/>
      <c r="M176" s="32"/>
      <c r="N176" s="32"/>
      <c r="O176" s="12"/>
      <c r="P176" s="12"/>
      <c r="Q176" s="12"/>
      <c r="R176" s="12"/>
      <c r="S176" s="32"/>
      <c r="T176" s="12"/>
      <c r="U176" s="12"/>
      <c r="V176" s="39"/>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33"/>
      <c r="AX176" s="33"/>
      <c r="AY176" s="29"/>
      <c r="AZ176" s="34"/>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row>
    <row r="177" ht="15.75" customHeight="1">
      <c r="A177" s="12"/>
      <c r="B177" s="12"/>
      <c r="C177" s="12"/>
      <c r="D177" s="31"/>
      <c r="E177" s="12"/>
      <c r="F177" s="32"/>
      <c r="G177" s="32"/>
      <c r="H177" s="32"/>
      <c r="I177" s="32"/>
      <c r="J177" s="32"/>
      <c r="K177" s="12"/>
      <c r="L177" s="32"/>
      <c r="M177" s="32"/>
      <c r="N177" s="32"/>
      <c r="O177" s="12"/>
      <c r="P177" s="12"/>
      <c r="Q177" s="12"/>
      <c r="R177" s="12"/>
      <c r="S177" s="32"/>
      <c r="T177" s="12"/>
      <c r="U177" s="12"/>
      <c r="V177" s="39"/>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33"/>
      <c r="AX177" s="33"/>
      <c r="AY177" s="29"/>
      <c r="AZ177" s="34"/>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row>
    <row r="178" ht="15.75" customHeight="1">
      <c r="A178" s="12"/>
      <c r="B178" s="12"/>
      <c r="C178" s="12"/>
      <c r="D178" s="31"/>
      <c r="E178" s="12"/>
      <c r="F178" s="32"/>
      <c r="G178" s="32"/>
      <c r="H178" s="32"/>
      <c r="I178" s="32"/>
      <c r="J178" s="32"/>
      <c r="K178" s="12"/>
      <c r="L178" s="32"/>
      <c r="M178" s="32"/>
      <c r="N178" s="32"/>
      <c r="O178" s="12"/>
      <c r="P178" s="12"/>
      <c r="Q178" s="12"/>
      <c r="R178" s="12"/>
      <c r="S178" s="32"/>
      <c r="T178" s="12"/>
      <c r="U178" s="12"/>
      <c r="V178" s="39"/>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33"/>
      <c r="AX178" s="33"/>
      <c r="AY178" s="29"/>
      <c r="AZ178" s="34"/>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row>
    <row r="179" ht="15.75" customHeight="1">
      <c r="A179" s="12"/>
      <c r="B179" s="12"/>
      <c r="C179" s="12"/>
      <c r="D179" s="31"/>
      <c r="E179" s="12"/>
      <c r="F179" s="32"/>
      <c r="G179" s="32"/>
      <c r="H179" s="32"/>
      <c r="I179" s="32"/>
      <c r="J179" s="32"/>
      <c r="K179" s="12"/>
      <c r="L179" s="32"/>
      <c r="M179" s="32"/>
      <c r="N179" s="32"/>
      <c r="O179" s="12"/>
      <c r="P179" s="12"/>
      <c r="Q179" s="12"/>
      <c r="R179" s="12"/>
      <c r="S179" s="32"/>
      <c r="T179" s="12"/>
      <c r="U179" s="12"/>
      <c r="V179" s="39"/>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33"/>
      <c r="AX179" s="33"/>
      <c r="AY179" s="29"/>
      <c r="AZ179" s="34"/>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row>
    <row r="180" ht="15.75" customHeight="1">
      <c r="A180" s="12"/>
      <c r="B180" s="12"/>
      <c r="C180" s="12"/>
      <c r="D180" s="31"/>
      <c r="E180" s="12"/>
      <c r="F180" s="32"/>
      <c r="G180" s="32"/>
      <c r="H180" s="32"/>
      <c r="I180" s="32"/>
      <c r="J180" s="32"/>
      <c r="K180" s="12"/>
      <c r="L180" s="32"/>
      <c r="M180" s="32"/>
      <c r="N180" s="32"/>
      <c r="O180" s="12"/>
      <c r="P180" s="12"/>
      <c r="Q180" s="12"/>
      <c r="R180" s="12"/>
      <c r="S180" s="32"/>
      <c r="T180" s="12"/>
      <c r="U180" s="12"/>
      <c r="V180" s="39"/>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33"/>
      <c r="AX180" s="33"/>
      <c r="AY180" s="29"/>
      <c r="AZ180" s="34"/>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row>
    <row r="181" ht="15.75" customHeight="1">
      <c r="A181" s="12"/>
      <c r="B181" s="12"/>
      <c r="C181" s="12"/>
      <c r="D181" s="31"/>
      <c r="E181" s="12"/>
      <c r="F181" s="32"/>
      <c r="G181" s="32"/>
      <c r="H181" s="32"/>
      <c r="I181" s="32"/>
      <c r="J181" s="32"/>
      <c r="K181" s="12"/>
      <c r="L181" s="32"/>
      <c r="M181" s="32"/>
      <c r="N181" s="32"/>
      <c r="O181" s="12"/>
      <c r="P181" s="12"/>
      <c r="Q181" s="12"/>
      <c r="R181" s="12"/>
      <c r="S181" s="32"/>
      <c r="T181" s="12"/>
      <c r="U181" s="12"/>
      <c r="V181" s="39"/>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33"/>
      <c r="AX181" s="33"/>
      <c r="AY181" s="29"/>
      <c r="AZ181" s="34"/>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row>
    <row r="182" ht="15.75" customHeight="1">
      <c r="A182" s="12"/>
      <c r="B182" s="12"/>
      <c r="C182" s="12"/>
      <c r="D182" s="31"/>
      <c r="E182" s="12"/>
      <c r="F182" s="32"/>
      <c r="G182" s="32"/>
      <c r="H182" s="32"/>
      <c r="I182" s="32"/>
      <c r="J182" s="32"/>
      <c r="K182" s="12"/>
      <c r="L182" s="32"/>
      <c r="M182" s="32"/>
      <c r="N182" s="32"/>
      <c r="O182" s="12"/>
      <c r="P182" s="12"/>
      <c r="Q182" s="12"/>
      <c r="R182" s="12"/>
      <c r="S182" s="32"/>
      <c r="T182" s="12"/>
      <c r="U182" s="12"/>
      <c r="V182" s="39"/>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33"/>
      <c r="AX182" s="33"/>
      <c r="AY182" s="29"/>
      <c r="AZ182" s="34"/>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row>
    <row r="183" ht="15.75" customHeight="1">
      <c r="A183" s="12"/>
      <c r="B183" s="12"/>
      <c r="C183" s="12"/>
      <c r="D183" s="31"/>
      <c r="E183" s="12"/>
      <c r="F183" s="32"/>
      <c r="G183" s="32"/>
      <c r="H183" s="32"/>
      <c r="I183" s="32"/>
      <c r="J183" s="32"/>
      <c r="K183" s="12"/>
      <c r="L183" s="32"/>
      <c r="M183" s="32"/>
      <c r="N183" s="32"/>
      <c r="O183" s="12"/>
      <c r="P183" s="12"/>
      <c r="Q183" s="12"/>
      <c r="R183" s="12"/>
      <c r="S183" s="32"/>
      <c r="T183" s="12"/>
      <c r="U183" s="12"/>
      <c r="V183" s="39"/>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33"/>
      <c r="AX183" s="33"/>
      <c r="AY183" s="29"/>
      <c r="AZ183" s="34"/>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row>
    <row r="184" ht="15.75" customHeight="1">
      <c r="A184" s="12"/>
      <c r="B184" s="12"/>
      <c r="C184" s="12"/>
      <c r="D184" s="31"/>
      <c r="E184" s="12"/>
      <c r="F184" s="32"/>
      <c r="G184" s="32"/>
      <c r="H184" s="32"/>
      <c r="I184" s="32"/>
      <c r="J184" s="32"/>
      <c r="K184" s="12"/>
      <c r="L184" s="32"/>
      <c r="M184" s="32"/>
      <c r="N184" s="32"/>
      <c r="O184" s="12"/>
      <c r="P184" s="12"/>
      <c r="Q184" s="12"/>
      <c r="R184" s="12"/>
      <c r="S184" s="32"/>
      <c r="T184" s="12"/>
      <c r="U184" s="12"/>
      <c r="V184" s="39"/>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33"/>
      <c r="AX184" s="33"/>
      <c r="AY184" s="29"/>
      <c r="AZ184" s="34"/>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row>
    <row r="185" ht="15.75" customHeight="1">
      <c r="A185" s="12"/>
      <c r="B185" s="12"/>
      <c r="C185" s="12"/>
      <c r="D185" s="31"/>
      <c r="E185" s="12"/>
      <c r="F185" s="32"/>
      <c r="G185" s="32"/>
      <c r="H185" s="32"/>
      <c r="I185" s="32"/>
      <c r="J185" s="32"/>
      <c r="K185" s="12"/>
      <c r="L185" s="32"/>
      <c r="M185" s="32"/>
      <c r="N185" s="32"/>
      <c r="O185" s="12"/>
      <c r="P185" s="12"/>
      <c r="Q185" s="12"/>
      <c r="R185" s="12"/>
      <c r="S185" s="32"/>
      <c r="T185" s="12"/>
      <c r="U185" s="12"/>
      <c r="V185" s="39"/>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33"/>
      <c r="AX185" s="33"/>
      <c r="AY185" s="29"/>
      <c r="AZ185" s="34"/>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row>
    <row r="186" ht="15.75" customHeight="1">
      <c r="A186" s="12"/>
      <c r="B186" s="12"/>
      <c r="C186" s="12"/>
      <c r="D186" s="31"/>
      <c r="E186" s="12"/>
      <c r="F186" s="32"/>
      <c r="G186" s="32"/>
      <c r="H186" s="32"/>
      <c r="I186" s="32"/>
      <c r="J186" s="32"/>
      <c r="K186" s="12"/>
      <c r="L186" s="32"/>
      <c r="M186" s="32"/>
      <c r="N186" s="32"/>
      <c r="O186" s="12"/>
      <c r="P186" s="12"/>
      <c r="Q186" s="12"/>
      <c r="R186" s="12"/>
      <c r="S186" s="32"/>
      <c r="T186" s="12"/>
      <c r="U186" s="12"/>
      <c r="V186" s="39"/>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33"/>
      <c r="AX186" s="33"/>
      <c r="AY186" s="29"/>
      <c r="AZ186" s="34"/>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row>
    <row r="187" ht="15.75" customHeight="1">
      <c r="A187" s="12"/>
      <c r="B187" s="12"/>
      <c r="C187" s="12"/>
      <c r="D187" s="31"/>
      <c r="E187" s="12"/>
      <c r="F187" s="32"/>
      <c r="G187" s="32"/>
      <c r="H187" s="32"/>
      <c r="I187" s="32"/>
      <c r="J187" s="32"/>
      <c r="K187" s="12"/>
      <c r="L187" s="32"/>
      <c r="M187" s="32"/>
      <c r="N187" s="32"/>
      <c r="O187" s="12"/>
      <c r="P187" s="12"/>
      <c r="Q187" s="12"/>
      <c r="R187" s="12"/>
      <c r="S187" s="32"/>
      <c r="T187" s="12"/>
      <c r="U187" s="12"/>
      <c r="V187" s="39"/>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33"/>
      <c r="AX187" s="33"/>
      <c r="AY187" s="29"/>
      <c r="AZ187" s="34"/>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row>
    <row r="188" ht="15.75" customHeight="1">
      <c r="A188" s="12"/>
      <c r="B188" s="12"/>
      <c r="C188" s="12"/>
      <c r="D188" s="31"/>
      <c r="E188" s="12"/>
      <c r="F188" s="32"/>
      <c r="G188" s="32"/>
      <c r="H188" s="32"/>
      <c r="I188" s="32"/>
      <c r="J188" s="32"/>
      <c r="K188" s="12"/>
      <c r="L188" s="32"/>
      <c r="M188" s="32"/>
      <c r="N188" s="32"/>
      <c r="O188" s="12"/>
      <c r="P188" s="12"/>
      <c r="Q188" s="12"/>
      <c r="R188" s="12"/>
      <c r="S188" s="32"/>
      <c r="T188" s="12"/>
      <c r="U188" s="12"/>
      <c r="V188" s="39"/>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33"/>
      <c r="AX188" s="33"/>
      <c r="AY188" s="29"/>
      <c r="AZ188" s="34"/>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row>
    <row r="189" ht="15.75" customHeight="1">
      <c r="A189" s="12"/>
      <c r="B189" s="12"/>
      <c r="C189" s="12"/>
      <c r="D189" s="31"/>
      <c r="E189" s="12"/>
      <c r="F189" s="32"/>
      <c r="G189" s="32"/>
      <c r="H189" s="32"/>
      <c r="I189" s="32"/>
      <c r="J189" s="32"/>
      <c r="K189" s="12"/>
      <c r="L189" s="32"/>
      <c r="M189" s="32"/>
      <c r="N189" s="32"/>
      <c r="O189" s="12"/>
      <c r="P189" s="12"/>
      <c r="Q189" s="12"/>
      <c r="R189" s="12"/>
      <c r="S189" s="32"/>
      <c r="T189" s="12"/>
      <c r="U189" s="12"/>
      <c r="V189" s="39"/>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33"/>
      <c r="AX189" s="33"/>
      <c r="AY189" s="29"/>
      <c r="AZ189" s="34"/>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row>
    <row r="190" ht="15.75" customHeight="1">
      <c r="A190" s="12"/>
      <c r="B190" s="12"/>
      <c r="C190" s="12"/>
      <c r="D190" s="31"/>
      <c r="E190" s="12"/>
      <c r="F190" s="32"/>
      <c r="G190" s="32"/>
      <c r="H190" s="32"/>
      <c r="I190" s="32"/>
      <c r="J190" s="32"/>
      <c r="K190" s="12"/>
      <c r="L190" s="32"/>
      <c r="M190" s="32"/>
      <c r="N190" s="32"/>
      <c r="O190" s="12"/>
      <c r="P190" s="12"/>
      <c r="Q190" s="12"/>
      <c r="R190" s="12"/>
      <c r="S190" s="32"/>
      <c r="T190" s="12"/>
      <c r="U190" s="12"/>
      <c r="V190" s="39"/>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33"/>
      <c r="AX190" s="33"/>
      <c r="AY190" s="29"/>
      <c r="AZ190" s="34"/>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row>
    <row r="191" ht="15.75" customHeight="1">
      <c r="A191" s="12"/>
      <c r="B191" s="12"/>
      <c r="C191" s="12"/>
      <c r="D191" s="31"/>
      <c r="E191" s="12"/>
      <c r="F191" s="32"/>
      <c r="G191" s="32"/>
      <c r="H191" s="32"/>
      <c r="I191" s="32"/>
      <c r="J191" s="32"/>
      <c r="K191" s="12"/>
      <c r="L191" s="32"/>
      <c r="M191" s="32"/>
      <c r="N191" s="32"/>
      <c r="O191" s="12"/>
      <c r="P191" s="12"/>
      <c r="Q191" s="12"/>
      <c r="R191" s="12"/>
      <c r="S191" s="32"/>
      <c r="T191" s="12"/>
      <c r="U191" s="12"/>
      <c r="V191" s="39"/>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33"/>
      <c r="AX191" s="33"/>
      <c r="AY191" s="29"/>
      <c r="AZ191" s="34"/>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row>
    <row r="192" ht="15.75" customHeight="1">
      <c r="A192" s="12"/>
      <c r="B192" s="12"/>
      <c r="C192" s="12"/>
      <c r="D192" s="31"/>
      <c r="E192" s="12"/>
      <c r="F192" s="32"/>
      <c r="G192" s="32"/>
      <c r="H192" s="32"/>
      <c r="I192" s="32"/>
      <c r="J192" s="32"/>
      <c r="K192" s="12"/>
      <c r="L192" s="32"/>
      <c r="M192" s="32"/>
      <c r="N192" s="32"/>
      <c r="O192" s="12"/>
      <c r="P192" s="12"/>
      <c r="Q192" s="12"/>
      <c r="R192" s="12"/>
      <c r="S192" s="32"/>
      <c r="T192" s="12"/>
      <c r="U192" s="12"/>
      <c r="V192" s="39"/>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33"/>
      <c r="AX192" s="33"/>
      <c r="AY192" s="29"/>
      <c r="AZ192" s="34"/>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row>
    <row r="193" ht="15.75" customHeight="1">
      <c r="A193" s="12"/>
      <c r="B193" s="12"/>
      <c r="C193" s="12"/>
      <c r="D193" s="31"/>
      <c r="E193" s="12"/>
      <c r="F193" s="32"/>
      <c r="G193" s="32"/>
      <c r="H193" s="32"/>
      <c r="I193" s="32"/>
      <c r="J193" s="32"/>
      <c r="K193" s="12"/>
      <c r="L193" s="32"/>
      <c r="M193" s="32"/>
      <c r="N193" s="32"/>
      <c r="O193" s="12"/>
      <c r="P193" s="12"/>
      <c r="Q193" s="12"/>
      <c r="R193" s="12"/>
      <c r="S193" s="32"/>
      <c r="T193" s="12"/>
      <c r="U193" s="12"/>
      <c r="V193" s="39"/>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33"/>
      <c r="AX193" s="33"/>
      <c r="AY193" s="29"/>
      <c r="AZ193" s="34"/>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row>
    <row r="194" ht="15.75" customHeight="1">
      <c r="A194" s="12"/>
      <c r="B194" s="12"/>
      <c r="C194" s="12"/>
      <c r="D194" s="31"/>
      <c r="E194" s="12"/>
      <c r="F194" s="32"/>
      <c r="G194" s="32"/>
      <c r="H194" s="32"/>
      <c r="I194" s="32"/>
      <c r="J194" s="32"/>
      <c r="K194" s="12"/>
      <c r="L194" s="32"/>
      <c r="M194" s="32"/>
      <c r="N194" s="32"/>
      <c r="O194" s="12"/>
      <c r="P194" s="12"/>
      <c r="Q194" s="12"/>
      <c r="R194" s="12"/>
      <c r="S194" s="32"/>
      <c r="T194" s="12"/>
      <c r="U194" s="12"/>
      <c r="V194" s="39"/>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33"/>
      <c r="AX194" s="33"/>
      <c r="AY194" s="29"/>
      <c r="AZ194" s="34"/>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row>
    <row r="195" ht="15.75" customHeight="1">
      <c r="A195" s="12"/>
      <c r="B195" s="12"/>
      <c r="C195" s="12"/>
      <c r="D195" s="31"/>
      <c r="E195" s="12"/>
      <c r="F195" s="32"/>
      <c r="G195" s="32"/>
      <c r="H195" s="32"/>
      <c r="I195" s="32"/>
      <c r="J195" s="32"/>
      <c r="K195" s="12"/>
      <c r="L195" s="32"/>
      <c r="M195" s="32"/>
      <c r="N195" s="32"/>
      <c r="O195" s="12"/>
      <c r="P195" s="12"/>
      <c r="Q195" s="12"/>
      <c r="R195" s="12"/>
      <c r="S195" s="32"/>
      <c r="T195" s="12"/>
      <c r="U195" s="12"/>
      <c r="V195" s="39"/>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33"/>
      <c r="AX195" s="33"/>
      <c r="AY195" s="29"/>
      <c r="AZ195" s="34"/>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row>
    <row r="196" ht="15.75" customHeight="1">
      <c r="A196" s="12"/>
      <c r="B196" s="12"/>
      <c r="C196" s="12"/>
      <c r="D196" s="31"/>
      <c r="E196" s="12"/>
      <c r="F196" s="32"/>
      <c r="G196" s="32"/>
      <c r="H196" s="32"/>
      <c r="I196" s="32"/>
      <c r="J196" s="32"/>
      <c r="K196" s="12"/>
      <c r="L196" s="32"/>
      <c r="M196" s="32"/>
      <c r="N196" s="32"/>
      <c r="O196" s="12"/>
      <c r="P196" s="12"/>
      <c r="Q196" s="12"/>
      <c r="R196" s="12"/>
      <c r="S196" s="32"/>
      <c r="T196" s="12"/>
      <c r="U196" s="12"/>
      <c r="V196" s="39"/>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33"/>
      <c r="AX196" s="33"/>
      <c r="AY196" s="29"/>
      <c r="AZ196" s="34"/>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row>
    <row r="197" ht="15.75" customHeight="1">
      <c r="A197" s="12"/>
      <c r="B197" s="12"/>
      <c r="C197" s="12"/>
      <c r="D197" s="31"/>
      <c r="E197" s="12"/>
      <c r="F197" s="32"/>
      <c r="G197" s="32"/>
      <c r="H197" s="32"/>
      <c r="I197" s="32"/>
      <c r="J197" s="32"/>
      <c r="K197" s="12"/>
      <c r="L197" s="32"/>
      <c r="M197" s="32"/>
      <c r="N197" s="32"/>
      <c r="O197" s="12"/>
      <c r="P197" s="12"/>
      <c r="Q197" s="12"/>
      <c r="R197" s="12"/>
      <c r="S197" s="32"/>
      <c r="T197" s="12"/>
      <c r="U197" s="12"/>
      <c r="V197" s="39"/>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33"/>
      <c r="AX197" s="33"/>
      <c r="AY197" s="29"/>
      <c r="AZ197" s="34"/>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row>
    <row r="198" ht="15.75" customHeight="1">
      <c r="A198" s="12"/>
      <c r="B198" s="12"/>
      <c r="C198" s="12"/>
      <c r="D198" s="31"/>
      <c r="E198" s="12"/>
      <c r="F198" s="32"/>
      <c r="G198" s="32"/>
      <c r="H198" s="32"/>
      <c r="I198" s="32"/>
      <c r="J198" s="32"/>
      <c r="K198" s="12"/>
      <c r="L198" s="32"/>
      <c r="M198" s="32"/>
      <c r="N198" s="32"/>
      <c r="O198" s="12"/>
      <c r="P198" s="12"/>
      <c r="Q198" s="12"/>
      <c r="R198" s="12"/>
      <c r="S198" s="32"/>
      <c r="T198" s="12"/>
      <c r="U198" s="12"/>
      <c r="V198" s="39"/>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33"/>
      <c r="AX198" s="33"/>
      <c r="AY198" s="29"/>
      <c r="AZ198" s="34"/>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row>
    <row r="199" ht="15.75" customHeight="1">
      <c r="A199" s="12"/>
      <c r="B199" s="12"/>
      <c r="C199" s="12"/>
      <c r="D199" s="31"/>
      <c r="E199" s="12"/>
      <c r="F199" s="32"/>
      <c r="G199" s="32"/>
      <c r="H199" s="32"/>
      <c r="I199" s="32"/>
      <c r="J199" s="32"/>
      <c r="K199" s="12"/>
      <c r="L199" s="32"/>
      <c r="M199" s="32"/>
      <c r="N199" s="32"/>
      <c r="O199" s="12"/>
      <c r="P199" s="12"/>
      <c r="Q199" s="12"/>
      <c r="R199" s="12"/>
      <c r="S199" s="32"/>
      <c r="T199" s="12"/>
      <c r="U199" s="12"/>
      <c r="V199" s="39"/>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33"/>
      <c r="AX199" s="33"/>
      <c r="AY199" s="29"/>
      <c r="AZ199" s="34"/>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row>
    <row r="200" ht="15.75" customHeight="1">
      <c r="A200" s="12"/>
      <c r="B200" s="12"/>
      <c r="C200" s="12"/>
      <c r="D200" s="31"/>
      <c r="E200" s="12"/>
      <c r="F200" s="32"/>
      <c r="G200" s="32"/>
      <c r="H200" s="32"/>
      <c r="I200" s="32"/>
      <c r="J200" s="32"/>
      <c r="K200" s="12"/>
      <c r="L200" s="32"/>
      <c r="M200" s="32"/>
      <c r="N200" s="32"/>
      <c r="O200" s="12"/>
      <c r="P200" s="12"/>
      <c r="Q200" s="12"/>
      <c r="R200" s="12"/>
      <c r="S200" s="32"/>
      <c r="T200" s="12"/>
      <c r="U200" s="12"/>
      <c r="V200" s="39"/>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33"/>
      <c r="AX200" s="33"/>
      <c r="AY200" s="29"/>
      <c r="AZ200" s="34"/>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row>
    <row r="201" ht="15.75" customHeight="1">
      <c r="A201" s="12"/>
      <c r="B201" s="12"/>
      <c r="C201" s="12"/>
      <c r="D201" s="31"/>
      <c r="E201" s="12"/>
      <c r="F201" s="32"/>
      <c r="G201" s="32"/>
      <c r="H201" s="32"/>
      <c r="I201" s="32"/>
      <c r="J201" s="32"/>
      <c r="K201" s="12"/>
      <c r="L201" s="32"/>
      <c r="M201" s="32"/>
      <c r="N201" s="32"/>
      <c r="O201" s="12"/>
      <c r="P201" s="12"/>
      <c r="Q201" s="12"/>
      <c r="R201" s="12"/>
      <c r="S201" s="32"/>
      <c r="T201" s="12"/>
      <c r="U201" s="12"/>
      <c r="V201" s="39"/>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33"/>
      <c r="AX201" s="33"/>
      <c r="AY201" s="29"/>
      <c r="AZ201" s="34"/>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row>
    <row r="202" ht="15.75" customHeight="1">
      <c r="A202" s="12"/>
      <c r="B202" s="12"/>
      <c r="C202" s="12"/>
      <c r="D202" s="31"/>
      <c r="E202" s="12"/>
      <c r="F202" s="32"/>
      <c r="G202" s="32"/>
      <c r="H202" s="32"/>
      <c r="I202" s="32"/>
      <c r="J202" s="32"/>
      <c r="K202" s="12"/>
      <c r="L202" s="32"/>
      <c r="M202" s="32"/>
      <c r="N202" s="32"/>
      <c r="O202" s="12"/>
      <c r="P202" s="12"/>
      <c r="Q202" s="12"/>
      <c r="R202" s="12"/>
      <c r="S202" s="32"/>
      <c r="T202" s="12"/>
      <c r="U202" s="12"/>
      <c r="V202" s="39"/>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33"/>
      <c r="AX202" s="33"/>
      <c r="AY202" s="29"/>
      <c r="AZ202" s="34"/>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row>
    <row r="203" ht="15.75" customHeight="1">
      <c r="A203" s="12"/>
      <c r="B203" s="12"/>
      <c r="C203" s="12"/>
      <c r="D203" s="31"/>
      <c r="E203" s="12"/>
      <c r="F203" s="32"/>
      <c r="G203" s="32"/>
      <c r="H203" s="32"/>
      <c r="I203" s="32"/>
      <c r="J203" s="32"/>
      <c r="K203" s="12"/>
      <c r="L203" s="32"/>
      <c r="M203" s="32"/>
      <c r="N203" s="32"/>
      <c r="O203" s="12"/>
      <c r="P203" s="12"/>
      <c r="Q203" s="12"/>
      <c r="R203" s="12"/>
      <c r="S203" s="32"/>
      <c r="T203" s="12"/>
      <c r="U203" s="12"/>
      <c r="V203" s="39"/>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33"/>
      <c r="AX203" s="33"/>
      <c r="AY203" s="29"/>
      <c r="AZ203" s="34"/>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row>
    <row r="204" ht="15.75" customHeight="1">
      <c r="A204" s="12"/>
      <c r="B204" s="12"/>
      <c r="C204" s="12"/>
      <c r="D204" s="31"/>
      <c r="E204" s="12"/>
      <c r="F204" s="32"/>
      <c r="G204" s="32"/>
      <c r="H204" s="32"/>
      <c r="I204" s="32"/>
      <c r="J204" s="32"/>
      <c r="K204" s="12"/>
      <c r="L204" s="32"/>
      <c r="M204" s="32"/>
      <c r="N204" s="32"/>
      <c r="O204" s="12"/>
      <c r="P204" s="12"/>
      <c r="Q204" s="12"/>
      <c r="R204" s="12"/>
      <c r="S204" s="32"/>
      <c r="T204" s="12"/>
      <c r="U204" s="12"/>
      <c r="V204" s="39"/>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33"/>
      <c r="AX204" s="33"/>
      <c r="AY204" s="29"/>
      <c r="AZ204" s="34"/>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row>
    <row r="205" ht="15.75" customHeight="1">
      <c r="A205" s="12"/>
      <c r="B205" s="12"/>
      <c r="C205" s="12"/>
      <c r="D205" s="31"/>
      <c r="E205" s="12"/>
      <c r="F205" s="32"/>
      <c r="G205" s="32"/>
      <c r="H205" s="32"/>
      <c r="I205" s="32"/>
      <c r="J205" s="32"/>
      <c r="K205" s="12"/>
      <c r="L205" s="32"/>
      <c r="M205" s="32"/>
      <c r="N205" s="32"/>
      <c r="O205" s="12"/>
      <c r="P205" s="12"/>
      <c r="Q205" s="12"/>
      <c r="R205" s="12"/>
      <c r="S205" s="32"/>
      <c r="T205" s="12"/>
      <c r="U205" s="12"/>
      <c r="V205" s="39"/>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33"/>
      <c r="AX205" s="33"/>
      <c r="AY205" s="29"/>
      <c r="AZ205" s="34"/>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row>
    <row r="206" ht="15.75" customHeight="1">
      <c r="A206" s="12"/>
      <c r="B206" s="12"/>
      <c r="C206" s="12"/>
      <c r="D206" s="31"/>
      <c r="E206" s="12"/>
      <c r="F206" s="32"/>
      <c r="G206" s="32"/>
      <c r="H206" s="32"/>
      <c r="I206" s="32"/>
      <c r="J206" s="32"/>
      <c r="K206" s="12"/>
      <c r="L206" s="32"/>
      <c r="M206" s="32"/>
      <c r="N206" s="32"/>
      <c r="O206" s="12"/>
      <c r="P206" s="12"/>
      <c r="Q206" s="12"/>
      <c r="R206" s="12"/>
      <c r="S206" s="32"/>
      <c r="T206" s="12"/>
      <c r="U206" s="12"/>
      <c r="V206" s="39"/>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33"/>
      <c r="AX206" s="33"/>
      <c r="AY206" s="29"/>
      <c r="AZ206" s="34"/>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row>
    <row r="207" ht="15.75" customHeight="1">
      <c r="A207" s="12"/>
      <c r="B207" s="12"/>
      <c r="C207" s="12"/>
      <c r="D207" s="31"/>
      <c r="E207" s="12"/>
      <c r="F207" s="32"/>
      <c r="G207" s="32"/>
      <c r="H207" s="32"/>
      <c r="I207" s="32"/>
      <c r="J207" s="32"/>
      <c r="K207" s="12"/>
      <c r="L207" s="32"/>
      <c r="M207" s="32"/>
      <c r="N207" s="32"/>
      <c r="O207" s="12"/>
      <c r="P207" s="12"/>
      <c r="Q207" s="12"/>
      <c r="R207" s="12"/>
      <c r="S207" s="32"/>
      <c r="T207" s="12"/>
      <c r="U207" s="12"/>
      <c r="V207" s="39"/>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33"/>
      <c r="AX207" s="33"/>
      <c r="AY207" s="29"/>
      <c r="AZ207" s="34"/>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row>
    <row r="208" ht="15.75" customHeight="1">
      <c r="A208" s="12"/>
      <c r="B208" s="12"/>
      <c r="C208" s="12"/>
      <c r="D208" s="31"/>
      <c r="E208" s="12"/>
      <c r="F208" s="32"/>
      <c r="G208" s="32"/>
      <c r="H208" s="32"/>
      <c r="I208" s="32"/>
      <c r="J208" s="32"/>
      <c r="K208" s="12"/>
      <c r="L208" s="32"/>
      <c r="M208" s="32"/>
      <c r="N208" s="32"/>
      <c r="O208" s="12"/>
      <c r="P208" s="12"/>
      <c r="Q208" s="12"/>
      <c r="R208" s="12"/>
      <c r="S208" s="32"/>
      <c r="T208" s="12"/>
      <c r="U208" s="12"/>
      <c r="V208" s="39"/>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33"/>
      <c r="AX208" s="33"/>
      <c r="AY208" s="29"/>
      <c r="AZ208" s="34"/>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row>
    <row r="209" ht="15.75" customHeight="1">
      <c r="A209" s="12"/>
      <c r="B209" s="12"/>
      <c r="C209" s="12"/>
      <c r="D209" s="31"/>
      <c r="E209" s="12"/>
      <c r="F209" s="32"/>
      <c r="G209" s="32"/>
      <c r="H209" s="32"/>
      <c r="I209" s="32"/>
      <c r="J209" s="32"/>
      <c r="K209" s="12"/>
      <c r="L209" s="32"/>
      <c r="M209" s="32"/>
      <c r="N209" s="32"/>
      <c r="O209" s="12"/>
      <c r="P209" s="12"/>
      <c r="Q209" s="12"/>
      <c r="R209" s="12"/>
      <c r="S209" s="32"/>
      <c r="T209" s="12"/>
      <c r="U209" s="12"/>
      <c r="V209" s="39"/>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33"/>
      <c r="AX209" s="33"/>
      <c r="AY209" s="29"/>
      <c r="AZ209" s="34"/>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row>
    <row r="210" ht="15.75" customHeight="1">
      <c r="A210" s="12"/>
      <c r="B210" s="12"/>
      <c r="C210" s="12"/>
      <c r="D210" s="31"/>
      <c r="E210" s="12"/>
      <c r="F210" s="32"/>
      <c r="G210" s="32"/>
      <c r="H210" s="32"/>
      <c r="I210" s="32"/>
      <c r="J210" s="32"/>
      <c r="K210" s="12"/>
      <c r="L210" s="32"/>
      <c r="M210" s="32"/>
      <c r="N210" s="32"/>
      <c r="O210" s="12"/>
      <c r="P210" s="12"/>
      <c r="Q210" s="12"/>
      <c r="R210" s="12"/>
      <c r="S210" s="32"/>
      <c r="T210" s="12"/>
      <c r="U210" s="12"/>
      <c r="V210" s="39"/>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33"/>
      <c r="AX210" s="33"/>
      <c r="AY210" s="29"/>
      <c r="AZ210" s="34"/>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row>
    <row r="211" ht="15.75" customHeight="1">
      <c r="A211" s="12"/>
      <c r="B211" s="12"/>
      <c r="C211" s="12"/>
      <c r="D211" s="31"/>
      <c r="E211" s="12"/>
      <c r="F211" s="32"/>
      <c r="G211" s="32"/>
      <c r="H211" s="32"/>
      <c r="I211" s="32"/>
      <c r="J211" s="32"/>
      <c r="K211" s="12"/>
      <c r="L211" s="32"/>
      <c r="M211" s="32"/>
      <c r="N211" s="32"/>
      <c r="O211" s="12"/>
      <c r="P211" s="12"/>
      <c r="Q211" s="12"/>
      <c r="R211" s="12"/>
      <c r="S211" s="32"/>
      <c r="T211" s="12"/>
      <c r="U211" s="12"/>
      <c r="V211" s="39"/>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33"/>
      <c r="AX211" s="33"/>
      <c r="AY211" s="29"/>
      <c r="AZ211" s="34"/>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row>
    <row r="212" ht="15.75" customHeight="1">
      <c r="A212" s="12"/>
      <c r="B212" s="12"/>
      <c r="C212" s="12"/>
      <c r="D212" s="31"/>
      <c r="E212" s="12"/>
      <c r="F212" s="32"/>
      <c r="G212" s="32"/>
      <c r="H212" s="32"/>
      <c r="I212" s="32"/>
      <c r="J212" s="32"/>
      <c r="K212" s="12"/>
      <c r="L212" s="32"/>
      <c r="M212" s="32"/>
      <c r="N212" s="32"/>
      <c r="O212" s="12"/>
      <c r="P212" s="12"/>
      <c r="Q212" s="12"/>
      <c r="R212" s="12"/>
      <c r="S212" s="32"/>
      <c r="T212" s="12"/>
      <c r="U212" s="12"/>
      <c r="V212" s="39"/>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33"/>
      <c r="AX212" s="33"/>
      <c r="AY212" s="29"/>
      <c r="AZ212" s="34"/>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row>
    <row r="213" ht="15.75" customHeight="1">
      <c r="A213" s="12"/>
      <c r="B213" s="12"/>
      <c r="C213" s="12"/>
      <c r="D213" s="31"/>
      <c r="E213" s="12"/>
      <c r="F213" s="32"/>
      <c r="G213" s="32"/>
      <c r="H213" s="32"/>
      <c r="I213" s="32"/>
      <c r="J213" s="32"/>
      <c r="K213" s="12"/>
      <c r="L213" s="32"/>
      <c r="M213" s="32"/>
      <c r="N213" s="32"/>
      <c r="O213" s="12"/>
      <c r="P213" s="12"/>
      <c r="Q213" s="12"/>
      <c r="R213" s="12"/>
      <c r="S213" s="32"/>
      <c r="T213" s="12"/>
      <c r="U213" s="12"/>
      <c r="V213" s="39"/>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33"/>
      <c r="AX213" s="33"/>
      <c r="AY213" s="29"/>
      <c r="AZ213" s="34"/>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row>
    <row r="214" ht="15.75" customHeight="1">
      <c r="A214" s="12"/>
      <c r="B214" s="12"/>
      <c r="C214" s="12"/>
      <c r="D214" s="31"/>
      <c r="E214" s="12"/>
      <c r="F214" s="32"/>
      <c r="G214" s="32"/>
      <c r="H214" s="32"/>
      <c r="I214" s="32"/>
      <c r="J214" s="32"/>
      <c r="K214" s="12"/>
      <c r="L214" s="32"/>
      <c r="M214" s="32"/>
      <c r="N214" s="32"/>
      <c r="O214" s="12"/>
      <c r="P214" s="12"/>
      <c r="Q214" s="12"/>
      <c r="R214" s="12"/>
      <c r="S214" s="32"/>
      <c r="T214" s="12"/>
      <c r="U214" s="12"/>
      <c r="V214" s="39"/>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33"/>
      <c r="AX214" s="33"/>
      <c r="AY214" s="29"/>
      <c r="AZ214" s="34"/>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row>
    <row r="215" ht="15.75" customHeight="1">
      <c r="A215" s="12"/>
      <c r="B215" s="12"/>
      <c r="C215" s="12"/>
      <c r="D215" s="31"/>
      <c r="E215" s="12"/>
      <c r="F215" s="32"/>
      <c r="G215" s="32"/>
      <c r="H215" s="32"/>
      <c r="I215" s="32"/>
      <c r="J215" s="32"/>
      <c r="K215" s="12"/>
      <c r="L215" s="32"/>
      <c r="M215" s="32"/>
      <c r="N215" s="32"/>
      <c r="O215" s="12"/>
      <c r="P215" s="12"/>
      <c r="Q215" s="12"/>
      <c r="R215" s="12"/>
      <c r="S215" s="32"/>
      <c r="T215" s="12"/>
      <c r="U215" s="12"/>
      <c r="V215" s="39"/>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33"/>
      <c r="AX215" s="33"/>
      <c r="AY215" s="29"/>
      <c r="AZ215" s="34"/>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row>
    <row r="216" ht="15.75" customHeight="1">
      <c r="A216" s="12"/>
      <c r="B216" s="12"/>
      <c r="C216" s="12"/>
      <c r="D216" s="31"/>
      <c r="E216" s="12"/>
      <c r="F216" s="32"/>
      <c r="G216" s="32"/>
      <c r="H216" s="32"/>
      <c r="I216" s="32"/>
      <c r="J216" s="32"/>
      <c r="K216" s="12"/>
      <c r="L216" s="32"/>
      <c r="M216" s="32"/>
      <c r="N216" s="32"/>
      <c r="O216" s="12"/>
      <c r="P216" s="12"/>
      <c r="Q216" s="12"/>
      <c r="R216" s="12"/>
      <c r="S216" s="32"/>
      <c r="T216" s="12"/>
      <c r="U216" s="12"/>
      <c r="V216" s="39"/>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33"/>
      <c r="AX216" s="33"/>
      <c r="AY216" s="29"/>
      <c r="AZ216" s="34"/>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row>
    <row r="217" ht="15.75" customHeight="1">
      <c r="A217" s="12"/>
      <c r="B217" s="12"/>
      <c r="C217" s="12"/>
      <c r="D217" s="31"/>
      <c r="E217" s="12"/>
      <c r="F217" s="32"/>
      <c r="G217" s="32"/>
      <c r="H217" s="32"/>
      <c r="I217" s="32"/>
      <c r="J217" s="32"/>
      <c r="K217" s="12"/>
      <c r="L217" s="32"/>
      <c r="M217" s="32"/>
      <c r="N217" s="32"/>
      <c r="O217" s="12"/>
      <c r="P217" s="12"/>
      <c r="Q217" s="12"/>
      <c r="R217" s="12"/>
      <c r="S217" s="32"/>
      <c r="T217" s="12"/>
      <c r="U217" s="12"/>
      <c r="V217" s="39"/>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33"/>
      <c r="AX217" s="33"/>
      <c r="AY217" s="29"/>
      <c r="AZ217" s="34"/>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row>
    <row r="218" ht="15.75" customHeight="1">
      <c r="A218" s="12"/>
      <c r="B218" s="12"/>
      <c r="C218" s="12"/>
      <c r="D218" s="31"/>
      <c r="E218" s="12"/>
      <c r="F218" s="32"/>
      <c r="G218" s="32"/>
      <c r="H218" s="32"/>
      <c r="I218" s="32"/>
      <c r="J218" s="32"/>
      <c r="K218" s="12"/>
      <c r="L218" s="32"/>
      <c r="M218" s="32"/>
      <c r="N218" s="32"/>
      <c r="O218" s="12"/>
      <c r="P218" s="12"/>
      <c r="Q218" s="12"/>
      <c r="R218" s="12"/>
      <c r="S218" s="32"/>
      <c r="T218" s="12"/>
      <c r="U218" s="12"/>
      <c r="V218" s="39"/>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33"/>
      <c r="AX218" s="33"/>
      <c r="AY218" s="29"/>
      <c r="AZ218" s="34"/>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row>
    <row r="219" ht="15.75" customHeight="1">
      <c r="A219" s="12"/>
      <c r="B219" s="12"/>
      <c r="C219" s="12"/>
      <c r="D219" s="31"/>
      <c r="E219" s="12"/>
      <c r="F219" s="32"/>
      <c r="G219" s="32"/>
      <c r="H219" s="32"/>
      <c r="I219" s="32"/>
      <c r="J219" s="32"/>
      <c r="K219" s="12"/>
      <c r="L219" s="32"/>
      <c r="M219" s="32"/>
      <c r="N219" s="32"/>
      <c r="O219" s="12"/>
      <c r="P219" s="12"/>
      <c r="Q219" s="12"/>
      <c r="R219" s="12"/>
      <c r="S219" s="32"/>
      <c r="T219" s="12"/>
      <c r="U219" s="12"/>
      <c r="V219" s="39"/>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33"/>
      <c r="AX219" s="33"/>
      <c r="AY219" s="29"/>
      <c r="AZ219" s="34"/>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row>
    <row r="220" ht="15.75" customHeight="1">
      <c r="A220" s="12"/>
      <c r="B220" s="12"/>
      <c r="C220" s="12"/>
      <c r="D220" s="31"/>
      <c r="E220" s="12"/>
      <c r="F220" s="32"/>
      <c r="G220" s="32"/>
      <c r="H220" s="32"/>
      <c r="I220" s="32"/>
      <c r="J220" s="32"/>
      <c r="K220" s="12"/>
      <c r="L220" s="32"/>
      <c r="M220" s="32"/>
      <c r="N220" s="32"/>
      <c r="O220" s="12"/>
      <c r="P220" s="12"/>
      <c r="Q220" s="12"/>
      <c r="R220" s="12"/>
      <c r="S220" s="32"/>
      <c r="T220" s="12"/>
      <c r="U220" s="12"/>
      <c r="V220" s="39"/>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33"/>
      <c r="AX220" s="33"/>
      <c r="AY220" s="29"/>
      <c r="AZ220" s="34"/>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1:Q14">
    <cfRule type="expression" dxfId="0" priority="1">
      <formula>Multiply(0.06,M)</formula>
    </cfRule>
  </conditionalFormatting>
  <hyperlinks>
    <hyperlink r:id="rId1" ref="D8"/>
    <hyperlink r:id="rId2" ref="D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1.38"/>
    <col customWidth="1" min="2" max="2" width="14.0"/>
    <col customWidth="1" min="3" max="3" width="6.38"/>
    <col customWidth="1" min="4" max="4" width="5.75"/>
    <col customWidth="1" min="5" max="5" width="8.25"/>
    <col customWidth="1" min="6" max="6" width="5.0"/>
    <col customWidth="1" min="7" max="7" width="3.13"/>
    <col customWidth="1" min="8" max="8" width="4.63"/>
    <col customWidth="1" min="9" max="9" width="6.63"/>
    <col customWidth="1" min="10" max="10" width="6.38"/>
    <col customWidth="1" min="11" max="11" width="6.75"/>
    <col customWidth="1" min="12" max="12" width="6.38"/>
    <col customWidth="1" min="13" max="13" width="5.0"/>
    <col customWidth="1" min="14" max="14" width="7.0"/>
    <col customWidth="1" min="15" max="16" width="6.38"/>
    <col customWidth="1" min="17" max="17" width="6.5"/>
    <col customWidth="1" min="18" max="18" width="8.75"/>
    <col customWidth="1" min="19" max="19" width="8.88"/>
    <col customWidth="1" min="20" max="20" width="7.5"/>
    <col customWidth="1" min="21" max="21" width="7.13"/>
    <col customWidth="1" min="22" max="22" width="6.5"/>
    <col customWidth="1" min="23" max="23" width="7.75"/>
    <col customWidth="1" min="24" max="24" width="9.0"/>
    <col customWidth="1" min="25" max="25" width="13.25"/>
    <col customWidth="1" min="26" max="26" width="6.0"/>
    <col customWidth="1" min="28" max="28" width="8.25"/>
    <col customWidth="1" min="29" max="29" width="9.25"/>
    <col customWidth="1" min="30" max="30" width="12.13"/>
    <col customWidth="1" min="31" max="31" width="11.63"/>
    <col customWidth="1" min="32" max="32" width="12.13"/>
    <col customWidth="1" min="33" max="33" width="10.25"/>
    <col customWidth="1" min="34" max="34" width="12.75"/>
    <col customWidth="1" min="35" max="35" width="11.88"/>
    <col customWidth="1" min="36" max="36" width="8.75"/>
    <col customWidth="1" min="37" max="37" width="12.13"/>
    <col customWidth="1" min="38" max="38" width="12.63"/>
    <col customWidth="1" min="47" max="47" width="4.63"/>
    <col customWidth="1" min="48" max="48" width="14.63"/>
    <col customWidth="1" min="49" max="49" width="11.38"/>
    <col customWidth="1" min="50" max="50" width="4.63"/>
    <col customWidth="1" min="51" max="51" width="5.88"/>
    <col customWidth="1" min="52" max="52" width="4.38"/>
    <col customWidth="1" min="53" max="54" width="7.13"/>
    <col customWidth="1" min="55" max="55" width="6.5"/>
  </cols>
  <sheetData>
    <row r="1" ht="15.75" customHeight="1">
      <c r="A1" s="40" t="s">
        <v>0</v>
      </c>
      <c r="B1" s="40" t="s">
        <v>1</v>
      </c>
      <c r="C1" s="40" t="s">
        <v>2</v>
      </c>
      <c r="D1" s="40" t="s">
        <v>76</v>
      </c>
      <c r="E1" s="40" t="s">
        <v>4</v>
      </c>
      <c r="F1" s="41" t="s">
        <v>5</v>
      </c>
      <c r="G1" s="41" t="s">
        <v>6</v>
      </c>
      <c r="H1" s="40" t="s">
        <v>7</v>
      </c>
      <c r="I1" s="40" t="s">
        <v>8</v>
      </c>
      <c r="J1" s="40" t="s">
        <v>9</v>
      </c>
      <c r="K1" s="42" t="s">
        <v>10</v>
      </c>
      <c r="L1" s="40" t="s">
        <v>12</v>
      </c>
      <c r="M1" s="43" t="s">
        <v>13</v>
      </c>
      <c r="N1" s="42" t="s">
        <v>14</v>
      </c>
      <c r="O1" s="40" t="s">
        <v>15</v>
      </c>
      <c r="P1" s="40" t="s">
        <v>11</v>
      </c>
      <c r="Q1" s="43" t="s">
        <v>16</v>
      </c>
      <c r="R1" s="43" t="s">
        <v>77</v>
      </c>
      <c r="S1" s="43" t="s">
        <v>19</v>
      </c>
      <c r="T1" s="43" t="s">
        <v>20</v>
      </c>
      <c r="U1" s="43" t="s">
        <v>21</v>
      </c>
      <c r="V1" s="43" t="s">
        <v>22</v>
      </c>
      <c r="W1" s="43" t="s">
        <v>23</v>
      </c>
      <c r="X1" s="43" t="s">
        <v>24</v>
      </c>
      <c r="Y1" s="40" t="s">
        <v>25</v>
      </c>
      <c r="Z1" s="40" t="s">
        <v>26</v>
      </c>
      <c r="AA1" s="40"/>
      <c r="AB1" s="40" t="s">
        <v>27</v>
      </c>
      <c r="AC1" s="40" t="s">
        <v>28</v>
      </c>
      <c r="AD1" s="40" t="s">
        <v>29</v>
      </c>
      <c r="AE1" s="40" t="s">
        <v>30</v>
      </c>
      <c r="AF1" s="40" t="s">
        <v>31</v>
      </c>
      <c r="AG1" s="40" t="s">
        <v>32</v>
      </c>
      <c r="AH1" s="40" t="s">
        <v>33</v>
      </c>
      <c r="AI1" s="40" t="s">
        <v>34</v>
      </c>
      <c r="AJ1" s="44" t="s">
        <v>35</v>
      </c>
      <c r="AK1" s="44" t="s">
        <v>36</v>
      </c>
      <c r="AL1" s="44" t="s">
        <v>37</v>
      </c>
      <c r="AM1" s="44" t="s">
        <v>38</v>
      </c>
      <c r="AN1" s="44" t="s">
        <v>39</v>
      </c>
      <c r="AO1" s="44" t="s">
        <v>40</v>
      </c>
      <c r="AP1" s="44" t="s">
        <v>41</v>
      </c>
      <c r="AQ1" s="44" t="s">
        <v>42</v>
      </c>
      <c r="AR1" s="44" t="s">
        <v>43</v>
      </c>
      <c r="AS1" s="40"/>
      <c r="AT1" s="40" t="s">
        <v>44</v>
      </c>
      <c r="AU1" s="43" t="s">
        <v>45</v>
      </c>
      <c r="AV1" s="45" t="s">
        <v>46</v>
      </c>
      <c r="AW1" s="45" t="s">
        <v>47</v>
      </c>
      <c r="AX1" s="46" t="s">
        <v>48</v>
      </c>
      <c r="AY1" s="47" t="s">
        <v>49</v>
      </c>
      <c r="AZ1" s="43" t="s">
        <v>50</v>
      </c>
      <c r="BA1" s="43" t="s">
        <v>51</v>
      </c>
      <c r="BB1" s="43" t="s">
        <v>52</v>
      </c>
      <c r="BC1" s="40" t="s">
        <v>53</v>
      </c>
      <c r="BD1" s="40" t="s">
        <v>54</v>
      </c>
      <c r="BE1" s="40"/>
      <c r="BF1" s="40"/>
      <c r="BG1" s="40"/>
      <c r="BH1" s="40"/>
      <c r="BI1" s="40"/>
      <c r="BJ1" s="40"/>
      <c r="BK1" s="40"/>
      <c r="BL1" s="40"/>
      <c r="BM1" s="40"/>
      <c r="BN1" s="40"/>
      <c r="BO1" s="40"/>
      <c r="BP1" s="40"/>
      <c r="BQ1" s="40"/>
      <c r="BR1" s="40"/>
      <c r="BS1" s="40"/>
      <c r="BT1" s="40"/>
      <c r="BU1" s="40"/>
      <c r="BV1" s="40"/>
      <c r="BW1" s="40"/>
      <c r="BX1" s="40"/>
    </row>
    <row r="2" ht="15.75" customHeight="1">
      <c r="A2" s="48" t="s">
        <v>78</v>
      </c>
      <c r="B2" s="48"/>
      <c r="C2" s="49">
        <v>42744.0</v>
      </c>
      <c r="D2" s="50"/>
      <c r="E2" s="50"/>
      <c r="F2" s="51" t="s">
        <v>56</v>
      </c>
      <c r="G2" s="51" t="s">
        <v>57</v>
      </c>
      <c r="H2" s="50">
        <v>2300.0</v>
      </c>
      <c r="I2" s="50">
        <v>198000.0</v>
      </c>
      <c r="J2" s="50">
        <v>198000.0</v>
      </c>
      <c r="K2" s="52">
        <f t="shared" ref="K2:K78" si="1">J2/H2</f>
        <v>86.08695652</v>
      </c>
      <c r="L2" s="50">
        <v>350000.0</v>
      </c>
      <c r="M2" s="53">
        <f t="shared" ref="M2:M21" si="2">H2</f>
        <v>2300</v>
      </c>
      <c r="N2" s="54">
        <f t="shared" ref="N2:N33" si="3">L2/M2</f>
        <v>152.173913</v>
      </c>
      <c r="O2" s="55">
        <f t="shared" ref="O2:O78" si="4">L2-J2</f>
        <v>152000</v>
      </c>
      <c r="P2" s="50">
        <v>50000.0</v>
      </c>
      <c r="Q2" s="56">
        <f t="shared" ref="Q2:Q5" si="5">MULTIPLY(0.07,L2)</f>
        <v>24500</v>
      </c>
      <c r="R2" s="56">
        <f t="shared" ref="R2:R21" si="6">0.05*S2</f>
        <v>13625</v>
      </c>
      <c r="S2" s="56">
        <f t="shared" ref="S2:S78" si="7">SUM(J2,P2,Q2)</f>
        <v>272500</v>
      </c>
      <c r="T2" s="56">
        <f t="shared" ref="T2:T78" si="8">O2-P2-Q2</f>
        <v>77500</v>
      </c>
      <c r="U2" s="56">
        <f t="shared" ref="U2:U23" si="9">T2-R2</f>
        <v>63875</v>
      </c>
      <c r="V2" s="57">
        <f t="shared" ref="V2:V78" si="10">DIVIDE(T2,S2)</f>
        <v>0.2844036697</v>
      </c>
      <c r="W2" s="56">
        <f t="shared" ref="W2:W78" si="11">(L2*0.75)-P2</f>
        <v>212500</v>
      </c>
      <c r="X2" s="53">
        <f t="shared" ref="X2:X78" si="12">J2-W2</f>
        <v>-14500</v>
      </c>
      <c r="Y2" s="48"/>
      <c r="Z2" s="48"/>
      <c r="AA2" s="48"/>
      <c r="AB2" s="48">
        <f t="shared" ref="AB2:AB14" si="13">SUM(AC2:AP2)</f>
        <v>30100</v>
      </c>
      <c r="AC2" s="48">
        <v>8000.0</v>
      </c>
      <c r="AD2" s="48">
        <f t="shared" ref="AD2:AD14" si="14">2000*G2</f>
        <v>4000</v>
      </c>
      <c r="AE2" s="48">
        <f t="shared" ref="AE2:AE14" si="15">2*M2</f>
        <v>4600</v>
      </c>
      <c r="AF2" s="48">
        <f t="shared" ref="AF2:AF14" si="16">2*M2</f>
        <v>4600</v>
      </c>
      <c r="AG2" s="48">
        <f t="shared" ref="AG2:AG14" si="17">3*M2</f>
        <v>6900</v>
      </c>
      <c r="AH2" s="48"/>
      <c r="AI2" s="48">
        <v>2000.0</v>
      </c>
      <c r="AJ2" s="48"/>
      <c r="AK2" s="48"/>
      <c r="AL2" s="48"/>
      <c r="AM2" s="48"/>
      <c r="AN2" s="48"/>
      <c r="AO2" s="48"/>
      <c r="AP2" s="48"/>
      <c r="AQ2" s="48"/>
      <c r="AR2" s="48"/>
      <c r="AS2" s="48"/>
      <c r="AT2" s="48"/>
      <c r="AU2" s="55">
        <v>0.9</v>
      </c>
      <c r="AV2" s="58">
        <f t="shared" ref="AV2:AV77" si="18">AU2*J2</f>
        <v>178200</v>
      </c>
      <c r="AW2" s="58"/>
      <c r="AX2" s="59">
        <v>0.02</v>
      </c>
      <c r="AY2" s="57">
        <v>0.1</v>
      </c>
      <c r="AZ2" s="56">
        <v>6.0</v>
      </c>
      <c r="BA2" s="60">
        <f t="shared" ref="BA2:BA56" si="19">BB2/AZ2</f>
        <v>1485</v>
      </c>
      <c r="BB2" s="60">
        <f t="shared" ref="BB2:BB77" si="20">(AV2+AW2)*AY2/12*AZ2</f>
        <v>8910</v>
      </c>
      <c r="BC2" s="61">
        <f t="shared" ref="BC2:BC77" si="21">(AV2+AW2)*AX2</f>
        <v>3564</v>
      </c>
      <c r="BD2" s="62">
        <f t="shared" ref="BD2:BD77" si="22">BB2+BC2</f>
        <v>12474</v>
      </c>
      <c r="BE2" s="48"/>
      <c r="BF2" s="48"/>
      <c r="BG2" s="48"/>
      <c r="BH2" s="48"/>
      <c r="BI2" s="48"/>
      <c r="BJ2" s="48"/>
      <c r="BK2" s="48"/>
      <c r="BL2" s="48"/>
      <c r="BM2" s="48"/>
      <c r="BN2" s="48"/>
      <c r="BO2" s="48"/>
      <c r="BP2" s="48"/>
      <c r="BQ2" s="48"/>
      <c r="BR2" s="48"/>
      <c r="BS2" s="48"/>
      <c r="BT2" s="48"/>
      <c r="BU2" s="48"/>
      <c r="BV2" s="48"/>
      <c r="BW2" s="48"/>
      <c r="BX2" s="48"/>
    </row>
    <row r="3" ht="15.75" customHeight="1">
      <c r="A3" s="48" t="s">
        <v>79</v>
      </c>
      <c r="B3" s="48"/>
      <c r="C3" s="49">
        <v>42746.0</v>
      </c>
      <c r="D3" s="50"/>
      <c r="E3" s="50"/>
      <c r="F3" s="51"/>
      <c r="G3" s="51"/>
      <c r="H3" s="50"/>
      <c r="I3" s="50"/>
      <c r="J3" s="50"/>
      <c r="K3" s="52" t="str">
        <f t="shared" si="1"/>
        <v>#DIV/0!</v>
      </c>
      <c r="L3" s="50"/>
      <c r="M3" s="53" t="str">
        <f t="shared" si="2"/>
        <v/>
      </c>
      <c r="N3" s="54" t="str">
        <f t="shared" si="3"/>
        <v>#DIV/0!</v>
      </c>
      <c r="O3" s="55">
        <f t="shared" si="4"/>
        <v>0</v>
      </c>
      <c r="P3" s="50"/>
      <c r="Q3" s="56">
        <f t="shared" si="5"/>
        <v>0</v>
      </c>
      <c r="R3" s="56">
        <f t="shared" si="6"/>
        <v>0</v>
      </c>
      <c r="S3" s="56">
        <f t="shared" si="7"/>
        <v>0</v>
      </c>
      <c r="T3" s="56">
        <f t="shared" si="8"/>
        <v>0</v>
      </c>
      <c r="U3" s="56">
        <f t="shared" si="9"/>
        <v>0</v>
      </c>
      <c r="V3" s="57" t="str">
        <f t="shared" si="10"/>
        <v>#DIV/0!</v>
      </c>
      <c r="W3" s="56">
        <f t="shared" si="11"/>
        <v>0</v>
      </c>
      <c r="X3" s="53">
        <f t="shared" si="12"/>
        <v>0</v>
      </c>
      <c r="Y3" s="48"/>
      <c r="Z3" s="48"/>
      <c r="AA3" s="48"/>
      <c r="AB3" s="48">
        <f t="shared" si="13"/>
        <v>10000</v>
      </c>
      <c r="AC3" s="48">
        <v>8000.0</v>
      </c>
      <c r="AD3" s="48">
        <f t="shared" si="14"/>
        <v>0</v>
      </c>
      <c r="AE3" s="48">
        <f t="shared" si="15"/>
        <v>0</v>
      </c>
      <c r="AF3" s="48">
        <f t="shared" si="16"/>
        <v>0</v>
      </c>
      <c r="AG3" s="48">
        <f t="shared" si="17"/>
        <v>0</v>
      </c>
      <c r="AH3" s="48"/>
      <c r="AI3" s="48">
        <v>2000.0</v>
      </c>
      <c r="AJ3" s="48"/>
      <c r="AK3" s="48"/>
      <c r="AL3" s="48"/>
      <c r="AM3" s="48"/>
      <c r="AN3" s="48"/>
      <c r="AO3" s="48"/>
      <c r="AP3" s="48"/>
      <c r="AQ3" s="48"/>
      <c r="AR3" s="48"/>
      <c r="AS3" s="48"/>
      <c r="AT3" s="48"/>
      <c r="AU3" s="55">
        <v>0.9</v>
      </c>
      <c r="AV3" s="58">
        <f t="shared" si="18"/>
        <v>0</v>
      </c>
      <c r="AW3" s="58"/>
      <c r="AX3" s="59">
        <v>0.02</v>
      </c>
      <c r="AY3" s="57">
        <v>0.09</v>
      </c>
      <c r="AZ3" s="56">
        <v>3.0</v>
      </c>
      <c r="BA3" s="60">
        <f t="shared" si="19"/>
        <v>0</v>
      </c>
      <c r="BB3" s="60">
        <f t="shared" si="20"/>
        <v>0</v>
      </c>
      <c r="BC3" s="61">
        <f t="shared" si="21"/>
        <v>0</v>
      </c>
      <c r="BD3" s="62">
        <f t="shared" si="22"/>
        <v>0</v>
      </c>
      <c r="BE3" s="48"/>
      <c r="BF3" s="48"/>
      <c r="BG3" s="48"/>
      <c r="BH3" s="48"/>
      <c r="BI3" s="48"/>
      <c r="BJ3" s="48"/>
      <c r="BK3" s="48"/>
      <c r="BL3" s="48"/>
      <c r="BM3" s="48"/>
      <c r="BN3" s="48"/>
      <c r="BO3" s="48"/>
      <c r="BP3" s="48"/>
      <c r="BQ3" s="48"/>
      <c r="BR3" s="48"/>
      <c r="BS3" s="48"/>
      <c r="BT3" s="48"/>
      <c r="BU3" s="48"/>
      <c r="BV3" s="48"/>
      <c r="BW3" s="48"/>
      <c r="BX3" s="48"/>
    </row>
    <row r="4" ht="15.75" customHeight="1">
      <c r="A4" s="48" t="s">
        <v>80</v>
      </c>
      <c r="B4" s="48"/>
      <c r="C4" s="49">
        <v>42748.0</v>
      </c>
      <c r="D4" s="50"/>
      <c r="E4" s="50"/>
      <c r="F4" s="51" t="s">
        <v>57</v>
      </c>
      <c r="G4" s="51" t="s">
        <v>81</v>
      </c>
      <c r="H4" s="50">
        <v>862.0</v>
      </c>
      <c r="I4" s="50">
        <v>179000.0</v>
      </c>
      <c r="J4" s="50">
        <v>140000.0</v>
      </c>
      <c r="K4" s="52">
        <f t="shared" si="1"/>
        <v>162.412993</v>
      </c>
      <c r="L4" s="50">
        <v>205000.0</v>
      </c>
      <c r="M4" s="53">
        <f t="shared" si="2"/>
        <v>862</v>
      </c>
      <c r="N4" s="54">
        <f t="shared" si="3"/>
        <v>237.8190255</v>
      </c>
      <c r="O4" s="55">
        <f t="shared" si="4"/>
        <v>65000</v>
      </c>
      <c r="P4" s="50">
        <v>15000.0</v>
      </c>
      <c r="Q4" s="56">
        <f t="shared" si="5"/>
        <v>14350</v>
      </c>
      <c r="R4" s="56">
        <f t="shared" si="6"/>
        <v>8467.5</v>
      </c>
      <c r="S4" s="56">
        <f t="shared" si="7"/>
        <v>169350</v>
      </c>
      <c r="T4" s="56">
        <f t="shared" si="8"/>
        <v>35650</v>
      </c>
      <c r="U4" s="56">
        <f t="shared" si="9"/>
        <v>27182.5</v>
      </c>
      <c r="V4" s="57">
        <f t="shared" si="10"/>
        <v>0.2105107765</v>
      </c>
      <c r="W4" s="56">
        <f t="shared" si="11"/>
        <v>138750</v>
      </c>
      <c r="X4" s="53">
        <f t="shared" si="12"/>
        <v>1250</v>
      </c>
      <c r="Y4" s="48"/>
      <c r="Z4" s="48"/>
      <c r="AA4" s="48"/>
      <c r="AB4" s="48">
        <f t="shared" si="13"/>
        <v>18034</v>
      </c>
      <c r="AC4" s="48">
        <v>8000.0</v>
      </c>
      <c r="AD4" s="48">
        <f t="shared" si="14"/>
        <v>2000</v>
      </c>
      <c r="AE4" s="48">
        <f t="shared" si="15"/>
        <v>1724</v>
      </c>
      <c r="AF4" s="48">
        <f t="shared" si="16"/>
        <v>1724</v>
      </c>
      <c r="AG4" s="48">
        <f t="shared" si="17"/>
        <v>2586</v>
      </c>
      <c r="AH4" s="48"/>
      <c r="AI4" s="48">
        <v>2000.0</v>
      </c>
      <c r="AJ4" s="48"/>
      <c r="AK4" s="48"/>
      <c r="AL4" s="48"/>
      <c r="AM4" s="48"/>
      <c r="AN4" s="48"/>
      <c r="AO4" s="48"/>
      <c r="AP4" s="48"/>
      <c r="AQ4" s="48"/>
      <c r="AR4" s="48"/>
      <c r="AS4" s="48"/>
      <c r="AT4" s="48"/>
      <c r="AU4" s="55">
        <v>0.9</v>
      </c>
      <c r="AV4" s="58">
        <f t="shared" si="18"/>
        <v>126000</v>
      </c>
      <c r="AW4" s="58"/>
      <c r="AX4" s="59">
        <v>0.02</v>
      </c>
      <c r="AY4" s="57">
        <v>0.09</v>
      </c>
      <c r="AZ4" s="56">
        <v>3.0</v>
      </c>
      <c r="BA4" s="60">
        <f t="shared" si="19"/>
        <v>945</v>
      </c>
      <c r="BB4" s="60">
        <f t="shared" si="20"/>
        <v>2835</v>
      </c>
      <c r="BC4" s="61">
        <f t="shared" si="21"/>
        <v>2520</v>
      </c>
      <c r="BD4" s="62">
        <f t="shared" si="22"/>
        <v>5355</v>
      </c>
      <c r="BE4" s="48"/>
      <c r="BF4" s="48"/>
      <c r="BG4" s="48"/>
      <c r="BH4" s="48"/>
      <c r="BI4" s="48"/>
      <c r="BJ4" s="48"/>
      <c r="BK4" s="48"/>
      <c r="BL4" s="48"/>
      <c r="BM4" s="48"/>
      <c r="BN4" s="48"/>
      <c r="BO4" s="48"/>
      <c r="BP4" s="48"/>
      <c r="BQ4" s="48"/>
      <c r="BR4" s="48"/>
      <c r="BS4" s="48"/>
      <c r="BT4" s="48"/>
      <c r="BU4" s="48"/>
      <c r="BV4" s="48"/>
      <c r="BW4" s="48"/>
      <c r="BX4" s="48"/>
    </row>
    <row r="5" ht="15.75" customHeight="1">
      <c r="A5" s="48" t="s">
        <v>82</v>
      </c>
      <c r="B5" s="48"/>
      <c r="C5" s="49">
        <v>42761.0</v>
      </c>
      <c r="D5" s="50"/>
      <c r="E5" s="50"/>
      <c r="F5" s="51"/>
      <c r="G5" s="51"/>
      <c r="H5" s="50">
        <v>1165.0</v>
      </c>
      <c r="I5" s="50">
        <v>165000.0</v>
      </c>
      <c r="J5" s="50">
        <v>150000.0</v>
      </c>
      <c r="K5" s="52">
        <f t="shared" si="1"/>
        <v>128.7553648</v>
      </c>
      <c r="L5" s="50">
        <v>255000.0</v>
      </c>
      <c r="M5" s="53">
        <f t="shared" si="2"/>
        <v>1165</v>
      </c>
      <c r="N5" s="54">
        <f t="shared" si="3"/>
        <v>218.8841202</v>
      </c>
      <c r="O5" s="55">
        <f t="shared" si="4"/>
        <v>105000</v>
      </c>
      <c r="P5" s="50">
        <v>50000.0</v>
      </c>
      <c r="Q5" s="56">
        <f t="shared" si="5"/>
        <v>17850</v>
      </c>
      <c r="R5" s="56">
        <f t="shared" si="6"/>
        <v>10892.5</v>
      </c>
      <c r="S5" s="56">
        <f t="shared" si="7"/>
        <v>217850</v>
      </c>
      <c r="T5" s="56">
        <f t="shared" si="8"/>
        <v>37150</v>
      </c>
      <c r="U5" s="56">
        <f t="shared" si="9"/>
        <v>26257.5</v>
      </c>
      <c r="V5" s="57">
        <f t="shared" si="10"/>
        <v>0.1705301813</v>
      </c>
      <c r="W5" s="56">
        <f t="shared" si="11"/>
        <v>141250</v>
      </c>
      <c r="X5" s="53">
        <f t="shared" si="12"/>
        <v>8750</v>
      </c>
      <c r="Y5" s="48" t="s">
        <v>83</v>
      </c>
      <c r="Z5" s="48"/>
      <c r="AA5" s="48"/>
      <c r="AB5" s="48">
        <f t="shared" si="13"/>
        <v>18155</v>
      </c>
      <c r="AC5" s="48">
        <v>8000.0</v>
      </c>
      <c r="AD5" s="48">
        <f t="shared" si="14"/>
        <v>0</v>
      </c>
      <c r="AE5" s="48">
        <f t="shared" si="15"/>
        <v>2330</v>
      </c>
      <c r="AF5" s="48">
        <f t="shared" si="16"/>
        <v>2330</v>
      </c>
      <c r="AG5" s="48">
        <f t="shared" si="17"/>
        <v>3495</v>
      </c>
      <c r="AH5" s="48"/>
      <c r="AI5" s="48">
        <v>2000.0</v>
      </c>
      <c r="AJ5" s="48"/>
      <c r="AK5" s="48"/>
      <c r="AL5" s="48"/>
      <c r="AM5" s="48"/>
      <c r="AN5" s="48"/>
      <c r="AO5" s="48"/>
      <c r="AP5" s="48"/>
      <c r="AQ5" s="48"/>
      <c r="AR5" s="48"/>
      <c r="AS5" s="48"/>
      <c r="AT5" s="48"/>
      <c r="AU5" s="55">
        <v>0.9</v>
      </c>
      <c r="AV5" s="58">
        <f t="shared" si="18"/>
        <v>135000</v>
      </c>
      <c r="AW5" s="58"/>
      <c r="AX5" s="59">
        <v>0.02</v>
      </c>
      <c r="AY5" s="57">
        <v>0.09</v>
      </c>
      <c r="AZ5" s="56">
        <v>3.0</v>
      </c>
      <c r="BA5" s="60">
        <f t="shared" si="19"/>
        <v>1012.5</v>
      </c>
      <c r="BB5" s="60">
        <f t="shared" si="20"/>
        <v>3037.5</v>
      </c>
      <c r="BC5" s="61">
        <f t="shared" si="21"/>
        <v>2700</v>
      </c>
      <c r="BD5" s="62">
        <f t="shared" si="22"/>
        <v>5737.5</v>
      </c>
      <c r="BE5" s="48"/>
      <c r="BF5" s="48"/>
      <c r="BG5" s="48"/>
      <c r="BH5" s="48"/>
      <c r="BI5" s="48"/>
      <c r="BJ5" s="48"/>
      <c r="BK5" s="48"/>
      <c r="BL5" s="48"/>
      <c r="BM5" s="48"/>
      <c r="BN5" s="48"/>
      <c r="BO5" s="48"/>
      <c r="BP5" s="48"/>
      <c r="BQ5" s="48"/>
      <c r="BR5" s="48"/>
      <c r="BS5" s="48"/>
      <c r="BT5" s="48"/>
      <c r="BU5" s="48"/>
      <c r="BV5" s="48"/>
      <c r="BW5" s="48"/>
      <c r="BX5" s="48"/>
    </row>
    <row r="6" ht="15.75" customHeight="1">
      <c r="A6" s="48" t="s">
        <v>84</v>
      </c>
      <c r="B6" s="48" t="s">
        <v>85</v>
      </c>
      <c r="C6" s="49">
        <v>42762.0</v>
      </c>
      <c r="D6" s="50"/>
      <c r="E6" s="50"/>
      <c r="F6" s="51" t="s">
        <v>57</v>
      </c>
      <c r="G6" s="51" t="s">
        <v>81</v>
      </c>
      <c r="H6" s="50">
        <v>764.0</v>
      </c>
      <c r="I6" s="50">
        <v>200000.0</v>
      </c>
      <c r="J6" s="50">
        <v>185000.0</v>
      </c>
      <c r="K6" s="52">
        <f t="shared" si="1"/>
        <v>242.1465969</v>
      </c>
      <c r="L6" s="50">
        <v>260000.0</v>
      </c>
      <c r="M6" s="53">
        <f t="shared" si="2"/>
        <v>764</v>
      </c>
      <c r="N6" s="54">
        <f t="shared" si="3"/>
        <v>340.3141361</v>
      </c>
      <c r="O6" s="55">
        <f t="shared" si="4"/>
        <v>75000</v>
      </c>
      <c r="P6" s="50">
        <v>20000.0</v>
      </c>
      <c r="Q6" s="56">
        <f>MULTIPLY(0.06,L6)</f>
        <v>15600</v>
      </c>
      <c r="R6" s="56">
        <f t="shared" si="6"/>
        <v>11030</v>
      </c>
      <c r="S6" s="56">
        <f t="shared" si="7"/>
        <v>220600</v>
      </c>
      <c r="T6" s="56">
        <f t="shared" si="8"/>
        <v>39400</v>
      </c>
      <c r="U6" s="56">
        <f t="shared" si="9"/>
        <v>28370</v>
      </c>
      <c r="V6" s="57">
        <f t="shared" si="10"/>
        <v>0.1786038078</v>
      </c>
      <c r="W6" s="56">
        <f t="shared" si="11"/>
        <v>175000</v>
      </c>
      <c r="X6" s="53">
        <f t="shared" si="12"/>
        <v>10000</v>
      </c>
      <c r="Y6" s="48"/>
      <c r="Z6" s="48"/>
      <c r="AA6" s="48"/>
      <c r="AB6" s="48">
        <f t="shared" si="13"/>
        <v>17348</v>
      </c>
      <c r="AC6" s="48">
        <v>8000.0</v>
      </c>
      <c r="AD6" s="48">
        <f t="shared" si="14"/>
        <v>2000</v>
      </c>
      <c r="AE6" s="48">
        <f t="shared" si="15"/>
        <v>1528</v>
      </c>
      <c r="AF6" s="48">
        <f t="shared" si="16"/>
        <v>1528</v>
      </c>
      <c r="AG6" s="48">
        <f t="shared" si="17"/>
        <v>2292</v>
      </c>
      <c r="AH6" s="48"/>
      <c r="AI6" s="48">
        <v>2000.0</v>
      </c>
      <c r="AJ6" s="48"/>
      <c r="AK6" s="48"/>
      <c r="AL6" s="48"/>
      <c r="AM6" s="48"/>
      <c r="AN6" s="48"/>
      <c r="AO6" s="48"/>
      <c r="AP6" s="48"/>
      <c r="AQ6" s="48"/>
      <c r="AR6" s="48"/>
      <c r="AS6" s="48"/>
      <c r="AT6" s="48"/>
      <c r="AU6" s="55">
        <v>0.9</v>
      </c>
      <c r="AV6" s="58">
        <f t="shared" si="18"/>
        <v>166500</v>
      </c>
      <c r="AW6" s="58"/>
      <c r="AX6" s="59">
        <v>0.02</v>
      </c>
      <c r="AY6" s="57">
        <v>0.09</v>
      </c>
      <c r="AZ6" s="56">
        <v>3.0</v>
      </c>
      <c r="BA6" s="60">
        <f t="shared" si="19"/>
        <v>1248.75</v>
      </c>
      <c r="BB6" s="60">
        <f t="shared" si="20"/>
        <v>3746.25</v>
      </c>
      <c r="BC6" s="61">
        <f t="shared" si="21"/>
        <v>3330</v>
      </c>
      <c r="BD6" s="62">
        <f t="shared" si="22"/>
        <v>7076.25</v>
      </c>
      <c r="BE6" s="48"/>
      <c r="BF6" s="48"/>
      <c r="BG6" s="48"/>
      <c r="BH6" s="48"/>
      <c r="BI6" s="48"/>
      <c r="BJ6" s="48"/>
      <c r="BK6" s="48"/>
      <c r="BL6" s="48"/>
      <c r="BM6" s="48"/>
      <c r="BN6" s="48"/>
      <c r="BO6" s="48"/>
      <c r="BP6" s="48"/>
      <c r="BQ6" s="48"/>
      <c r="BR6" s="48"/>
      <c r="BS6" s="48"/>
      <c r="BT6" s="48"/>
      <c r="BU6" s="48"/>
      <c r="BV6" s="48"/>
      <c r="BW6" s="48"/>
      <c r="BX6" s="48"/>
    </row>
    <row r="7" ht="15.75" customHeight="1">
      <c r="A7" s="48" t="s">
        <v>86</v>
      </c>
      <c r="B7" s="48" t="s">
        <v>87</v>
      </c>
      <c r="C7" s="49">
        <v>42766.0</v>
      </c>
      <c r="D7" s="50"/>
      <c r="E7" s="50"/>
      <c r="F7" s="51"/>
      <c r="G7" s="51"/>
      <c r="H7" s="50"/>
      <c r="I7" s="50">
        <v>110000.0</v>
      </c>
      <c r="J7" s="50">
        <v>90000.0</v>
      </c>
      <c r="K7" s="52" t="str">
        <f t="shared" si="1"/>
        <v>#DIV/0!</v>
      </c>
      <c r="L7" s="50">
        <v>150000.0</v>
      </c>
      <c r="M7" s="53" t="str">
        <f t="shared" si="2"/>
        <v/>
      </c>
      <c r="N7" s="54" t="str">
        <f t="shared" si="3"/>
        <v>#DIV/0!</v>
      </c>
      <c r="O7" s="55">
        <f t="shared" si="4"/>
        <v>60000</v>
      </c>
      <c r="P7" s="50">
        <v>20000.0</v>
      </c>
      <c r="Q7" s="56">
        <f t="shared" ref="Q7:Q10" si="23">MULTIPLY(0.04,L7)</f>
        <v>6000</v>
      </c>
      <c r="R7" s="56">
        <f t="shared" si="6"/>
        <v>5800</v>
      </c>
      <c r="S7" s="56">
        <f t="shared" si="7"/>
        <v>116000</v>
      </c>
      <c r="T7" s="56">
        <f t="shared" si="8"/>
        <v>34000</v>
      </c>
      <c r="U7" s="56">
        <f t="shared" si="9"/>
        <v>28200</v>
      </c>
      <c r="V7" s="57">
        <f t="shared" si="10"/>
        <v>0.2931034483</v>
      </c>
      <c r="W7" s="56">
        <f t="shared" si="11"/>
        <v>92500</v>
      </c>
      <c r="X7" s="53">
        <f t="shared" si="12"/>
        <v>-2500</v>
      </c>
      <c r="Y7" s="48"/>
      <c r="Z7" s="48"/>
      <c r="AA7" s="48"/>
      <c r="AB7" s="48">
        <f t="shared" si="13"/>
        <v>10000</v>
      </c>
      <c r="AC7" s="48">
        <v>8000.0</v>
      </c>
      <c r="AD7" s="48">
        <f t="shared" si="14"/>
        <v>0</v>
      </c>
      <c r="AE7" s="48">
        <f t="shared" si="15"/>
        <v>0</v>
      </c>
      <c r="AF7" s="48">
        <f t="shared" si="16"/>
        <v>0</v>
      </c>
      <c r="AG7" s="48">
        <f t="shared" si="17"/>
        <v>0</v>
      </c>
      <c r="AH7" s="48"/>
      <c r="AI7" s="48">
        <v>2000.0</v>
      </c>
      <c r="AJ7" s="48"/>
      <c r="AK7" s="48"/>
      <c r="AL7" s="48"/>
      <c r="AM7" s="48"/>
      <c r="AN7" s="48"/>
      <c r="AO7" s="48"/>
      <c r="AP7" s="48"/>
      <c r="AQ7" s="48"/>
      <c r="AR7" s="48"/>
      <c r="AS7" s="48"/>
      <c r="AT7" s="48"/>
      <c r="AU7" s="55">
        <v>0.9</v>
      </c>
      <c r="AV7" s="58">
        <f t="shared" si="18"/>
        <v>81000</v>
      </c>
      <c r="AW7" s="58"/>
      <c r="AX7" s="59">
        <v>0.02</v>
      </c>
      <c r="AY7" s="57">
        <v>0.09</v>
      </c>
      <c r="AZ7" s="56">
        <v>3.0</v>
      </c>
      <c r="BA7" s="60">
        <f t="shared" si="19"/>
        <v>607.5</v>
      </c>
      <c r="BB7" s="60">
        <f t="shared" si="20"/>
        <v>1822.5</v>
      </c>
      <c r="BC7" s="61">
        <f t="shared" si="21"/>
        <v>1620</v>
      </c>
      <c r="BD7" s="62">
        <f t="shared" si="22"/>
        <v>3442.5</v>
      </c>
      <c r="BE7" s="48"/>
      <c r="BF7" s="48"/>
      <c r="BG7" s="48"/>
      <c r="BH7" s="48"/>
      <c r="BI7" s="48"/>
      <c r="BJ7" s="48"/>
      <c r="BK7" s="48"/>
      <c r="BL7" s="48"/>
      <c r="BM7" s="48"/>
      <c r="BN7" s="48"/>
      <c r="BO7" s="48"/>
      <c r="BP7" s="48"/>
      <c r="BQ7" s="48"/>
      <c r="BR7" s="48"/>
      <c r="BS7" s="48"/>
      <c r="BT7" s="48"/>
      <c r="BU7" s="48"/>
      <c r="BV7" s="48"/>
      <c r="BW7" s="48"/>
      <c r="BX7" s="48"/>
    </row>
    <row r="8" ht="15.75" customHeight="1">
      <c r="A8" s="48" t="s">
        <v>88</v>
      </c>
      <c r="B8" s="48" t="s">
        <v>89</v>
      </c>
      <c r="C8" s="49">
        <v>42767.0</v>
      </c>
      <c r="D8" s="50"/>
      <c r="E8" s="50"/>
      <c r="F8" s="51"/>
      <c r="G8" s="51"/>
      <c r="H8" s="50"/>
      <c r="I8" s="50"/>
      <c r="J8" s="50"/>
      <c r="K8" s="52" t="str">
        <f t="shared" si="1"/>
        <v>#DIV/0!</v>
      </c>
      <c r="L8" s="50"/>
      <c r="M8" s="53" t="str">
        <f t="shared" si="2"/>
        <v/>
      </c>
      <c r="N8" s="54" t="str">
        <f t="shared" si="3"/>
        <v>#DIV/0!</v>
      </c>
      <c r="O8" s="55">
        <f t="shared" si="4"/>
        <v>0</v>
      </c>
      <c r="P8" s="50"/>
      <c r="Q8" s="56">
        <f t="shared" si="23"/>
        <v>0</v>
      </c>
      <c r="R8" s="56">
        <f t="shared" si="6"/>
        <v>0</v>
      </c>
      <c r="S8" s="56">
        <f t="shared" si="7"/>
        <v>0</v>
      </c>
      <c r="T8" s="56">
        <f t="shared" si="8"/>
        <v>0</v>
      </c>
      <c r="U8" s="56">
        <f t="shared" si="9"/>
        <v>0</v>
      </c>
      <c r="V8" s="57" t="str">
        <f t="shared" si="10"/>
        <v>#DIV/0!</v>
      </c>
      <c r="W8" s="56">
        <f t="shared" si="11"/>
        <v>0</v>
      </c>
      <c r="X8" s="53">
        <f t="shared" si="12"/>
        <v>0</v>
      </c>
      <c r="Y8" s="48"/>
      <c r="Z8" s="48"/>
      <c r="AA8" s="48"/>
      <c r="AB8" s="48">
        <f t="shared" si="13"/>
        <v>10000</v>
      </c>
      <c r="AC8" s="48">
        <v>8000.0</v>
      </c>
      <c r="AD8" s="48">
        <f t="shared" si="14"/>
        <v>0</v>
      </c>
      <c r="AE8" s="48">
        <f t="shared" si="15"/>
        <v>0</v>
      </c>
      <c r="AF8" s="48">
        <f t="shared" si="16"/>
        <v>0</v>
      </c>
      <c r="AG8" s="48">
        <f t="shared" si="17"/>
        <v>0</v>
      </c>
      <c r="AH8" s="48"/>
      <c r="AI8" s="48">
        <v>2000.0</v>
      </c>
      <c r="AJ8" s="48"/>
      <c r="AK8" s="48"/>
      <c r="AL8" s="48"/>
      <c r="AM8" s="48"/>
      <c r="AN8" s="48"/>
      <c r="AO8" s="48"/>
      <c r="AP8" s="48"/>
      <c r="AQ8" s="48"/>
      <c r="AR8" s="48"/>
      <c r="AS8" s="48"/>
      <c r="AT8" s="48"/>
      <c r="AU8" s="55">
        <v>0.9</v>
      </c>
      <c r="AV8" s="58">
        <f t="shared" si="18"/>
        <v>0</v>
      </c>
      <c r="AW8" s="58"/>
      <c r="AX8" s="59">
        <v>0.02</v>
      </c>
      <c r="AY8" s="57">
        <v>0.09</v>
      </c>
      <c r="AZ8" s="56">
        <v>3.0</v>
      </c>
      <c r="BA8" s="60">
        <f t="shared" si="19"/>
        <v>0</v>
      </c>
      <c r="BB8" s="60">
        <f t="shared" si="20"/>
        <v>0</v>
      </c>
      <c r="BC8" s="61">
        <f t="shared" si="21"/>
        <v>0</v>
      </c>
      <c r="BD8" s="62">
        <f t="shared" si="22"/>
        <v>0</v>
      </c>
      <c r="BE8" s="48"/>
      <c r="BF8" s="48"/>
      <c r="BG8" s="48"/>
      <c r="BH8" s="48"/>
      <c r="BI8" s="48"/>
      <c r="BJ8" s="48"/>
      <c r="BK8" s="48"/>
      <c r="BL8" s="48"/>
      <c r="BM8" s="48"/>
      <c r="BN8" s="48"/>
      <c r="BO8" s="48"/>
      <c r="BP8" s="48"/>
      <c r="BQ8" s="48"/>
      <c r="BR8" s="48"/>
      <c r="BS8" s="48"/>
      <c r="BT8" s="48"/>
      <c r="BU8" s="48"/>
      <c r="BV8" s="48"/>
      <c r="BW8" s="48"/>
      <c r="BX8" s="48"/>
    </row>
    <row r="9" ht="15.75" customHeight="1">
      <c r="A9" s="48" t="s">
        <v>90</v>
      </c>
      <c r="B9" s="48"/>
      <c r="C9" s="49">
        <v>42776.0</v>
      </c>
      <c r="D9" s="50"/>
      <c r="E9" s="50" t="s">
        <v>91</v>
      </c>
      <c r="F9" s="51" t="s">
        <v>92</v>
      </c>
      <c r="G9" s="51" t="s">
        <v>93</v>
      </c>
      <c r="H9" s="50">
        <v>3103.0</v>
      </c>
      <c r="I9" s="50">
        <v>550000.0</v>
      </c>
      <c r="J9" s="50">
        <v>550000.0</v>
      </c>
      <c r="K9" s="52">
        <f t="shared" si="1"/>
        <v>177.2478247</v>
      </c>
      <c r="L9" s="50">
        <v>750000.0</v>
      </c>
      <c r="M9" s="53">
        <f t="shared" si="2"/>
        <v>3103</v>
      </c>
      <c r="N9" s="54">
        <f t="shared" si="3"/>
        <v>241.7015791</v>
      </c>
      <c r="O9" s="55">
        <f t="shared" si="4"/>
        <v>200000</v>
      </c>
      <c r="P9" s="63">
        <v>80000.0</v>
      </c>
      <c r="Q9" s="56">
        <f t="shared" si="23"/>
        <v>30000</v>
      </c>
      <c r="R9" s="56">
        <f t="shared" si="6"/>
        <v>33000</v>
      </c>
      <c r="S9" s="56">
        <f t="shared" si="7"/>
        <v>660000</v>
      </c>
      <c r="T9" s="56">
        <f t="shared" si="8"/>
        <v>90000</v>
      </c>
      <c r="U9" s="56">
        <f t="shared" si="9"/>
        <v>57000</v>
      </c>
      <c r="V9" s="57">
        <f t="shared" si="10"/>
        <v>0.1363636364</v>
      </c>
      <c r="W9" s="56">
        <f t="shared" si="11"/>
        <v>482500</v>
      </c>
      <c r="X9" s="53">
        <f t="shared" si="12"/>
        <v>67500</v>
      </c>
      <c r="Y9" s="48"/>
      <c r="Z9" s="48"/>
      <c r="AA9" s="48"/>
      <c r="AB9" s="48">
        <f t="shared" si="13"/>
        <v>39721</v>
      </c>
      <c r="AC9" s="48">
        <v>8000.0</v>
      </c>
      <c r="AD9" s="48">
        <f t="shared" si="14"/>
        <v>8000</v>
      </c>
      <c r="AE9" s="48">
        <f t="shared" si="15"/>
        <v>6206</v>
      </c>
      <c r="AF9" s="48">
        <f t="shared" si="16"/>
        <v>6206</v>
      </c>
      <c r="AG9" s="48">
        <f t="shared" si="17"/>
        <v>9309</v>
      </c>
      <c r="AH9" s="48"/>
      <c r="AI9" s="48">
        <v>2000.0</v>
      </c>
      <c r="AJ9" s="48"/>
      <c r="AK9" s="48"/>
      <c r="AL9" s="48"/>
      <c r="AM9" s="48"/>
      <c r="AN9" s="48"/>
      <c r="AO9" s="48"/>
      <c r="AP9" s="48"/>
      <c r="AQ9" s="48"/>
      <c r="AR9" s="48"/>
      <c r="AS9" s="48"/>
      <c r="AT9" s="48"/>
      <c r="AU9" s="55">
        <v>0.9</v>
      </c>
      <c r="AV9" s="58">
        <f t="shared" si="18"/>
        <v>495000</v>
      </c>
      <c r="AW9" s="58"/>
      <c r="AX9" s="59">
        <v>0.02</v>
      </c>
      <c r="AY9" s="57">
        <v>0.09</v>
      </c>
      <c r="AZ9" s="56">
        <v>3.0</v>
      </c>
      <c r="BA9" s="60">
        <f t="shared" si="19"/>
        <v>3712.5</v>
      </c>
      <c r="BB9" s="60">
        <f t="shared" si="20"/>
        <v>11137.5</v>
      </c>
      <c r="BC9" s="61">
        <f t="shared" si="21"/>
        <v>9900</v>
      </c>
      <c r="BD9" s="62">
        <f t="shared" si="22"/>
        <v>21037.5</v>
      </c>
      <c r="BE9" s="48"/>
      <c r="BF9" s="48"/>
      <c r="BG9" s="48"/>
      <c r="BH9" s="48"/>
      <c r="BI9" s="48"/>
      <c r="BJ9" s="48"/>
      <c r="BK9" s="48"/>
      <c r="BL9" s="48"/>
      <c r="BM9" s="48"/>
      <c r="BN9" s="48"/>
      <c r="BO9" s="48"/>
      <c r="BP9" s="48"/>
      <c r="BQ9" s="48"/>
      <c r="BR9" s="48"/>
      <c r="BS9" s="48"/>
      <c r="BT9" s="48"/>
      <c r="BU9" s="48"/>
      <c r="BV9" s="48"/>
      <c r="BW9" s="48"/>
      <c r="BX9" s="48"/>
    </row>
    <row r="10" ht="15.75" customHeight="1">
      <c r="A10" s="48" t="s">
        <v>94</v>
      </c>
      <c r="B10" s="48" t="s">
        <v>95</v>
      </c>
      <c r="C10" s="49">
        <v>42782.0</v>
      </c>
      <c r="D10" s="50"/>
      <c r="E10" s="50" t="s">
        <v>96</v>
      </c>
      <c r="F10" s="51" t="s">
        <v>56</v>
      </c>
      <c r="G10" s="51" t="s">
        <v>57</v>
      </c>
      <c r="H10" s="50">
        <v>1656.0</v>
      </c>
      <c r="I10" s="50">
        <v>156000.0</v>
      </c>
      <c r="J10" s="50">
        <v>140000.0</v>
      </c>
      <c r="K10" s="52">
        <f t="shared" si="1"/>
        <v>84.5410628</v>
      </c>
      <c r="L10" s="50">
        <v>290000.0</v>
      </c>
      <c r="M10" s="53">
        <f t="shared" si="2"/>
        <v>1656</v>
      </c>
      <c r="N10" s="54">
        <f t="shared" si="3"/>
        <v>175.1207729</v>
      </c>
      <c r="O10" s="55">
        <f t="shared" si="4"/>
        <v>150000</v>
      </c>
      <c r="P10" s="50">
        <v>100000.0</v>
      </c>
      <c r="Q10" s="56">
        <f t="shared" si="23"/>
        <v>11600</v>
      </c>
      <c r="R10" s="56">
        <f t="shared" si="6"/>
        <v>12580</v>
      </c>
      <c r="S10" s="56">
        <f t="shared" si="7"/>
        <v>251600</v>
      </c>
      <c r="T10" s="56">
        <f t="shared" si="8"/>
        <v>38400</v>
      </c>
      <c r="U10" s="56">
        <f t="shared" si="9"/>
        <v>25820</v>
      </c>
      <c r="V10" s="57">
        <f t="shared" si="10"/>
        <v>0.1526232114</v>
      </c>
      <c r="W10" s="56">
        <f t="shared" si="11"/>
        <v>117500</v>
      </c>
      <c r="X10" s="53">
        <f t="shared" si="12"/>
        <v>22500</v>
      </c>
      <c r="Y10" s="48"/>
      <c r="Z10" s="48"/>
      <c r="AA10" s="48"/>
      <c r="AB10" s="48">
        <f t="shared" si="13"/>
        <v>25592</v>
      </c>
      <c r="AC10" s="48">
        <v>8000.0</v>
      </c>
      <c r="AD10" s="48">
        <f t="shared" si="14"/>
        <v>4000</v>
      </c>
      <c r="AE10" s="48">
        <f t="shared" si="15"/>
        <v>3312</v>
      </c>
      <c r="AF10" s="48">
        <f t="shared" si="16"/>
        <v>3312</v>
      </c>
      <c r="AG10" s="48">
        <f t="shared" si="17"/>
        <v>4968</v>
      </c>
      <c r="AH10" s="48"/>
      <c r="AI10" s="48">
        <v>2000.0</v>
      </c>
      <c r="AJ10" s="48"/>
      <c r="AK10" s="48"/>
      <c r="AL10" s="48"/>
      <c r="AM10" s="48"/>
      <c r="AN10" s="48"/>
      <c r="AO10" s="48"/>
      <c r="AP10" s="48"/>
      <c r="AQ10" s="48"/>
      <c r="AR10" s="48"/>
      <c r="AS10" s="48"/>
      <c r="AT10" s="48"/>
      <c r="AU10" s="55">
        <v>0.9</v>
      </c>
      <c r="AV10" s="58">
        <f t="shared" si="18"/>
        <v>126000</v>
      </c>
      <c r="AW10" s="58"/>
      <c r="AX10" s="59">
        <v>0.02</v>
      </c>
      <c r="AY10" s="57">
        <v>0.09</v>
      </c>
      <c r="AZ10" s="56">
        <v>3.0</v>
      </c>
      <c r="BA10" s="60">
        <f t="shared" si="19"/>
        <v>945</v>
      </c>
      <c r="BB10" s="60">
        <f t="shared" si="20"/>
        <v>2835</v>
      </c>
      <c r="BC10" s="61">
        <f t="shared" si="21"/>
        <v>2520</v>
      </c>
      <c r="BD10" s="62">
        <f t="shared" si="22"/>
        <v>5355</v>
      </c>
      <c r="BE10" s="48"/>
      <c r="BF10" s="48"/>
      <c r="BG10" s="48"/>
      <c r="BH10" s="48"/>
      <c r="BI10" s="48"/>
      <c r="BJ10" s="48"/>
      <c r="BK10" s="48"/>
      <c r="BL10" s="48"/>
      <c r="BM10" s="48"/>
      <c r="BN10" s="48"/>
      <c r="BO10" s="48"/>
      <c r="BP10" s="48"/>
      <c r="BQ10" s="48"/>
      <c r="BR10" s="48"/>
      <c r="BS10" s="48"/>
      <c r="BT10" s="48"/>
      <c r="BU10" s="48"/>
      <c r="BV10" s="48"/>
      <c r="BW10" s="48"/>
      <c r="BX10" s="48"/>
    </row>
    <row r="11" ht="15.75" customHeight="1">
      <c r="A11" s="48" t="s">
        <v>97</v>
      </c>
      <c r="B11" s="48"/>
      <c r="C11" s="49">
        <v>42786.0</v>
      </c>
      <c r="D11" s="50"/>
      <c r="E11" s="50"/>
      <c r="F11" s="51"/>
      <c r="G11" s="51"/>
      <c r="H11" s="50"/>
      <c r="I11" s="50"/>
      <c r="J11" s="50">
        <v>328000.0</v>
      </c>
      <c r="K11" s="52" t="str">
        <f t="shared" si="1"/>
        <v>#DIV/0!</v>
      </c>
      <c r="L11" s="50">
        <v>475000.0</v>
      </c>
      <c r="M11" s="53" t="str">
        <f t="shared" si="2"/>
        <v/>
      </c>
      <c r="N11" s="54" t="str">
        <f t="shared" si="3"/>
        <v>#DIV/0!</v>
      </c>
      <c r="O11" s="55">
        <f t="shared" si="4"/>
        <v>147000</v>
      </c>
      <c r="P11" s="50">
        <v>60000.0</v>
      </c>
      <c r="Q11" s="56">
        <f t="shared" ref="Q11:Q20" si="24">MULTIPLY(0.07,L11)</f>
        <v>33250</v>
      </c>
      <c r="R11" s="56">
        <f t="shared" si="6"/>
        <v>21062.5</v>
      </c>
      <c r="S11" s="56">
        <f t="shared" si="7"/>
        <v>421250</v>
      </c>
      <c r="T11" s="56">
        <f t="shared" si="8"/>
        <v>53750</v>
      </c>
      <c r="U11" s="56">
        <f t="shared" si="9"/>
        <v>32687.5</v>
      </c>
      <c r="V11" s="57">
        <f t="shared" si="10"/>
        <v>0.1275964392</v>
      </c>
      <c r="W11" s="56">
        <f t="shared" si="11"/>
        <v>296250</v>
      </c>
      <c r="X11" s="53">
        <f t="shared" si="12"/>
        <v>31750</v>
      </c>
      <c r="Y11" s="48"/>
      <c r="Z11" s="48"/>
      <c r="AA11" s="48"/>
      <c r="AB11" s="48">
        <f t="shared" si="13"/>
        <v>10000</v>
      </c>
      <c r="AC11" s="48">
        <v>8000.0</v>
      </c>
      <c r="AD11" s="48">
        <f t="shared" si="14"/>
        <v>0</v>
      </c>
      <c r="AE11" s="48">
        <f t="shared" si="15"/>
        <v>0</v>
      </c>
      <c r="AF11" s="48">
        <f t="shared" si="16"/>
        <v>0</v>
      </c>
      <c r="AG11" s="48">
        <f t="shared" si="17"/>
        <v>0</v>
      </c>
      <c r="AH11" s="48"/>
      <c r="AI11" s="48">
        <v>2000.0</v>
      </c>
      <c r="AJ11" s="48"/>
      <c r="AK11" s="48"/>
      <c r="AL11" s="48"/>
      <c r="AM11" s="48"/>
      <c r="AN11" s="48"/>
      <c r="AO11" s="48"/>
      <c r="AP11" s="48"/>
      <c r="AQ11" s="48"/>
      <c r="AR11" s="48"/>
      <c r="AS11" s="48"/>
      <c r="AT11" s="48"/>
      <c r="AU11" s="55">
        <v>0.9</v>
      </c>
      <c r="AV11" s="58">
        <f t="shared" si="18"/>
        <v>295200</v>
      </c>
      <c r="AW11" s="58"/>
      <c r="AX11" s="59">
        <v>0.02</v>
      </c>
      <c r="AY11" s="57">
        <v>0.09</v>
      </c>
      <c r="AZ11" s="56">
        <v>3.0</v>
      </c>
      <c r="BA11" s="60">
        <f t="shared" si="19"/>
        <v>2214</v>
      </c>
      <c r="BB11" s="60">
        <f t="shared" si="20"/>
        <v>6642</v>
      </c>
      <c r="BC11" s="61">
        <f t="shared" si="21"/>
        <v>5904</v>
      </c>
      <c r="BD11" s="62">
        <f t="shared" si="22"/>
        <v>12546</v>
      </c>
      <c r="BE11" s="48"/>
      <c r="BF11" s="48"/>
      <c r="BG11" s="48"/>
      <c r="BH11" s="48"/>
      <c r="BI11" s="48"/>
      <c r="BJ11" s="48"/>
      <c r="BK11" s="48"/>
      <c r="BL11" s="48"/>
      <c r="BM11" s="48"/>
      <c r="BN11" s="48"/>
      <c r="BO11" s="48"/>
      <c r="BP11" s="48"/>
      <c r="BQ11" s="48"/>
      <c r="BR11" s="48"/>
      <c r="BS11" s="48"/>
      <c r="BT11" s="48"/>
      <c r="BU11" s="48"/>
      <c r="BV11" s="48"/>
      <c r="BW11" s="48"/>
      <c r="BX11" s="48"/>
    </row>
    <row r="12" ht="15.75" customHeight="1">
      <c r="A12" s="48" t="s">
        <v>79</v>
      </c>
      <c r="B12" s="48" t="s">
        <v>98</v>
      </c>
      <c r="C12" s="49">
        <v>42786.0</v>
      </c>
      <c r="D12" s="50"/>
      <c r="E12" s="50"/>
      <c r="F12" s="51"/>
      <c r="G12" s="51"/>
      <c r="H12" s="50"/>
      <c r="I12" s="50"/>
      <c r="J12" s="50"/>
      <c r="K12" s="52" t="str">
        <f t="shared" si="1"/>
        <v>#DIV/0!</v>
      </c>
      <c r="L12" s="50"/>
      <c r="M12" s="53" t="str">
        <f t="shared" si="2"/>
        <v/>
      </c>
      <c r="N12" s="54" t="str">
        <f t="shared" si="3"/>
        <v>#DIV/0!</v>
      </c>
      <c r="O12" s="55">
        <f t="shared" si="4"/>
        <v>0</v>
      </c>
      <c r="P12" s="50"/>
      <c r="Q12" s="56">
        <f t="shared" si="24"/>
        <v>0</v>
      </c>
      <c r="R12" s="56">
        <f t="shared" si="6"/>
        <v>0</v>
      </c>
      <c r="S12" s="56">
        <f t="shared" si="7"/>
        <v>0</v>
      </c>
      <c r="T12" s="56">
        <f t="shared" si="8"/>
        <v>0</v>
      </c>
      <c r="U12" s="56">
        <f t="shared" si="9"/>
        <v>0</v>
      </c>
      <c r="V12" s="57" t="str">
        <f t="shared" si="10"/>
        <v>#DIV/0!</v>
      </c>
      <c r="W12" s="56">
        <f t="shared" si="11"/>
        <v>0</v>
      </c>
      <c r="X12" s="53">
        <f t="shared" si="12"/>
        <v>0</v>
      </c>
      <c r="Y12" s="48"/>
      <c r="Z12" s="48"/>
      <c r="AA12" s="48"/>
      <c r="AB12" s="48">
        <f t="shared" si="13"/>
        <v>10000</v>
      </c>
      <c r="AC12" s="48">
        <v>8000.0</v>
      </c>
      <c r="AD12" s="48">
        <f t="shared" si="14"/>
        <v>0</v>
      </c>
      <c r="AE12" s="48">
        <f t="shared" si="15"/>
        <v>0</v>
      </c>
      <c r="AF12" s="48">
        <f t="shared" si="16"/>
        <v>0</v>
      </c>
      <c r="AG12" s="48">
        <f t="shared" si="17"/>
        <v>0</v>
      </c>
      <c r="AH12" s="48"/>
      <c r="AI12" s="48">
        <v>2000.0</v>
      </c>
      <c r="AJ12" s="48"/>
      <c r="AK12" s="48"/>
      <c r="AL12" s="48"/>
      <c r="AM12" s="48"/>
      <c r="AN12" s="48"/>
      <c r="AO12" s="48"/>
      <c r="AP12" s="48"/>
      <c r="AQ12" s="48"/>
      <c r="AR12" s="48"/>
      <c r="AS12" s="48"/>
      <c r="AT12" s="48"/>
      <c r="AU12" s="55">
        <v>0.9</v>
      </c>
      <c r="AV12" s="58">
        <f t="shared" si="18"/>
        <v>0</v>
      </c>
      <c r="AW12" s="58"/>
      <c r="AX12" s="59">
        <v>0.02</v>
      </c>
      <c r="AY12" s="57">
        <v>0.09</v>
      </c>
      <c r="AZ12" s="56">
        <v>3.0</v>
      </c>
      <c r="BA12" s="60">
        <f t="shared" si="19"/>
        <v>0</v>
      </c>
      <c r="BB12" s="60">
        <f t="shared" si="20"/>
        <v>0</v>
      </c>
      <c r="BC12" s="61">
        <f t="shared" si="21"/>
        <v>0</v>
      </c>
      <c r="BD12" s="62">
        <f t="shared" si="22"/>
        <v>0</v>
      </c>
      <c r="BE12" s="48"/>
      <c r="BF12" s="48"/>
      <c r="BG12" s="48"/>
      <c r="BH12" s="48"/>
      <c r="BI12" s="48"/>
      <c r="BJ12" s="48"/>
      <c r="BK12" s="48"/>
      <c r="BL12" s="48"/>
      <c r="BM12" s="48"/>
      <c r="BN12" s="48"/>
      <c r="BO12" s="48"/>
      <c r="BP12" s="48"/>
      <c r="BQ12" s="48"/>
      <c r="BR12" s="48"/>
      <c r="BS12" s="48"/>
      <c r="BT12" s="48"/>
      <c r="BU12" s="48"/>
      <c r="BV12" s="48"/>
      <c r="BW12" s="48"/>
      <c r="BX12" s="48"/>
    </row>
    <row r="13" ht="15.75" customHeight="1">
      <c r="A13" s="48" t="s">
        <v>99</v>
      </c>
      <c r="B13" s="48"/>
      <c r="C13" s="49">
        <v>42787.0</v>
      </c>
      <c r="D13" s="50"/>
      <c r="E13" s="50"/>
      <c r="F13" s="51"/>
      <c r="G13" s="51"/>
      <c r="H13" s="50"/>
      <c r="I13" s="50">
        <v>125000.0</v>
      </c>
      <c r="J13" s="50">
        <v>90000.0</v>
      </c>
      <c r="K13" s="52" t="str">
        <f t="shared" si="1"/>
        <v>#DIV/0!</v>
      </c>
      <c r="L13" s="50">
        <v>225000.0</v>
      </c>
      <c r="M13" s="53" t="str">
        <f t="shared" si="2"/>
        <v/>
      </c>
      <c r="N13" s="54" t="str">
        <f t="shared" si="3"/>
        <v>#DIV/0!</v>
      </c>
      <c r="O13" s="55">
        <f t="shared" si="4"/>
        <v>135000</v>
      </c>
      <c r="P13" s="50"/>
      <c r="Q13" s="56">
        <f t="shared" si="24"/>
        <v>15750</v>
      </c>
      <c r="R13" s="56">
        <f t="shared" si="6"/>
        <v>5287.5</v>
      </c>
      <c r="S13" s="56">
        <f t="shared" si="7"/>
        <v>105750</v>
      </c>
      <c r="T13" s="56">
        <f t="shared" si="8"/>
        <v>119250</v>
      </c>
      <c r="U13" s="56">
        <f t="shared" si="9"/>
        <v>113962.5</v>
      </c>
      <c r="V13" s="57">
        <f t="shared" si="10"/>
        <v>1.127659574</v>
      </c>
      <c r="W13" s="56">
        <f t="shared" si="11"/>
        <v>168750</v>
      </c>
      <c r="X13" s="53">
        <f t="shared" si="12"/>
        <v>-78750</v>
      </c>
      <c r="Y13" s="48"/>
      <c r="Z13" s="48"/>
      <c r="AA13" s="48"/>
      <c r="AB13" s="48">
        <f t="shared" si="13"/>
        <v>10000</v>
      </c>
      <c r="AC13" s="48">
        <v>8000.0</v>
      </c>
      <c r="AD13" s="48">
        <f t="shared" si="14"/>
        <v>0</v>
      </c>
      <c r="AE13" s="48">
        <f t="shared" si="15"/>
        <v>0</v>
      </c>
      <c r="AF13" s="48">
        <f t="shared" si="16"/>
        <v>0</v>
      </c>
      <c r="AG13" s="48">
        <f t="shared" si="17"/>
        <v>0</v>
      </c>
      <c r="AH13" s="48"/>
      <c r="AI13" s="48">
        <v>2000.0</v>
      </c>
      <c r="AJ13" s="48"/>
      <c r="AK13" s="48"/>
      <c r="AL13" s="48"/>
      <c r="AM13" s="48"/>
      <c r="AN13" s="48"/>
      <c r="AO13" s="48"/>
      <c r="AP13" s="48"/>
      <c r="AQ13" s="48"/>
      <c r="AR13" s="48"/>
      <c r="AS13" s="48"/>
      <c r="AT13" s="48"/>
      <c r="AU13" s="55">
        <v>0.9</v>
      </c>
      <c r="AV13" s="58">
        <f t="shared" si="18"/>
        <v>81000</v>
      </c>
      <c r="AW13" s="58"/>
      <c r="AX13" s="59">
        <v>0.02</v>
      </c>
      <c r="AY13" s="57">
        <v>0.09</v>
      </c>
      <c r="AZ13" s="56">
        <v>3.0</v>
      </c>
      <c r="BA13" s="60">
        <f t="shared" si="19"/>
        <v>607.5</v>
      </c>
      <c r="BB13" s="60">
        <f t="shared" si="20"/>
        <v>1822.5</v>
      </c>
      <c r="BC13" s="61">
        <f t="shared" si="21"/>
        <v>1620</v>
      </c>
      <c r="BD13" s="62">
        <f t="shared" si="22"/>
        <v>3442.5</v>
      </c>
      <c r="BE13" s="48"/>
      <c r="BF13" s="48"/>
      <c r="BG13" s="48"/>
      <c r="BH13" s="48"/>
      <c r="BI13" s="48"/>
      <c r="BJ13" s="48"/>
      <c r="BK13" s="48"/>
      <c r="BL13" s="48"/>
      <c r="BM13" s="48"/>
      <c r="BN13" s="48"/>
      <c r="BO13" s="48"/>
      <c r="BP13" s="48"/>
      <c r="BQ13" s="48"/>
      <c r="BR13" s="48"/>
      <c r="BS13" s="48"/>
      <c r="BT13" s="48"/>
      <c r="BU13" s="48"/>
      <c r="BV13" s="48"/>
      <c r="BW13" s="48"/>
      <c r="BX13" s="48"/>
    </row>
    <row r="14" ht="15.75" customHeight="1">
      <c r="A14" s="48" t="s">
        <v>100</v>
      </c>
      <c r="B14" s="48"/>
      <c r="C14" s="49">
        <v>42809.0</v>
      </c>
      <c r="D14" s="48"/>
      <c r="E14" s="48" t="s">
        <v>91</v>
      </c>
      <c r="F14" s="48"/>
      <c r="G14" s="48"/>
      <c r="H14" s="48"/>
      <c r="I14" s="48"/>
      <c r="J14" s="48"/>
      <c r="K14" s="52" t="str">
        <f t="shared" si="1"/>
        <v>#DIV/0!</v>
      </c>
      <c r="L14" s="48"/>
      <c r="M14" s="53" t="str">
        <f t="shared" si="2"/>
        <v/>
      </c>
      <c r="N14" s="54" t="str">
        <f t="shared" si="3"/>
        <v>#DIV/0!</v>
      </c>
      <c r="O14" s="55">
        <f t="shared" si="4"/>
        <v>0</v>
      </c>
      <c r="P14" s="50"/>
      <c r="Q14" s="56">
        <f t="shared" si="24"/>
        <v>0</v>
      </c>
      <c r="R14" s="56">
        <f t="shared" si="6"/>
        <v>0</v>
      </c>
      <c r="S14" s="56">
        <f t="shared" si="7"/>
        <v>0</v>
      </c>
      <c r="T14" s="56">
        <f t="shared" si="8"/>
        <v>0</v>
      </c>
      <c r="U14" s="56">
        <f t="shared" si="9"/>
        <v>0</v>
      </c>
      <c r="V14" s="57" t="str">
        <f t="shared" si="10"/>
        <v>#DIV/0!</v>
      </c>
      <c r="W14" s="56">
        <f t="shared" si="11"/>
        <v>0</v>
      </c>
      <c r="X14" s="53">
        <f t="shared" si="12"/>
        <v>0</v>
      </c>
      <c r="Y14" s="48"/>
      <c r="Z14" s="48"/>
      <c r="AA14" s="48"/>
      <c r="AB14" s="48">
        <f t="shared" si="13"/>
        <v>10000</v>
      </c>
      <c r="AC14" s="48">
        <v>8000.0</v>
      </c>
      <c r="AD14" s="48">
        <f t="shared" si="14"/>
        <v>0</v>
      </c>
      <c r="AE14" s="48">
        <f t="shared" si="15"/>
        <v>0</v>
      </c>
      <c r="AF14" s="48">
        <f t="shared" si="16"/>
        <v>0</v>
      </c>
      <c r="AG14" s="48">
        <f t="shared" si="17"/>
        <v>0</v>
      </c>
      <c r="AH14" s="48"/>
      <c r="AI14" s="48">
        <v>2000.0</v>
      </c>
      <c r="AJ14" s="48"/>
      <c r="AK14" s="48"/>
      <c r="AL14" s="48"/>
      <c r="AM14" s="48"/>
      <c r="AN14" s="48"/>
      <c r="AO14" s="48"/>
      <c r="AP14" s="48"/>
      <c r="AQ14" s="48"/>
      <c r="AR14" s="48"/>
      <c r="AS14" s="48"/>
      <c r="AT14" s="48"/>
      <c r="AU14" s="55">
        <v>0.9</v>
      </c>
      <c r="AV14" s="58">
        <f t="shared" si="18"/>
        <v>0</v>
      </c>
      <c r="AW14" s="58"/>
      <c r="AX14" s="59">
        <v>0.02</v>
      </c>
      <c r="AY14" s="57">
        <v>0.09</v>
      </c>
      <c r="AZ14" s="56">
        <v>3.0</v>
      </c>
      <c r="BA14" s="60">
        <f t="shared" si="19"/>
        <v>0</v>
      </c>
      <c r="BB14" s="60">
        <f t="shared" si="20"/>
        <v>0</v>
      </c>
      <c r="BC14" s="61">
        <f t="shared" si="21"/>
        <v>0</v>
      </c>
      <c r="BD14" s="62">
        <f t="shared" si="22"/>
        <v>0</v>
      </c>
      <c r="BE14" s="48"/>
      <c r="BF14" s="48"/>
      <c r="BG14" s="48"/>
      <c r="BH14" s="48"/>
      <c r="BI14" s="48"/>
      <c r="BJ14" s="48"/>
      <c r="BK14" s="48"/>
      <c r="BL14" s="48"/>
      <c r="BM14" s="48"/>
      <c r="BN14" s="48"/>
      <c r="BO14" s="48"/>
      <c r="BP14" s="48"/>
      <c r="BQ14" s="48"/>
      <c r="BR14" s="48"/>
      <c r="BS14" s="48"/>
      <c r="BT14" s="48"/>
      <c r="BU14" s="48"/>
      <c r="BV14" s="48"/>
      <c r="BW14" s="48"/>
      <c r="BX14" s="48"/>
    </row>
    <row r="15" ht="15.75" customHeight="1">
      <c r="A15" s="64" t="s">
        <v>101</v>
      </c>
      <c r="B15" s="64" t="s">
        <v>102</v>
      </c>
      <c r="C15" s="65">
        <v>42755.0</v>
      </c>
      <c r="D15" s="64"/>
      <c r="E15" s="64" t="s">
        <v>103</v>
      </c>
      <c r="F15" s="55">
        <v>3.0</v>
      </c>
      <c r="G15" s="55">
        <v>1.5</v>
      </c>
      <c r="H15" s="55">
        <v>1540.0</v>
      </c>
      <c r="I15" s="55">
        <v>300000.0</v>
      </c>
      <c r="J15" s="55">
        <v>240000.0</v>
      </c>
      <c r="K15" s="52">
        <f t="shared" si="1"/>
        <v>155.8441558</v>
      </c>
      <c r="L15" s="55">
        <v>380000.0</v>
      </c>
      <c r="M15" s="53">
        <f t="shared" si="2"/>
        <v>1540</v>
      </c>
      <c r="N15" s="54">
        <f t="shared" si="3"/>
        <v>246.7532468</v>
      </c>
      <c r="O15" s="55">
        <f t="shared" si="4"/>
        <v>140000</v>
      </c>
      <c r="P15" s="50"/>
      <c r="Q15" s="56">
        <f t="shared" si="24"/>
        <v>26600</v>
      </c>
      <c r="R15" s="56">
        <f t="shared" si="6"/>
        <v>13330</v>
      </c>
      <c r="S15" s="56">
        <f t="shared" si="7"/>
        <v>266600</v>
      </c>
      <c r="T15" s="56">
        <f t="shared" si="8"/>
        <v>113400</v>
      </c>
      <c r="U15" s="56">
        <f t="shared" si="9"/>
        <v>100070</v>
      </c>
      <c r="V15" s="57">
        <f t="shared" si="10"/>
        <v>0.4253563391</v>
      </c>
      <c r="W15" s="56">
        <f t="shared" si="11"/>
        <v>285000</v>
      </c>
      <c r="X15" s="53">
        <f t="shared" si="12"/>
        <v>-45000</v>
      </c>
      <c r="Y15" s="64"/>
      <c r="Z15" s="64"/>
      <c r="AA15" s="55"/>
      <c r="AB15" s="55">
        <v>8000.0</v>
      </c>
      <c r="AC15" s="55">
        <f>2000*G15</f>
        <v>3000</v>
      </c>
      <c r="AD15" s="55">
        <f>2*H15</f>
        <v>3080</v>
      </c>
      <c r="AE15" s="55">
        <f>2*H15</f>
        <v>3080</v>
      </c>
      <c r="AF15" s="55">
        <f>3*H15</f>
        <v>4620</v>
      </c>
      <c r="AG15" s="64"/>
      <c r="AH15" s="55">
        <v>2000.0</v>
      </c>
      <c r="AI15" s="64"/>
      <c r="AJ15" s="64"/>
      <c r="AK15" s="64"/>
      <c r="AL15" s="64"/>
      <c r="AM15" s="64"/>
      <c r="AN15" s="64"/>
      <c r="AO15" s="64"/>
      <c r="AP15" s="64"/>
      <c r="AQ15" s="64"/>
      <c r="AR15" s="48"/>
      <c r="AS15" s="48"/>
      <c r="AT15" s="48"/>
      <c r="AU15" s="55">
        <v>0.9</v>
      </c>
      <c r="AV15" s="58">
        <f t="shared" si="18"/>
        <v>216000</v>
      </c>
      <c r="AW15" s="58"/>
      <c r="AX15" s="59">
        <v>0.02</v>
      </c>
      <c r="AY15" s="57">
        <v>0.09</v>
      </c>
      <c r="AZ15" s="56">
        <v>3.0</v>
      </c>
      <c r="BA15" s="60">
        <f t="shared" si="19"/>
        <v>1620</v>
      </c>
      <c r="BB15" s="60">
        <f t="shared" si="20"/>
        <v>4860</v>
      </c>
      <c r="BC15" s="61">
        <f t="shared" si="21"/>
        <v>4320</v>
      </c>
      <c r="BD15" s="62">
        <f t="shared" si="22"/>
        <v>9180</v>
      </c>
      <c r="BE15" s="48"/>
      <c r="BF15" s="48"/>
      <c r="BG15" s="48"/>
      <c r="BH15" s="48"/>
      <c r="BI15" s="48"/>
      <c r="BJ15" s="48"/>
      <c r="BK15" s="48"/>
      <c r="BL15" s="48"/>
      <c r="BM15" s="48"/>
      <c r="BN15" s="48"/>
      <c r="BO15" s="48"/>
      <c r="BP15" s="48"/>
      <c r="BQ15" s="48"/>
      <c r="BR15" s="48"/>
      <c r="BS15" s="48"/>
      <c r="BT15" s="48"/>
      <c r="BU15" s="48"/>
      <c r="BV15" s="48"/>
      <c r="BW15" s="48"/>
      <c r="BX15" s="48"/>
    </row>
    <row r="16" ht="15.75" customHeight="1">
      <c r="A16" s="48" t="s">
        <v>104</v>
      </c>
      <c r="B16" s="48"/>
      <c r="C16" s="49">
        <v>42831.0</v>
      </c>
      <c r="D16" s="48"/>
      <c r="E16" s="48" t="s">
        <v>96</v>
      </c>
      <c r="F16" s="48">
        <v>2.0</v>
      </c>
      <c r="G16" s="48">
        <v>2.0</v>
      </c>
      <c r="H16" s="48">
        <v>1176.0</v>
      </c>
      <c r="I16" s="48">
        <v>189000.0</v>
      </c>
      <c r="J16" s="48">
        <v>189000.0</v>
      </c>
      <c r="K16" s="52">
        <f t="shared" si="1"/>
        <v>160.7142857</v>
      </c>
      <c r="L16" s="48">
        <v>320000.0</v>
      </c>
      <c r="M16" s="53">
        <f t="shared" si="2"/>
        <v>1176</v>
      </c>
      <c r="N16" s="54">
        <f t="shared" si="3"/>
        <v>272.1088435</v>
      </c>
      <c r="O16" s="55">
        <f t="shared" si="4"/>
        <v>131000</v>
      </c>
      <c r="P16" s="50">
        <v>100000.0</v>
      </c>
      <c r="Q16" s="56">
        <f t="shared" si="24"/>
        <v>22400</v>
      </c>
      <c r="R16" s="56">
        <f t="shared" si="6"/>
        <v>15570</v>
      </c>
      <c r="S16" s="56">
        <f t="shared" si="7"/>
        <v>311400</v>
      </c>
      <c r="T16" s="56">
        <f t="shared" si="8"/>
        <v>8600</v>
      </c>
      <c r="U16" s="56">
        <f t="shared" si="9"/>
        <v>-6970</v>
      </c>
      <c r="V16" s="57">
        <f t="shared" si="10"/>
        <v>0.02761721259</v>
      </c>
      <c r="W16" s="56">
        <f t="shared" si="11"/>
        <v>140000</v>
      </c>
      <c r="X16" s="53">
        <f t="shared" si="12"/>
        <v>49000</v>
      </c>
      <c r="Y16" s="48"/>
      <c r="Z16" s="48"/>
      <c r="AA16" s="48"/>
      <c r="AB16" s="48">
        <f t="shared" ref="AB16:AB19" si="25">SUM(AC16:AP16)</f>
        <v>23232</v>
      </c>
      <c r="AC16" s="48">
        <v>8000.0</v>
      </c>
      <c r="AD16" s="48">
        <f t="shared" ref="AD16:AD19" si="26">2000*G16</f>
        <v>4000</v>
      </c>
      <c r="AE16" s="48">
        <f t="shared" ref="AE16:AE19" si="27">2*M16</f>
        <v>2352</v>
      </c>
      <c r="AF16" s="48">
        <f t="shared" ref="AF16:AF19" si="28">2*M16</f>
        <v>2352</v>
      </c>
      <c r="AG16" s="48">
        <f t="shared" ref="AG16:AG19" si="29">3*M16</f>
        <v>3528</v>
      </c>
      <c r="AH16" s="48">
        <v>1000.0</v>
      </c>
      <c r="AI16" s="48">
        <v>2000.0</v>
      </c>
      <c r="AJ16" s="48"/>
      <c r="AK16" s="48"/>
      <c r="AL16" s="48"/>
      <c r="AM16" s="48"/>
      <c r="AN16" s="48"/>
      <c r="AO16" s="48"/>
      <c r="AP16" s="48"/>
      <c r="AQ16" s="48"/>
      <c r="AR16" s="48"/>
      <c r="AS16" s="48"/>
      <c r="AT16" s="48"/>
      <c r="AU16" s="55">
        <v>0.9</v>
      </c>
      <c r="AV16" s="58">
        <f t="shared" si="18"/>
        <v>170100</v>
      </c>
      <c r="AW16" s="58"/>
      <c r="AX16" s="59">
        <v>0.02</v>
      </c>
      <c r="AY16" s="57">
        <v>0.09</v>
      </c>
      <c r="AZ16" s="56">
        <v>3.0</v>
      </c>
      <c r="BA16" s="60">
        <f t="shared" si="19"/>
        <v>1275.75</v>
      </c>
      <c r="BB16" s="60">
        <f t="shared" si="20"/>
        <v>3827.25</v>
      </c>
      <c r="BC16" s="61">
        <f t="shared" si="21"/>
        <v>3402</v>
      </c>
      <c r="BD16" s="62">
        <f t="shared" si="22"/>
        <v>7229.25</v>
      </c>
      <c r="BE16" s="48"/>
      <c r="BF16" s="48"/>
      <c r="BG16" s="48"/>
      <c r="BH16" s="48"/>
      <c r="BI16" s="48"/>
      <c r="BJ16" s="48"/>
      <c r="BK16" s="48"/>
      <c r="BL16" s="48"/>
      <c r="BM16" s="48"/>
      <c r="BN16" s="48"/>
      <c r="BO16" s="48"/>
      <c r="BP16" s="48"/>
      <c r="BQ16" s="48"/>
      <c r="BR16" s="48"/>
      <c r="BS16" s="48"/>
      <c r="BT16" s="48"/>
      <c r="BU16" s="48"/>
      <c r="BV16" s="48"/>
      <c r="BW16" s="48"/>
      <c r="BX16" s="48"/>
    </row>
    <row r="17" ht="15.75" customHeight="1">
      <c r="A17" s="48" t="s">
        <v>105</v>
      </c>
      <c r="B17" s="48"/>
      <c r="C17" s="48"/>
      <c r="D17" s="48"/>
      <c r="E17" s="48"/>
      <c r="F17" s="48">
        <v>2.0</v>
      </c>
      <c r="G17" s="48">
        <v>1.0</v>
      </c>
      <c r="H17" s="48">
        <v>1235.0</v>
      </c>
      <c r="I17" s="48"/>
      <c r="J17" s="48">
        <v>350000.0</v>
      </c>
      <c r="K17" s="52">
        <f t="shared" si="1"/>
        <v>283.4008097</v>
      </c>
      <c r="L17" s="48">
        <v>450000.0</v>
      </c>
      <c r="M17" s="53">
        <f t="shared" si="2"/>
        <v>1235</v>
      </c>
      <c r="N17" s="54">
        <f t="shared" si="3"/>
        <v>364.3724696</v>
      </c>
      <c r="O17" s="55">
        <f t="shared" si="4"/>
        <v>100000</v>
      </c>
      <c r="P17" s="50">
        <v>30000.0</v>
      </c>
      <c r="Q17" s="56">
        <f t="shared" si="24"/>
        <v>31500</v>
      </c>
      <c r="R17" s="56">
        <f t="shared" si="6"/>
        <v>20575</v>
      </c>
      <c r="S17" s="56">
        <f t="shared" si="7"/>
        <v>411500</v>
      </c>
      <c r="T17" s="56">
        <f t="shared" si="8"/>
        <v>38500</v>
      </c>
      <c r="U17" s="56">
        <f t="shared" si="9"/>
        <v>17925</v>
      </c>
      <c r="V17" s="57">
        <f t="shared" si="10"/>
        <v>0.09356014581</v>
      </c>
      <c r="W17" s="56">
        <f t="shared" si="11"/>
        <v>307500</v>
      </c>
      <c r="X17" s="53">
        <f t="shared" si="12"/>
        <v>42500</v>
      </c>
      <c r="Y17" s="48"/>
      <c r="Z17" s="48"/>
      <c r="AA17" s="48"/>
      <c r="AB17" s="48">
        <f t="shared" si="25"/>
        <v>20645</v>
      </c>
      <c r="AC17" s="48">
        <v>8000.0</v>
      </c>
      <c r="AD17" s="48">
        <f t="shared" si="26"/>
        <v>2000</v>
      </c>
      <c r="AE17" s="48">
        <f t="shared" si="27"/>
        <v>2470</v>
      </c>
      <c r="AF17" s="48">
        <f t="shared" si="28"/>
        <v>2470</v>
      </c>
      <c r="AG17" s="48">
        <f t="shared" si="29"/>
        <v>3705</v>
      </c>
      <c r="AH17" s="48"/>
      <c r="AI17" s="48">
        <v>2000.0</v>
      </c>
      <c r="AJ17" s="48"/>
      <c r="AK17" s="48"/>
      <c r="AL17" s="48"/>
      <c r="AM17" s="48"/>
      <c r="AN17" s="48"/>
      <c r="AO17" s="48"/>
      <c r="AP17" s="48"/>
      <c r="AQ17" s="48"/>
      <c r="AR17" s="48"/>
      <c r="AS17" s="48"/>
      <c r="AT17" s="48"/>
      <c r="AU17" s="55">
        <v>0.9</v>
      </c>
      <c r="AV17" s="58">
        <f t="shared" si="18"/>
        <v>315000</v>
      </c>
      <c r="AW17" s="58"/>
      <c r="AX17" s="59">
        <v>0.02</v>
      </c>
      <c r="AY17" s="57">
        <v>0.09</v>
      </c>
      <c r="AZ17" s="56">
        <v>3.0</v>
      </c>
      <c r="BA17" s="60">
        <f t="shared" si="19"/>
        <v>2362.5</v>
      </c>
      <c r="BB17" s="60">
        <f t="shared" si="20"/>
        <v>7087.5</v>
      </c>
      <c r="BC17" s="61">
        <f t="shared" si="21"/>
        <v>6300</v>
      </c>
      <c r="BD17" s="62">
        <f t="shared" si="22"/>
        <v>13387.5</v>
      </c>
      <c r="BE17" s="48"/>
      <c r="BF17" s="48"/>
      <c r="BG17" s="48"/>
      <c r="BH17" s="48"/>
      <c r="BI17" s="48"/>
      <c r="BJ17" s="48"/>
      <c r="BK17" s="48"/>
      <c r="BL17" s="48"/>
      <c r="BM17" s="48"/>
      <c r="BN17" s="48"/>
      <c r="BO17" s="48"/>
      <c r="BP17" s="48"/>
      <c r="BQ17" s="48"/>
      <c r="BR17" s="48"/>
      <c r="BS17" s="48"/>
      <c r="BT17" s="48"/>
      <c r="BU17" s="48"/>
      <c r="BV17" s="48"/>
      <c r="BW17" s="48"/>
      <c r="BX17" s="48"/>
    </row>
    <row r="18" ht="15.75" customHeight="1">
      <c r="A18" s="48" t="s">
        <v>106</v>
      </c>
      <c r="B18" s="48"/>
      <c r="C18" s="48"/>
      <c r="D18" s="48"/>
      <c r="E18" s="48"/>
      <c r="F18" s="48">
        <v>3.0</v>
      </c>
      <c r="G18" s="48">
        <v>1.0</v>
      </c>
      <c r="H18" s="48">
        <v>1133.0</v>
      </c>
      <c r="I18" s="48"/>
      <c r="J18" s="48">
        <v>200000.0</v>
      </c>
      <c r="K18" s="52">
        <f t="shared" si="1"/>
        <v>176.5225066</v>
      </c>
      <c r="L18" s="48">
        <v>300000.0</v>
      </c>
      <c r="M18" s="53">
        <f t="shared" si="2"/>
        <v>1133</v>
      </c>
      <c r="N18" s="54">
        <f t="shared" si="3"/>
        <v>264.7837599</v>
      </c>
      <c r="O18" s="55">
        <f t="shared" si="4"/>
        <v>100000</v>
      </c>
      <c r="P18" s="50">
        <v>30000.0</v>
      </c>
      <c r="Q18" s="56">
        <f t="shared" si="24"/>
        <v>21000</v>
      </c>
      <c r="R18" s="56">
        <f t="shared" si="6"/>
        <v>12550</v>
      </c>
      <c r="S18" s="56">
        <f t="shared" si="7"/>
        <v>251000</v>
      </c>
      <c r="T18" s="56">
        <f t="shared" si="8"/>
        <v>49000</v>
      </c>
      <c r="U18" s="56">
        <f t="shared" si="9"/>
        <v>36450</v>
      </c>
      <c r="V18" s="57">
        <f t="shared" si="10"/>
        <v>0.1952191235</v>
      </c>
      <c r="W18" s="56">
        <f t="shared" si="11"/>
        <v>195000</v>
      </c>
      <c r="X18" s="53">
        <f t="shared" si="12"/>
        <v>5000</v>
      </c>
      <c r="Y18" s="48"/>
      <c r="Z18" s="48"/>
      <c r="AA18" s="48"/>
      <c r="AB18" s="48">
        <f t="shared" si="25"/>
        <v>19931</v>
      </c>
      <c r="AC18" s="48">
        <v>8000.0</v>
      </c>
      <c r="AD18" s="48">
        <f t="shared" si="26"/>
        <v>2000</v>
      </c>
      <c r="AE18" s="48">
        <f t="shared" si="27"/>
        <v>2266</v>
      </c>
      <c r="AF18" s="48">
        <f t="shared" si="28"/>
        <v>2266</v>
      </c>
      <c r="AG18" s="48">
        <f t="shared" si="29"/>
        <v>3399</v>
      </c>
      <c r="AH18" s="48"/>
      <c r="AI18" s="48">
        <v>2000.0</v>
      </c>
      <c r="AJ18" s="48"/>
      <c r="AK18" s="48"/>
      <c r="AL18" s="48"/>
      <c r="AM18" s="48"/>
      <c r="AN18" s="48"/>
      <c r="AO18" s="48"/>
      <c r="AP18" s="48"/>
      <c r="AQ18" s="48"/>
      <c r="AR18" s="48"/>
      <c r="AS18" s="48"/>
      <c r="AT18" s="48"/>
      <c r="AU18" s="55">
        <v>0.9</v>
      </c>
      <c r="AV18" s="58">
        <f t="shared" si="18"/>
        <v>180000</v>
      </c>
      <c r="AW18" s="58"/>
      <c r="AX18" s="59">
        <v>0.02</v>
      </c>
      <c r="AY18" s="57">
        <v>0.09</v>
      </c>
      <c r="AZ18" s="56">
        <v>3.0</v>
      </c>
      <c r="BA18" s="60">
        <f t="shared" si="19"/>
        <v>1350</v>
      </c>
      <c r="BB18" s="60">
        <f t="shared" si="20"/>
        <v>4050</v>
      </c>
      <c r="BC18" s="61">
        <f t="shared" si="21"/>
        <v>3600</v>
      </c>
      <c r="BD18" s="62">
        <f t="shared" si="22"/>
        <v>7650</v>
      </c>
      <c r="BE18" s="48"/>
      <c r="BF18" s="48"/>
      <c r="BG18" s="48"/>
      <c r="BH18" s="48"/>
      <c r="BI18" s="48"/>
      <c r="BJ18" s="48"/>
      <c r="BK18" s="48"/>
      <c r="BL18" s="48"/>
      <c r="BM18" s="48"/>
      <c r="BN18" s="48"/>
      <c r="BO18" s="48"/>
      <c r="BP18" s="48"/>
      <c r="BQ18" s="48"/>
      <c r="BR18" s="48"/>
      <c r="BS18" s="48"/>
      <c r="BT18" s="48"/>
      <c r="BU18" s="48"/>
      <c r="BV18" s="48"/>
      <c r="BW18" s="48"/>
      <c r="BX18" s="48"/>
    </row>
    <row r="19" ht="15.75" customHeight="1">
      <c r="A19" s="66" t="s">
        <v>107</v>
      </c>
      <c r="B19" s="48"/>
      <c r="C19" s="48"/>
      <c r="D19" s="48"/>
      <c r="E19" s="48"/>
      <c r="F19" s="48">
        <v>3.0</v>
      </c>
      <c r="G19" s="48">
        <v>2.0</v>
      </c>
      <c r="H19" s="48">
        <v>1161.0</v>
      </c>
      <c r="I19" s="48"/>
      <c r="J19" s="48">
        <v>170000.0</v>
      </c>
      <c r="K19" s="52">
        <f t="shared" si="1"/>
        <v>146.4254953</v>
      </c>
      <c r="L19" s="48">
        <v>260000.0</v>
      </c>
      <c r="M19" s="53">
        <f t="shared" si="2"/>
        <v>1161</v>
      </c>
      <c r="N19" s="54">
        <f t="shared" si="3"/>
        <v>223.9448751</v>
      </c>
      <c r="O19" s="55">
        <f t="shared" si="4"/>
        <v>90000</v>
      </c>
      <c r="P19" s="50">
        <v>20000.0</v>
      </c>
      <c r="Q19" s="56">
        <f t="shared" si="24"/>
        <v>18200</v>
      </c>
      <c r="R19" s="56">
        <f t="shared" si="6"/>
        <v>10410</v>
      </c>
      <c r="S19" s="56">
        <f t="shared" si="7"/>
        <v>208200</v>
      </c>
      <c r="T19" s="56">
        <f t="shared" si="8"/>
        <v>51800</v>
      </c>
      <c r="U19" s="56">
        <f t="shared" si="9"/>
        <v>41390</v>
      </c>
      <c r="V19" s="57">
        <f t="shared" si="10"/>
        <v>0.2487992315</v>
      </c>
      <c r="W19" s="56">
        <f t="shared" si="11"/>
        <v>175000</v>
      </c>
      <c r="X19" s="53">
        <f t="shared" si="12"/>
        <v>-5000</v>
      </c>
      <c r="Y19" s="48"/>
      <c r="Z19" s="48"/>
      <c r="AA19" s="48"/>
      <c r="AB19" s="48">
        <f t="shared" si="25"/>
        <v>22127</v>
      </c>
      <c r="AC19" s="48">
        <v>8000.0</v>
      </c>
      <c r="AD19" s="48">
        <f t="shared" si="26"/>
        <v>4000</v>
      </c>
      <c r="AE19" s="48">
        <f t="shared" si="27"/>
        <v>2322</v>
      </c>
      <c r="AF19" s="48">
        <f t="shared" si="28"/>
        <v>2322</v>
      </c>
      <c r="AG19" s="48">
        <f t="shared" si="29"/>
        <v>3483</v>
      </c>
      <c r="AH19" s="48"/>
      <c r="AI19" s="48">
        <v>2000.0</v>
      </c>
      <c r="AJ19" s="48"/>
      <c r="AK19" s="48"/>
      <c r="AL19" s="48"/>
      <c r="AM19" s="48"/>
      <c r="AN19" s="48"/>
      <c r="AO19" s="48"/>
      <c r="AP19" s="48"/>
      <c r="AQ19" s="48"/>
      <c r="AR19" s="48"/>
      <c r="AS19" s="48"/>
      <c r="AT19" s="48"/>
      <c r="AU19" s="55">
        <v>0.9</v>
      </c>
      <c r="AV19" s="58">
        <f t="shared" si="18"/>
        <v>153000</v>
      </c>
      <c r="AW19" s="58"/>
      <c r="AX19" s="59">
        <v>0.02</v>
      </c>
      <c r="AY19" s="57">
        <v>0.09</v>
      </c>
      <c r="AZ19" s="56">
        <v>3.0</v>
      </c>
      <c r="BA19" s="60">
        <f t="shared" si="19"/>
        <v>1147.5</v>
      </c>
      <c r="BB19" s="60">
        <f t="shared" si="20"/>
        <v>3442.5</v>
      </c>
      <c r="BC19" s="61">
        <f t="shared" si="21"/>
        <v>3060</v>
      </c>
      <c r="BD19" s="62">
        <f t="shared" si="22"/>
        <v>6502.5</v>
      </c>
      <c r="BE19" s="48"/>
      <c r="BF19" s="48"/>
      <c r="BG19" s="48"/>
      <c r="BH19" s="48"/>
      <c r="BI19" s="48"/>
      <c r="BJ19" s="48"/>
      <c r="BK19" s="48"/>
      <c r="BL19" s="48"/>
      <c r="BM19" s="48"/>
      <c r="BN19" s="48"/>
      <c r="BO19" s="48"/>
      <c r="BP19" s="48"/>
      <c r="BQ19" s="48"/>
      <c r="BR19" s="48"/>
      <c r="BS19" s="48"/>
      <c r="BT19" s="48"/>
      <c r="BU19" s="48"/>
      <c r="BV19" s="48"/>
      <c r="BW19" s="48"/>
      <c r="BX19" s="48"/>
    </row>
    <row r="20" ht="15.75" customHeight="1">
      <c r="A20" s="66" t="s">
        <v>108</v>
      </c>
      <c r="B20" s="48"/>
      <c r="C20" s="48"/>
      <c r="D20" s="48"/>
      <c r="E20" s="48"/>
      <c r="F20" s="48">
        <v>4.0</v>
      </c>
      <c r="G20" s="48">
        <v>2.0</v>
      </c>
      <c r="H20" s="48">
        <v>1910.0</v>
      </c>
      <c r="I20" s="48"/>
      <c r="J20" s="48">
        <v>300000.0</v>
      </c>
      <c r="K20" s="52">
        <f t="shared" si="1"/>
        <v>157.0680628</v>
      </c>
      <c r="L20" s="48">
        <v>400000.0</v>
      </c>
      <c r="M20" s="53">
        <f t="shared" si="2"/>
        <v>1910</v>
      </c>
      <c r="N20" s="54">
        <f t="shared" si="3"/>
        <v>209.4240838</v>
      </c>
      <c r="O20" s="55">
        <f t="shared" si="4"/>
        <v>100000</v>
      </c>
      <c r="P20" s="50">
        <v>20000.0</v>
      </c>
      <c r="Q20" s="56">
        <f t="shared" si="24"/>
        <v>28000</v>
      </c>
      <c r="R20" s="56">
        <f t="shared" si="6"/>
        <v>17400</v>
      </c>
      <c r="S20" s="56">
        <f t="shared" si="7"/>
        <v>348000</v>
      </c>
      <c r="T20" s="56">
        <f t="shared" si="8"/>
        <v>52000</v>
      </c>
      <c r="U20" s="56">
        <f t="shared" si="9"/>
        <v>34600</v>
      </c>
      <c r="V20" s="57">
        <f t="shared" si="10"/>
        <v>0.1494252874</v>
      </c>
      <c r="W20" s="56">
        <f t="shared" si="11"/>
        <v>280000</v>
      </c>
      <c r="X20" s="53">
        <f t="shared" si="12"/>
        <v>20000</v>
      </c>
      <c r="Y20" s="48"/>
      <c r="Z20" s="48"/>
      <c r="AA20" s="48"/>
      <c r="AB20" s="48"/>
      <c r="AC20" s="48"/>
      <c r="AD20" s="48"/>
      <c r="AE20" s="48"/>
      <c r="AF20" s="48"/>
      <c r="AG20" s="48"/>
      <c r="AH20" s="48"/>
      <c r="AI20" s="48"/>
      <c r="AJ20" s="48"/>
      <c r="AK20" s="48"/>
      <c r="AL20" s="48"/>
      <c r="AM20" s="48"/>
      <c r="AN20" s="48"/>
      <c r="AO20" s="48"/>
      <c r="AP20" s="48"/>
      <c r="AQ20" s="48"/>
      <c r="AR20" s="48"/>
      <c r="AS20" s="48"/>
      <c r="AT20" s="48"/>
      <c r="AU20" s="55">
        <v>0.9</v>
      </c>
      <c r="AV20" s="58">
        <f t="shared" si="18"/>
        <v>270000</v>
      </c>
      <c r="AW20" s="58"/>
      <c r="AX20" s="59">
        <v>0.02</v>
      </c>
      <c r="AY20" s="57">
        <v>0.09</v>
      </c>
      <c r="AZ20" s="56">
        <v>3.0</v>
      </c>
      <c r="BA20" s="60">
        <f t="shared" si="19"/>
        <v>2025</v>
      </c>
      <c r="BB20" s="60">
        <f t="shared" si="20"/>
        <v>6075</v>
      </c>
      <c r="BC20" s="61">
        <f t="shared" si="21"/>
        <v>5400</v>
      </c>
      <c r="BD20" s="62">
        <f t="shared" si="22"/>
        <v>11475</v>
      </c>
      <c r="BE20" s="48"/>
      <c r="BF20" s="48"/>
      <c r="BG20" s="48"/>
      <c r="BH20" s="48"/>
      <c r="BI20" s="48"/>
      <c r="BJ20" s="48"/>
      <c r="BK20" s="48"/>
      <c r="BL20" s="48"/>
      <c r="BM20" s="48"/>
      <c r="BN20" s="48"/>
      <c r="BO20" s="48"/>
      <c r="BP20" s="48"/>
      <c r="BQ20" s="48"/>
      <c r="BR20" s="48"/>
      <c r="BS20" s="48"/>
      <c r="BT20" s="48"/>
      <c r="BU20" s="48"/>
      <c r="BV20" s="48"/>
      <c r="BW20" s="48"/>
      <c r="BX20" s="48"/>
    </row>
    <row r="21" ht="15.75" customHeight="1">
      <c r="A21" s="48" t="s">
        <v>109</v>
      </c>
      <c r="B21" s="48"/>
      <c r="C21" s="48"/>
      <c r="D21" s="48"/>
      <c r="E21" s="48"/>
      <c r="F21" s="48">
        <v>3.0</v>
      </c>
      <c r="G21" s="48">
        <v>1.0</v>
      </c>
      <c r="H21" s="48">
        <v>960.0</v>
      </c>
      <c r="I21" s="48"/>
      <c r="J21" s="48">
        <v>220000.0</v>
      </c>
      <c r="K21" s="52">
        <f t="shared" si="1"/>
        <v>229.1666667</v>
      </c>
      <c r="L21" s="48">
        <v>295000.0</v>
      </c>
      <c r="M21" s="53">
        <f t="shared" si="2"/>
        <v>960</v>
      </c>
      <c r="N21" s="54">
        <f t="shared" si="3"/>
        <v>307.2916667</v>
      </c>
      <c r="O21" s="55">
        <f t="shared" si="4"/>
        <v>75000</v>
      </c>
      <c r="P21" s="50">
        <v>30000.0</v>
      </c>
      <c r="Q21" s="56">
        <v>10000.0</v>
      </c>
      <c r="R21" s="56">
        <f t="shared" si="6"/>
        <v>13000</v>
      </c>
      <c r="S21" s="56">
        <f t="shared" si="7"/>
        <v>260000</v>
      </c>
      <c r="T21" s="56">
        <f t="shared" si="8"/>
        <v>35000</v>
      </c>
      <c r="U21" s="56">
        <f t="shared" si="9"/>
        <v>22000</v>
      </c>
      <c r="V21" s="57">
        <f t="shared" si="10"/>
        <v>0.1346153846</v>
      </c>
      <c r="W21" s="56">
        <f t="shared" si="11"/>
        <v>191250</v>
      </c>
      <c r="X21" s="53">
        <f t="shared" si="12"/>
        <v>28750</v>
      </c>
      <c r="Y21" s="48"/>
      <c r="Z21" s="48"/>
      <c r="AA21" s="48"/>
      <c r="AB21" s="48"/>
      <c r="AC21" s="48"/>
      <c r="AD21" s="48"/>
      <c r="AE21" s="48"/>
      <c r="AF21" s="48"/>
      <c r="AG21" s="48"/>
      <c r="AH21" s="48"/>
      <c r="AI21" s="48"/>
      <c r="AJ21" s="48"/>
      <c r="AK21" s="48"/>
      <c r="AL21" s="48"/>
      <c r="AM21" s="48"/>
      <c r="AN21" s="48"/>
      <c r="AO21" s="48"/>
      <c r="AP21" s="48"/>
      <c r="AQ21" s="48"/>
      <c r="AR21" s="48"/>
      <c r="AS21" s="48"/>
      <c r="AT21" s="48"/>
      <c r="AU21" s="55">
        <v>0.9</v>
      </c>
      <c r="AV21" s="58">
        <f t="shared" si="18"/>
        <v>198000</v>
      </c>
      <c r="AW21" s="58"/>
      <c r="AX21" s="59">
        <v>0.02</v>
      </c>
      <c r="AY21" s="57">
        <v>0.09</v>
      </c>
      <c r="AZ21" s="56">
        <v>3.0</v>
      </c>
      <c r="BA21" s="60">
        <f t="shared" si="19"/>
        <v>1485</v>
      </c>
      <c r="BB21" s="60">
        <f t="shared" si="20"/>
        <v>4455</v>
      </c>
      <c r="BC21" s="61">
        <f t="shared" si="21"/>
        <v>3960</v>
      </c>
      <c r="BD21" s="62">
        <f t="shared" si="22"/>
        <v>8415</v>
      </c>
      <c r="BE21" s="48"/>
      <c r="BF21" s="48"/>
      <c r="BG21" s="48"/>
      <c r="BH21" s="48"/>
      <c r="BI21" s="48"/>
      <c r="BJ21" s="48"/>
      <c r="BK21" s="48"/>
      <c r="BL21" s="48"/>
      <c r="BM21" s="48"/>
      <c r="BN21" s="48"/>
      <c r="BO21" s="48"/>
      <c r="BP21" s="48"/>
      <c r="BQ21" s="48"/>
      <c r="BR21" s="48"/>
      <c r="BS21" s="48"/>
      <c r="BT21" s="48"/>
      <c r="BU21" s="48"/>
      <c r="BV21" s="48"/>
      <c r="BW21" s="48"/>
      <c r="BX21" s="48"/>
    </row>
    <row r="22" ht="15.75" customHeight="1">
      <c r="A22" s="48" t="s">
        <v>110</v>
      </c>
      <c r="B22" s="48" t="s">
        <v>111</v>
      </c>
      <c r="C22" s="49">
        <v>42872.0</v>
      </c>
      <c r="D22" s="48"/>
      <c r="E22" s="48" t="s">
        <v>112</v>
      </c>
      <c r="F22" s="48">
        <v>0.0</v>
      </c>
      <c r="G22" s="48">
        <v>0.0</v>
      </c>
      <c r="H22" s="48">
        <v>0.0</v>
      </c>
      <c r="I22" s="48">
        <v>330000.0</v>
      </c>
      <c r="J22" s="48">
        <v>300000.0</v>
      </c>
      <c r="K22" s="52" t="str">
        <f t="shared" si="1"/>
        <v>#DIV/0!</v>
      </c>
      <c r="L22" s="48">
        <v>1200000.0</v>
      </c>
      <c r="M22" s="53">
        <v>4000.0</v>
      </c>
      <c r="N22" s="54">
        <f t="shared" si="3"/>
        <v>300</v>
      </c>
      <c r="O22" s="55">
        <f t="shared" si="4"/>
        <v>900000</v>
      </c>
      <c r="P22" s="50">
        <v>500000.0</v>
      </c>
      <c r="Q22" s="56">
        <f t="shared" ref="Q22:Q23" si="30">MULTIPLY(0.07,L22)</f>
        <v>84000</v>
      </c>
      <c r="R22" s="56">
        <v>100000.0</v>
      </c>
      <c r="S22" s="56">
        <f t="shared" si="7"/>
        <v>884000</v>
      </c>
      <c r="T22" s="56">
        <f t="shared" si="8"/>
        <v>316000</v>
      </c>
      <c r="U22" s="56">
        <f t="shared" si="9"/>
        <v>216000</v>
      </c>
      <c r="V22" s="57">
        <f t="shared" si="10"/>
        <v>0.3574660633</v>
      </c>
      <c r="W22" s="56">
        <f t="shared" si="11"/>
        <v>400000</v>
      </c>
      <c r="X22" s="53">
        <f t="shared" si="12"/>
        <v>-100000</v>
      </c>
      <c r="Y22" s="48"/>
      <c r="Z22" s="48"/>
      <c r="AA22" s="48"/>
      <c r="AB22" s="48"/>
      <c r="AC22" s="48"/>
      <c r="AD22" s="48"/>
      <c r="AE22" s="48"/>
      <c r="AF22" s="48"/>
      <c r="AG22" s="48"/>
      <c r="AH22" s="48"/>
      <c r="AI22" s="48"/>
      <c r="AJ22" s="48"/>
      <c r="AK22" s="48"/>
      <c r="AL22" s="48"/>
      <c r="AM22" s="48"/>
      <c r="AN22" s="48"/>
      <c r="AO22" s="48"/>
      <c r="AP22" s="48"/>
      <c r="AQ22" s="48"/>
      <c r="AR22" s="48"/>
      <c r="AS22" s="48"/>
      <c r="AT22" s="48"/>
      <c r="AU22" s="55">
        <v>0.9</v>
      </c>
      <c r="AV22" s="58">
        <f t="shared" si="18"/>
        <v>270000</v>
      </c>
      <c r="AW22" s="58"/>
      <c r="AX22" s="59">
        <v>0.02</v>
      </c>
      <c r="AY22" s="57">
        <v>0.09</v>
      </c>
      <c r="AZ22" s="56">
        <v>3.0</v>
      </c>
      <c r="BA22" s="60">
        <f t="shared" si="19"/>
        <v>2025</v>
      </c>
      <c r="BB22" s="60">
        <f t="shared" si="20"/>
        <v>6075</v>
      </c>
      <c r="BC22" s="61">
        <f t="shared" si="21"/>
        <v>5400</v>
      </c>
      <c r="BD22" s="62">
        <f t="shared" si="22"/>
        <v>11475</v>
      </c>
      <c r="BE22" s="48"/>
      <c r="BF22" s="48"/>
      <c r="BG22" s="48"/>
      <c r="BH22" s="48"/>
      <c r="BI22" s="48"/>
      <c r="BJ22" s="48"/>
      <c r="BK22" s="48"/>
      <c r="BL22" s="48"/>
      <c r="BM22" s="48"/>
      <c r="BN22" s="48"/>
      <c r="BO22" s="48"/>
      <c r="BP22" s="48"/>
      <c r="BQ22" s="48"/>
      <c r="BR22" s="48"/>
      <c r="BS22" s="48"/>
      <c r="BT22" s="48"/>
      <c r="BU22" s="48"/>
      <c r="BV22" s="48"/>
      <c r="BW22" s="48"/>
      <c r="BX22" s="48"/>
    </row>
    <row r="23" ht="15.75" customHeight="1">
      <c r="A23" s="48" t="s">
        <v>113</v>
      </c>
      <c r="B23" s="48"/>
      <c r="C23" s="48"/>
      <c r="D23" s="48"/>
      <c r="E23" s="48"/>
      <c r="F23" s="48"/>
      <c r="G23" s="48"/>
      <c r="H23" s="48">
        <v>1758.0</v>
      </c>
      <c r="I23" s="48">
        <v>499000.0</v>
      </c>
      <c r="J23" s="48">
        <v>485000.0</v>
      </c>
      <c r="K23" s="52">
        <f t="shared" si="1"/>
        <v>275.8816837</v>
      </c>
      <c r="L23" s="48">
        <v>650000.0</v>
      </c>
      <c r="M23" s="53">
        <f t="shared" ref="M23:M26" si="31">H23</f>
        <v>1758</v>
      </c>
      <c r="N23" s="54">
        <f t="shared" si="3"/>
        <v>369.738339</v>
      </c>
      <c r="O23" s="55">
        <f t="shared" si="4"/>
        <v>165000</v>
      </c>
      <c r="P23" s="50">
        <v>50000.0</v>
      </c>
      <c r="Q23" s="56">
        <f t="shared" si="30"/>
        <v>45500</v>
      </c>
      <c r="R23" s="56">
        <f>0.05*S23</f>
        <v>29025</v>
      </c>
      <c r="S23" s="56">
        <f t="shared" si="7"/>
        <v>580500</v>
      </c>
      <c r="T23" s="56">
        <f t="shared" si="8"/>
        <v>69500</v>
      </c>
      <c r="U23" s="56">
        <f t="shared" si="9"/>
        <v>40475</v>
      </c>
      <c r="V23" s="57">
        <f t="shared" si="10"/>
        <v>0.1197243755</v>
      </c>
      <c r="W23" s="56">
        <f t="shared" si="11"/>
        <v>437500</v>
      </c>
      <c r="X23" s="53">
        <f t="shared" si="12"/>
        <v>47500</v>
      </c>
      <c r="Y23" s="48"/>
      <c r="Z23" s="48"/>
      <c r="AA23" s="48"/>
      <c r="AB23" s="48"/>
      <c r="AC23" s="48"/>
      <c r="AD23" s="48"/>
      <c r="AE23" s="48"/>
      <c r="AF23" s="48"/>
      <c r="AG23" s="48"/>
      <c r="AH23" s="48"/>
      <c r="AI23" s="48"/>
      <c r="AJ23" s="48"/>
      <c r="AK23" s="48"/>
      <c r="AL23" s="48"/>
      <c r="AM23" s="48"/>
      <c r="AN23" s="48"/>
      <c r="AO23" s="48"/>
      <c r="AP23" s="48"/>
      <c r="AQ23" s="48"/>
      <c r="AR23" s="48"/>
      <c r="AS23" s="48"/>
      <c r="AT23" s="48"/>
      <c r="AU23" s="55">
        <v>0.9</v>
      </c>
      <c r="AV23" s="58">
        <f t="shared" si="18"/>
        <v>436500</v>
      </c>
      <c r="AW23" s="58"/>
      <c r="AX23" s="59">
        <v>0.02</v>
      </c>
      <c r="AY23" s="57">
        <v>0.09</v>
      </c>
      <c r="AZ23" s="56">
        <v>3.0</v>
      </c>
      <c r="BA23" s="60">
        <f t="shared" si="19"/>
        <v>3273.75</v>
      </c>
      <c r="BB23" s="60">
        <f t="shared" si="20"/>
        <v>9821.25</v>
      </c>
      <c r="BC23" s="61">
        <f t="shared" si="21"/>
        <v>8730</v>
      </c>
      <c r="BD23" s="62">
        <f t="shared" si="22"/>
        <v>18551.25</v>
      </c>
      <c r="BE23" s="48"/>
      <c r="BF23" s="48"/>
      <c r="BG23" s="48"/>
      <c r="BH23" s="48"/>
      <c r="BI23" s="48"/>
      <c r="BJ23" s="48"/>
      <c r="BK23" s="48"/>
      <c r="BL23" s="48"/>
      <c r="BM23" s="48"/>
      <c r="BN23" s="48"/>
      <c r="BO23" s="48"/>
      <c r="BP23" s="48"/>
      <c r="BQ23" s="48"/>
      <c r="BR23" s="48"/>
      <c r="BS23" s="48"/>
      <c r="BT23" s="48"/>
      <c r="BU23" s="48"/>
      <c r="BV23" s="48"/>
      <c r="BW23" s="48"/>
      <c r="BX23" s="48"/>
    </row>
    <row r="24" ht="15.75" customHeight="1">
      <c r="A24" s="48" t="s">
        <v>114</v>
      </c>
      <c r="B24" s="48"/>
      <c r="C24" s="49">
        <v>42876.0</v>
      </c>
      <c r="D24" s="48"/>
      <c r="E24" s="48"/>
      <c r="F24" s="48"/>
      <c r="G24" s="48"/>
      <c r="H24" s="48">
        <v>1052.0</v>
      </c>
      <c r="I24" s="48">
        <v>229000.0</v>
      </c>
      <c r="J24" s="48">
        <v>215000.0</v>
      </c>
      <c r="K24" s="52">
        <f t="shared" si="1"/>
        <v>204.3726236</v>
      </c>
      <c r="L24" s="48">
        <v>299000.0</v>
      </c>
      <c r="M24" s="53">
        <f t="shared" si="31"/>
        <v>1052</v>
      </c>
      <c r="N24" s="54">
        <f t="shared" si="3"/>
        <v>284.2205323</v>
      </c>
      <c r="O24" s="55">
        <f t="shared" si="4"/>
        <v>84000</v>
      </c>
      <c r="P24" s="50">
        <v>30000.0</v>
      </c>
      <c r="Q24" s="56">
        <f>MULTIPLY(0.05,L24)</f>
        <v>14950</v>
      </c>
      <c r="R24" s="56">
        <f>0.025*(P24+J24)*0.9</f>
        <v>5512.5</v>
      </c>
      <c r="S24" s="56">
        <f t="shared" si="7"/>
        <v>259950</v>
      </c>
      <c r="T24" s="56">
        <f t="shared" si="8"/>
        <v>39050</v>
      </c>
      <c r="U24" s="56">
        <f>T24-R24-BB24</f>
        <v>29183.75</v>
      </c>
      <c r="V24" s="57">
        <f t="shared" si="10"/>
        <v>0.1502211964</v>
      </c>
      <c r="W24" s="56">
        <f t="shared" si="11"/>
        <v>194250</v>
      </c>
      <c r="X24" s="53">
        <f t="shared" si="12"/>
        <v>20750</v>
      </c>
      <c r="Y24" s="48"/>
      <c r="Z24" s="48"/>
      <c r="AA24" s="48"/>
      <c r="AB24" s="48"/>
      <c r="AC24" s="48"/>
      <c r="AD24" s="48"/>
      <c r="AE24" s="48"/>
      <c r="AF24" s="48"/>
      <c r="AG24" s="48"/>
      <c r="AH24" s="48"/>
      <c r="AI24" s="48"/>
      <c r="AJ24" s="48"/>
      <c r="AK24" s="48"/>
      <c r="AL24" s="48"/>
      <c r="AM24" s="48"/>
      <c r="AN24" s="48"/>
      <c r="AO24" s="48"/>
      <c r="AP24" s="48"/>
      <c r="AQ24" s="48"/>
      <c r="AR24" s="48"/>
      <c r="AS24" s="48"/>
      <c r="AT24" s="48"/>
      <c r="AU24" s="55">
        <v>0.9</v>
      </c>
      <c r="AV24" s="58">
        <f t="shared" si="18"/>
        <v>193500</v>
      </c>
      <c r="AW24" s="58"/>
      <c r="AX24" s="59">
        <v>0.02</v>
      </c>
      <c r="AY24" s="57">
        <v>0.09</v>
      </c>
      <c r="AZ24" s="56">
        <v>3.0</v>
      </c>
      <c r="BA24" s="60">
        <f t="shared" si="19"/>
        <v>1451.25</v>
      </c>
      <c r="BB24" s="60">
        <f t="shared" si="20"/>
        <v>4353.75</v>
      </c>
      <c r="BC24" s="61">
        <f t="shared" si="21"/>
        <v>3870</v>
      </c>
      <c r="BD24" s="62">
        <f t="shared" si="22"/>
        <v>8223.75</v>
      </c>
      <c r="BE24" s="48"/>
      <c r="BF24" s="48"/>
      <c r="BG24" s="48"/>
      <c r="BH24" s="48"/>
      <c r="BI24" s="48"/>
      <c r="BJ24" s="48"/>
      <c r="BK24" s="48"/>
      <c r="BL24" s="48"/>
      <c r="BM24" s="48"/>
      <c r="BN24" s="48"/>
      <c r="BO24" s="48"/>
      <c r="BP24" s="48"/>
      <c r="BQ24" s="48"/>
      <c r="BR24" s="48"/>
      <c r="BS24" s="48"/>
      <c r="BT24" s="48"/>
      <c r="BU24" s="48"/>
      <c r="BV24" s="48"/>
      <c r="BW24" s="48"/>
      <c r="BX24" s="48"/>
    </row>
    <row r="25" ht="15.75" customHeight="1">
      <c r="A25" s="48" t="s">
        <v>115</v>
      </c>
      <c r="B25" s="48" t="s">
        <v>116</v>
      </c>
      <c r="C25" s="48"/>
      <c r="D25" s="48"/>
      <c r="E25" s="48" t="s">
        <v>117</v>
      </c>
      <c r="F25" s="48">
        <v>3.0</v>
      </c>
      <c r="G25" s="48">
        <v>2.0</v>
      </c>
      <c r="H25" s="48">
        <v>1612.0</v>
      </c>
      <c r="I25" s="48">
        <v>130000.0</v>
      </c>
      <c r="J25" s="48">
        <v>120000.0</v>
      </c>
      <c r="K25" s="52">
        <f t="shared" si="1"/>
        <v>74.44168734</v>
      </c>
      <c r="L25" s="48">
        <v>250000.0</v>
      </c>
      <c r="M25" s="53">
        <f t="shared" si="31"/>
        <v>1612</v>
      </c>
      <c r="N25" s="54">
        <f t="shared" si="3"/>
        <v>155.0868486</v>
      </c>
      <c r="O25" s="55">
        <f t="shared" si="4"/>
        <v>130000</v>
      </c>
      <c r="P25" s="50">
        <v>70000.0</v>
      </c>
      <c r="Q25" s="56">
        <f t="shared" ref="Q25:Q33" si="32">MULTIPLY(0.07,L25)</f>
        <v>17500</v>
      </c>
      <c r="R25" s="56">
        <f>0.05*S25</f>
        <v>10375</v>
      </c>
      <c r="S25" s="56">
        <f t="shared" si="7"/>
        <v>207500</v>
      </c>
      <c r="T25" s="56">
        <f t="shared" si="8"/>
        <v>42500</v>
      </c>
      <c r="U25" s="56">
        <f t="shared" ref="U25:U26" si="33">T25-R25</f>
        <v>32125</v>
      </c>
      <c r="V25" s="57">
        <f t="shared" si="10"/>
        <v>0.2048192771</v>
      </c>
      <c r="W25" s="56">
        <f t="shared" si="11"/>
        <v>117500</v>
      </c>
      <c r="X25" s="53">
        <f t="shared" si="12"/>
        <v>2500</v>
      </c>
      <c r="Y25" s="48"/>
      <c r="Z25" s="48"/>
      <c r="AA25" s="48"/>
      <c r="AB25" s="48"/>
      <c r="AC25" s="48"/>
      <c r="AD25" s="48"/>
      <c r="AE25" s="48"/>
      <c r="AF25" s="48"/>
      <c r="AG25" s="48"/>
      <c r="AH25" s="48"/>
      <c r="AI25" s="48"/>
      <c r="AJ25" s="48"/>
      <c r="AK25" s="48"/>
      <c r="AL25" s="48"/>
      <c r="AM25" s="48"/>
      <c r="AN25" s="48"/>
      <c r="AO25" s="48"/>
      <c r="AP25" s="48"/>
      <c r="AQ25" s="48"/>
      <c r="AR25" s="48"/>
      <c r="AS25" s="48"/>
      <c r="AT25" s="48"/>
      <c r="AU25" s="55">
        <v>0.9</v>
      </c>
      <c r="AV25" s="58">
        <f t="shared" si="18"/>
        <v>108000</v>
      </c>
      <c r="AW25" s="58"/>
      <c r="AX25" s="59">
        <v>0.02</v>
      </c>
      <c r="AY25" s="57">
        <v>0.09</v>
      </c>
      <c r="AZ25" s="56">
        <v>3.0</v>
      </c>
      <c r="BA25" s="60">
        <f t="shared" si="19"/>
        <v>810</v>
      </c>
      <c r="BB25" s="60">
        <f t="shared" si="20"/>
        <v>2430</v>
      </c>
      <c r="BC25" s="61">
        <f t="shared" si="21"/>
        <v>2160</v>
      </c>
      <c r="BD25" s="62">
        <f t="shared" si="22"/>
        <v>4590</v>
      </c>
      <c r="BE25" s="48"/>
      <c r="BF25" s="48"/>
      <c r="BG25" s="48"/>
      <c r="BH25" s="48"/>
      <c r="BI25" s="48"/>
      <c r="BJ25" s="48"/>
      <c r="BK25" s="48"/>
      <c r="BL25" s="48"/>
      <c r="BM25" s="48"/>
      <c r="BN25" s="48"/>
      <c r="BO25" s="48"/>
      <c r="BP25" s="48"/>
      <c r="BQ25" s="48"/>
      <c r="BR25" s="48"/>
      <c r="BS25" s="48"/>
      <c r="BT25" s="48"/>
      <c r="BU25" s="48"/>
      <c r="BV25" s="48"/>
      <c r="BW25" s="48"/>
      <c r="BX25" s="48"/>
    </row>
    <row r="26" ht="15.75" customHeight="1">
      <c r="A26" s="48" t="s">
        <v>118</v>
      </c>
      <c r="B26" s="48"/>
      <c r="C26" s="49">
        <v>42876.0</v>
      </c>
      <c r="D26" s="48"/>
      <c r="E26" s="48" t="s">
        <v>119</v>
      </c>
      <c r="F26" s="48">
        <v>2.0</v>
      </c>
      <c r="G26" s="48">
        <v>1.0</v>
      </c>
      <c r="H26" s="48">
        <v>822.0</v>
      </c>
      <c r="I26" s="48">
        <v>230000.0</v>
      </c>
      <c r="J26" s="48">
        <v>180000.0</v>
      </c>
      <c r="K26" s="52">
        <f t="shared" si="1"/>
        <v>218.9781022</v>
      </c>
      <c r="L26" s="48">
        <v>280000.0</v>
      </c>
      <c r="M26" s="53">
        <f t="shared" si="31"/>
        <v>822</v>
      </c>
      <c r="N26" s="54">
        <f t="shared" si="3"/>
        <v>340.6326034</v>
      </c>
      <c r="O26" s="55">
        <f t="shared" si="4"/>
        <v>100000</v>
      </c>
      <c r="P26" s="50">
        <v>40000.0</v>
      </c>
      <c r="Q26" s="56">
        <f t="shared" si="32"/>
        <v>19600</v>
      </c>
      <c r="R26" s="56">
        <f t="shared" ref="R26:R27" si="34">0.025*(P26+J26)*0.9</f>
        <v>4950</v>
      </c>
      <c r="S26" s="56">
        <f t="shared" si="7"/>
        <v>239600</v>
      </c>
      <c r="T26" s="56">
        <f t="shared" si="8"/>
        <v>40400</v>
      </c>
      <c r="U26" s="56">
        <f t="shared" si="33"/>
        <v>35450</v>
      </c>
      <c r="V26" s="57">
        <f t="shared" si="10"/>
        <v>0.1686143573</v>
      </c>
      <c r="W26" s="56">
        <f t="shared" si="11"/>
        <v>170000</v>
      </c>
      <c r="X26" s="53">
        <f t="shared" si="12"/>
        <v>10000</v>
      </c>
      <c r="Y26" s="48"/>
      <c r="Z26" s="48"/>
      <c r="AA26" s="48"/>
      <c r="AB26" s="48"/>
      <c r="AC26" s="48"/>
      <c r="AD26" s="48"/>
      <c r="AE26" s="48"/>
      <c r="AF26" s="48"/>
      <c r="AG26" s="48"/>
      <c r="AH26" s="48"/>
      <c r="AI26" s="48"/>
      <c r="AJ26" s="48"/>
      <c r="AK26" s="48"/>
      <c r="AL26" s="48"/>
      <c r="AM26" s="48"/>
      <c r="AN26" s="48"/>
      <c r="AO26" s="48"/>
      <c r="AP26" s="48"/>
      <c r="AQ26" s="48"/>
      <c r="AR26" s="48"/>
      <c r="AS26" s="48"/>
      <c r="AT26" s="48"/>
      <c r="AU26" s="55">
        <v>0.9</v>
      </c>
      <c r="AV26" s="58">
        <f t="shared" si="18"/>
        <v>162000</v>
      </c>
      <c r="AW26" s="58"/>
      <c r="AX26" s="59">
        <v>0.02</v>
      </c>
      <c r="AY26" s="57">
        <v>0.09</v>
      </c>
      <c r="AZ26" s="56">
        <v>3.0</v>
      </c>
      <c r="BA26" s="60">
        <f t="shared" si="19"/>
        <v>1215</v>
      </c>
      <c r="BB26" s="60">
        <f t="shared" si="20"/>
        <v>3645</v>
      </c>
      <c r="BC26" s="61">
        <f t="shared" si="21"/>
        <v>3240</v>
      </c>
      <c r="BD26" s="62">
        <f t="shared" si="22"/>
        <v>6885</v>
      </c>
      <c r="BE26" s="48"/>
      <c r="BF26" s="48"/>
      <c r="BG26" s="48"/>
      <c r="BH26" s="48"/>
      <c r="BI26" s="48"/>
      <c r="BJ26" s="48"/>
      <c r="BK26" s="48"/>
      <c r="BL26" s="48"/>
      <c r="BM26" s="48"/>
      <c r="BN26" s="48"/>
      <c r="BO26" s="48"/>
      <c r="BP26" s="48"/>
      <c r="BQ26" s="48"/>
      <c r="BR26" s="48"/>
      <c r="BS26" s="48"/>
      <c r="BT26" s="48"/>
      <c r="BU26" s="48"/>
      <c r="BV26" s="48"/>
      <c r="BW26" s="48"/>
      <c r="BX26" s="48"/>
    </row>
    <row r="27" ht="15.75" customHeight="1">
      <c r="A27" s="48" t="s">
        <v>120</v>
      </c>
      <c r="B27" s="48"/>
      <c r="C27" s="48"/>
      <c r="D27" s="48"/>
      <c r="E27" s="48"/>
      <c r="F27" s="48">
        <v>4.0</v>
      </c>
      <c r="G27" s="48">
        <v>3.0</v>
      </c>
      <c r="H27" s="48">
        <v>2016.0</v>
      </c>
      <c r="I27" s="48">
        <v>350000.0</v>
      </c>
      <c r="J27" s="48">
        <v>300000.0</v>
      </c>
      <c r="K27" s="52">
        <f t="shared" si="1"/>
        <v>148.8095238</v>
      </c>
      <c r="L27" s="48">
        <v>450000.0</v>
      </c>
      <c r="M27" s="53">
        <v>2016.0</v>
      </c>
      <c r="N27" s="54">
        <f t="shared" si="3"/>
        <v>223.2142857</v>
      </c>
      <c r="O27" s="55">
        <f t="shared" si="4"/>
        <v>150000</v>
      </c>
      <c r="P27" s="50">
        <v>50000.0</v>
      </c>
      <c r="Q27" s="56">
        <f t="shared" si="32"/>
        <v>31500</v>
      </c>
      <c r="R27" s="56">
        <f t="shared" si="34"/>
        <v>7875</v>
      </c>
      <c r="S27" s="56">
        <f t="shared" si="7"/>
        <v>381500</v>
      </c>
      <c r="T27" s="56">
        <f t="shared" si="8"/>
        <v>68500</v>
      </c>
      <c r="U27" s="56">
        <f>T27-R27-BB27</f>
        <v>54550</v>
      </c>
      <c r="V27" s="57">
        <f t="shared" si="10"/>
        <v>0.1795543906</v>
      </c>
      <c r="W27" s="56">
        <f t="shared" si="11"/>
        <v>287500</v>
      </c>
      <c r="X27" s="53">
        <f t="shared" si="12"/>
        <v>12500</v>
      </c>
      <c r="Y27" s="48"/>
      <c r="Z27" s="48"/>
      <c r="AA27" s="48"/>
      <c r="AB27" s="48"/>
      <c r="AC27" s="48"/>
      <c r="AD27" s="48"/>
      <c r="AE27" s="48"/>
      <c r="AF27" s="48"/>
      <c r="AG27" s="48"/>
      <c r="AH27" s="48"/>
      <c r="AI27" s="48"/>
      <c r="AJ27" s="48"/>
      <c r="AK27" s="48"/>
      <c r="AL27" s="48"/>
      <c r="AM27" s="48"/>
      <c r="AN27" s="48"/>
      <c r="AO27" s="48"/>
      <c r="AP27" s="48"/>
      <c r="AQ27" s="48"/>
      <c r="AR27" s="48"/>
      <c r="AS27" s="48"/>
      <c r="AT27" s="48"/>
      <c r="AU27" s="55">
        <v>0.9</v>
      </c>
      <c r="AV27" s="58">
        <f t="shared" si="18"/>
        <v>270000</v>
      </c>
      <c r="AW27" s="58"/>
      <c r="AX27" s="59">
        <v>0.02</v>
      </c>
      <c r="AY27" s="57">
        <v>0.09</v>
      </c>
      <c r="AZ27" s="56">
        <v>3.0</v>
      </c>
      <c r="BA27" s="60">
        <f t="shared" si="19"/>
        <v>2025</v>
      </c>
      <c r="BB27" s="60">
        <f t="shared" si="20"/>
        <v>6075</v>
      </c>
      <c r="BC27" s="61">
        <f t="shared" si="21"/>
        <v>5400</v>
      </c>
      <c r="BD27" s="62">
        <f t="shared" si="22"/>
        <v>11475</v>
      </c>
      <c r="BE27" s="48"/>
      <c r="BF27" s="48"/>
      <c r="BG27" s="48"/>
      <c r="BH27" s="48"/>
      <c r="BI27" s="48"/>
      <c r="BJ27" s="48"/>
      <c r="BK27" s="48"/>
      <c r="BL27" s="48"/>
      <c r="BM27" s="48"/>
      <c r="BN27" s="48"/>
      <c r="BO27" s="48"/>
      <c r="BP27" s="48"/>
      <c r="BQ27" s="48"/>
      <c r="BR27" s="48"/>
      <c r="BS27" s="48"/>
      <c r="BT27" s="48"/>
      <c r="BU27" s="48"/>
      <c r="BV27" s="48"/>
      <c r="BW27" s="48"/>
      <c r="BX27" s="48"/>
    </row>
    <row r="28" ht="15.75" customHeight="1">
      <c r="A28" s="48" t="s">
        <v>121</v>
      </c>
      <c r="B28" s="48"/>
      <c r="C28" s="48"/>
      <c r="D28" s="48"/>
      <c r="E28" s="48"/>
      <c r="F28" s="48">
        <v>3.0</v>
      </c>
      <c r="G28" s="48">
        <v>3.0</v>
      </c>
      <c r="H28" s="48">
        <v>2349.0</v>
      </c>
      <c r="I28" s="48"/>
      <c r="J28" s="48"/>
      <c r="K28" s="52">
        <f t="shared" si="1"/>
        <v>0</v>
      </c>
      <c r="L28" s="48"/>
      <c r="M28" s="53">
        <f t="shared" ref="M28:M30" si="35">H28</f>
        <v>2349</v>
      </c>
      <c r="N28" s="54">
        <f t="shared" si="3"/>
        <v>0</v>
      </c>
      <c r="O28" s="55">
        <f t="shared" si="4"/>
        <v>0</v>
      </c>
      <c r="P28" s="50"/>
      <c r="Q28" s="56">
        <f t="shared" si="32"/>
        <v>0</v>
      </c>
      <c r="R28" s="56">
        <f t="shared" ref="R28:R33" si="36">0.05*S28</f>
        <v>0</v>
      </c>
      <c r="S28" s="56">
        <f t="shared" si="7"/>
        <v>0</v>
      </c>
      <c r="T28" s="56">
        <f t="shared" si="8"/>
        <v>0</v>
      </c>
      <c r="U28" s="56">
        <f t="shared" ref="U28:U78" si="37">T28-R28</f>
        <v>0</v>
      </c>
      <c r="V28" s="57" t="str">
        <f t="shared" si="10"/>
        <v>#DIV/0!</v>
      </c>
      <c r="W28" s="56">
        <f t="shared" si="11"/>
        <v>0</v>
      </c>
      <c r="X28" s="53">
        <f t="shared" si="12"/>
        <v>0</v>
      </c>
      <c r="Y28" s="48"/>
      <c r="Z28" s="48"/>
      <c r="AA28" s="48"/>
      <c r="AB28" s="48"/>
      <c r="AC28" s="48"/>
      <c r="AD28" s="48"/>
      <c r="AE28" s="48"/>
      <c r="AF28" s="48"/>
      <c r="AG28" s="48"/>
      <c r="AH28" s="48"/>
      <c r="AI28" s="48"/>
      <c r="AJ28" s="48"/>
      <c r="AK28" s="48"/>
      <c r="AL28" s="48"/>
      <c r="AM28" s="48"/>
      <c r="AN28" s="48"/>
      <c r="AO28" s="48"/>
      <c r="AP28" s="48"/>
      <c r="AQ28" s="48"/>
      <c r="AR28" s="48"/>
      <c r="AS28" s="48"/>
      <c r="AT28" s="48"/>
      <c r="AU28" s="55">
        <v>0.9</v>
      </c>
      <c r="AV28" s="58">
        <f t="shared" si="18"/>
        <v>0</v>
      </c>
      <c r="AW28" s="58"/>
      <c r="AX28" s="59">
        <v>0.02</v>
      </c>
      <c r="AY28" s="57">
        <v>0.09</v>
      </c>
      <c r="AZ28" s="56">
        <v>3.0</v>
      </c>
      <c r="BA28" s="60">
        <f t="shared" si="19"/>
        <v>0</v>
      </c>
      <c r="BB28" s="60">
        <f t="shared" si="20"/>
        <v>0</v>
      </c>
      <c r="BC28" s="61">
        <f t="shared" si="21"/>
        <v>0</v>
      </c>
      <c r="BD28" s="62">
        <f t="shared" si="22"/>
        <v>0</v>
      </c>
      <c r="BE28" s="48"/>
      <c r="BF28" s="48"/>
      <c r="BG28" s="48"/>
      <c r="BH28" s="48"/>
      <c r="BI28" s="48"/>
      <c r="BJ28" s="48"/>
      <c r="BK28" s="48"/>
      <c r="BL28" s="48"/>
      <c r="BM28" s="48"/>
      <c r="BN28" s="48"/>
      <c r="BO28" s="48"/>
      <c r="BP28" s="48"/>
      <c r="BQ28" s="48"/>
      <c r="BR28" s="48"/>
      <c r="BS28" s="48"/>
      <c r="BT28" s="48"/>
      <c r="BU28" s="48"/>
      <c r="BV28" s="48"/>
      <c r="BW28" s="48"/>
      <c r="BX28" s="48"/>
    </row>
    <row r="29" ht="15.75" customHeight="1">
      <c r="A29" s="48" t="s">
        <v>122</v>
      </c>
      <c r="B29" s="48" t="s">
        <v>123</v>
      </c>
      <c r="C29" s="48"/>
      <c r="D29" s="48"/>
      <c r="E29" s="48"/>
      <c r="F29" s="48"/>
      <c r="G29" s="48"/>
      <c r="H29" s="48"/>
      <c r="I29" s="48">
        <v>200000.0</v>
      </c>
      <c r="J29" s="48">
        <v>215000.0</v>
      </c>
      <c r="K29" s="52" t="str">
        <f t="shared" si="1"/>
        <v>#DIV/0!</v>
      </c>
      <c r="L29" s="48">
        <v>325000.0</v>
      </c>
      <c r="M29" s="53" t="str">
        <f t="shared" si="35"/>
        <v/>
      </c>
      <c r="N29" s="54" t="str">
        <f t="shared" si="3"/>
        <v>#DIV/0!</v>
      </c>
      <c r="O29" s="55">
        <f t="shared" si="4"/>
        <v>110000</v>
      </c>
      <c r="P29" s="50">
        <v>25000.0</v>
      </c>
      <c r="Q29" s="56">
        <f t="shared" si="32"/>
        <v>22750</v>
      </c>
      <c r="R29" s="56">
        <f t="shared" si="36"/>
        <v>13137.5</v>
      </c>
      <c r="S29" s="56">
        <f t="shared" si="7"/>
        <v>262750</v>
      </c>
      <c r="T29" s="56">
        <f t="shared" si="8"/>
        <v>62250</v>
      </c>
      <c r="U29" s="56">
        <f t="shared" si="37"/>
        <v>49112.5</v>
      </c>
      <c r="V29" s="57">
        <f t="shared" si="10"/>
        <v>0.2369172217</v>
      </c>
      <c r="W29" s="56">
        <f t="shared" si="11"/>
        <v>218750</v>
      </c>
      <c r="X29" s="53">
        <f t="shared" si="12"/>
        <v>-3750</v>
      </c>
      <c r="Y29" s="48" t="s">
        <v>124</v>
      </c>
      <c r="Z29" s="48"/>
      <c r="AA29" s="48"/>
      <c r="AB29" s="48"/>
      <c r="AC29" s="48"/>
      <c r="AD29" s="48"/>
      <c r="AE29" s="48"/>
      <c r="AF29" s="48"/>
      <c r="AG29" s="48"/>
      <c r="AH29" s="48"/>
      <c r="AI29" s="48"/>
      <c r="AJ29" s="48"/>
      <c r="AK29" s="48"/>
      <c r="AL29" s="48"/>
      <c r="AM29" s="48"/>
      <c r="AN29" s="48"/>
      <c r="AO29" s="48"/>
      <c r="AP29" s="48"/>
      <c r="AQ29" s="48"/>
      <c r="AR29" s="48"/>
      <c r="AS29" s="48"/>
      <c r="AT29" s="48"/>
      <c r="AU29" s="55">
        <v>0.9</v>
      </c>
      <c r="AV29" s="58">
        <f t="shared" si="18"/>
        <v>193500</v>
      </c>
      <c r="AW29" s="58"/>
      <c r="AX29" s="59">
        <v>0.02</v>
      </c>
      <c r="AY29" s="57">
        <v>0.09</v>
      </c>
      <c r="AZ29" s="56">
        <v>3.0</v>
      </c>
      <c r="BA29" s="60">
        <f t="shared" si="19"/>
        <v>1451.25</v>
      </c>
      <c r="BB29" s="60">
        <f t="shared" si="20"/>
        <v>4353.75</v>
      </c>
      <c r="BC29" s="61">
        <f t="shared" si="21"/>
        <v>3870</v>
      </c>
      <c r="BD29" s="62">
        <f t="shared" si="22"/>
        <v>8223.75</v>
      </c>
      <c r="BE29" s="48"/>
      <c r="BF29" s="48"/>
      <c r="BG29" s="48"/>
      <c r="BH29" s="48"/>
      <c r="BI29" s="48"/>
      <c r="BJ29" s="48"/>
      <c r="BK29" s="48"/>
      <c r="BL29" s="48"/>
      <c r="BM29" s="48"/>
      <c r="BN29" s="48"/>
      <c r="BO29" s="48"/>
      <c r="BP29" s="48"/>
      <c r="BQ29" s="48"/>
      <c r="BR29" s="48"/>
      <c r="BS29" s="48"/>
      <c r="BT29" s="48"/>
      <c r="BU29" s="48"/>
      <c r="BV29" s="48"/>
      <c r="BW29" s="48"/>
      <c r="BX29" s="48"/>
    </row>
    <row r="30" ht="15.75" customHeight="1">
      <c r="A30" s="48" t="s">
        <v>125</v>
      </c>
      <c r="B30" s="48" t="s">
        <v>126</v>
      </c>
      <c r="C30" s="49">
        <v>42889.0</v>
      </c>
      <c r="D30" s="48"/>
      <c r="E30" s="48"/>
      <c r="F30" s="48"/>
      <c r="G30" s="48"/>
      <c r="H30" s="48"/>
      <c r="I30" s="48">
        <v>271000.0</v>
      </c>
      <c r="J30" s="48">
        <v>271000.0</v>
      </c>
      <c r="K30" s="52" t="str">
        <f t="shared" si="1"/>
        <v>#DIV/0!</v>
      </c>
      <c r="L30" s="48">
        <v>340000.0</v>
      </c>
      <c r="M30" s="53" t="str">
        <f t="shared" si="35"/>
        <v/>
      </c>
      <c r="N30" s="54" t="str">
        <f t="shared" si="3"/>
        <v>#DIV/0!</v>
      </c>
      <c r="O30" s="55">
        <f t="shared" si="4"/>
        <v>69000</v>
      </c>
      <c r="P30" s="50">
        <v>30000.0</v>
      </c>
      <c r="Q30" s="56">
        <f t="shared" si="32"/>
        <v>23800</v>
      </c>
      <c r="R30" s="56">
        <f t="shared" si="36"/>
        <v>16240</v>
      </c>
      <c r="S30" s="56">
        <f t="shared" si="7"/>
        <v>324800</v>
      </c>
      <c r="T30" s="56">
        <f t="shared" si="8"/>
        <v>15200</v>
      </c>
      <c r="U30" s="56">
        <f t="shared" si="37"/>
        <v>-1040</v>
      </c>
      <c r="V30" s="57">
        <f t="shared" si="10"/>
        <v>0.04679802956</v>
      </c>
      <c r="W30" s="56">
        <f t="shared" si="11"/>
        <v>225000</v>
      </c>
      <c r="X30" s="53">
        <f t="shared" si="12"/>
        <v>46000</v>
      </c>
      <c r="Y30" s="48" t="s">
        <v>126</v>
      </c>
      <c r="Z30" s="48"/>
      <c r="AA30" s="48"/>
      <c r="AB30" s="48"/>
      <c r="AC30" s="48"/>
      <c r="AD30" s="48"/>
      <c r="AE30" s="48"/>
      <c r="AF30" s="48"/>
      <c r="AG30" s="48"/>
      <c r="AH30" s="48"/>
      <c r="AI30" s="48"/>
      <c r="AJ30" s="48"/>
      <c r="AK30" s="48"/>
      <c r="AL30" s="48"/>
      <c r="AM30" s="48"/>
      <c r="AN30" s="48"/>
      <c r="AO30" s="48"/>
      <c r="AP30" s="48"/>
      <c r="AQ30" s="48"/>
      <c r="AR30" s="48"/>
      <c r="AS30" s="48"/>
      <c r="AT30" s="48"/>
      <c r="AU30" s="55">
        <v>0.9</v>
      </c>
      <c r="AV30" s="58">
        <f t="shared" si="18"/>
        <v>243900</v>
      </c>
      <c r="AW30" s="58"/>
      <c r="AX30" s="59">
        <v>0.02</v>
      </c>
      <c r="AY30" s="57">
        <v>0.09</v>
      </c>
      <c r="AZ30" s="56">
        <v>3.0</v>
      </c>
      <c r="BA30" s="60">
        <f t="shared" si="19"/>
        <v>1829.25</v>
      </c>
      <c r="BB30" s="60">
        <f t="shared" si="20"/>
        <v>5487.75</v>
      </c>
      <c r="BC30" s="61">
        <f t="shared" si="21"/>
        <v>4878</v>
      </c>
      <c r="BD30" s="62">
        <f t="shared" si="22"/>
        <v>10365.75</v>
      </c>
      <c r="BE30" s="48"/>
      <c r="BF30" s="48"/>
      <c r="BG30" s="48"/>
      <c r="BH30" s="48"/>
      <c r="BI30" s="48"/>
      <c r="BJ30" s="48"/>
      <c r="BK30" s="48"/>
      <c r="BL30" s="48"/>
      <c r="BM30" s="48"/>
      <c r="BN30" s="48"/>
      <c r="BO30" s="48"/>
      <c r="BP30" s="48"/>
      <c r="BQ30" s="48"/>
      <c r="BR30" s="48"/>
      <c r="BS30" s="48"/>
      <c r="BT30" s="48"/>
      <c r="BU30" s="48"/>
      <c r="BV30" s="48"/>
      <c r="BW30" s="48"/>
      <c r="BX30" s="48"/>
    </row>
    <row r="31" ht="15.75" customHeight="1">
      <c r="A31" s="67" t="s">
        <v>127</v>
      </c>
      <c r="B31" s="48" t="s">
        <v>128</v>
      </c>
      <c r="C31" s="49">
        <v>42893.0</v>
      </c>
      <c r="D31" s="48"/>
      <c r="E31" s="48"/>
      <c r="F31" s="48">
        <v>3.0</v>
      </c>
      <c r="G31" s="48">
        <v>2.0</v>
      </c>
      <c r="H31" s="48">
        <v>1120.0</v>
      </c>
      <c r="I31" s="48">
        <v>246900.0</v>
      </c>
      <c r="J31" s="48">
        <v>246900.0</v>
      </c>
      <c r="K31" s="52">
        <f t="shared" si="1"/>
        <v>220.4464286</v>
      </c>
      <c r="L31" s="48">
        <v>310000.0</v>
      </c>
      <c r="M31" s="53">
        <v>1400.0</v>
      </c>
      <c r="N31" s="54">
        <f t="shared" si="3"/>
        <v>221.4285714</v>
      </c>
      <c r="O31" s="55">
        <f t="shared" si="4"/>
        <v>63100</v>
      </c>
      <c r="P31" s="50">
        <v>20000.0</v>
      </c>
      <c r="Q31" s="56">
        <f t="shared" si="32"/>
        <v>21700</v>
      </c>
      <c r="R31" s="56">
        <f t="shared" si="36"/>
        <v>14430</v>
      </c>
      <c r="S31" s="56">
        <f t="shared" si="7"/>
        <v>288600</v>
      </c>
      <c r="T31" s="56">
        <f t="shared" si="8"/>
        <v>21400</v>
      </c>
      <c r="U31" s="56">
        <f t="shared" si="37"/>
        <v>6970</v>
      </c>
      <c r="V31" s="57">
        <f t="shared" si="10"/>
        <v>0.07415107415</v>
      </c>
      <c r="W31" s="56">
        <f t="shared" si="11"/>
        <v>212500</v>
      </c>
      <c r="X31" s="53">
        <f t="shared" si="12"/>
        <v>34400</v>
      </c>
      <c r="Y31" s="48" t="s">
        <v>129</v>
      </c>
      <c r="Z31" s="48"/>
      <c r="AA31" s="48"/>
      <c r="AB31" s="48"/>
      <c r="AC31" s="48"/>
      <c r="AD31" s="48"/>
      <c r="AE31" s="48"/>
      <c r="AF31" s="48"/>
      <c r="AG31" s="48"/>
      <c r="AH31" s="48"/>
      <c r="AI31" s="48"/>
      <c r="AJ31" s="48"/>
      <c r="AK31" s="48"/>
      <c r="AL31" s="48"/>
      <c r="AM31" s="48"/>
      <c r="AN31" s="48"/>
      <c r="AO31" s="48"/>
      <c r="AP31" s="48"/>
      <c r="AQ31" s="48"/>
      <c r="AR31" s="48"/>
      <c r="AS31" s="48"/>
      <c r="AT31" s="48"/>
      <c r="AU31" s="55">
        <v>0.9</v>
      </c>
      <c r="AV31" s="58">
        <f t="shared" si="18"/>
        <v>222210</v>
      </c>
      <c r="AW31" s="58"/>
      <c r="AX31" s="59">
        <v>0.02</v>
      </c>
      <c r="AY31" s="57">
        <v>0.09</v>
      </c>
      <c r="AZ31" s="56">
        <v>3.0</v>
      </c>
      <c r="BA31" s="60">
        <f t="shared" si="19"/>
        <v>1666.575</v>
      </c>
      <c r="BB31" s="60">
        <f t="shared" si="20"/>
        <v>4999.725</v>
      </c>
      <c r="BC31" s="61">
        <f t="shared" si="21"/>
        <v>4444.2</v>
      </c>
      <c r="BD31" s="62">
        <f t="shared" si="22"/>
        <v>9443.925</v>
      </c>
      <c r="BE31" s="48"/>
      <c r="BF31" s="48"/>
      <c r="BG31" s="48"/>
      <c r="BH31" s="48"/>
      <c r="BI31" s="48"/>
      <c r="BJ31" s="48"/>
      <c r="BK31" s="48"/>
      <c r="BL31" s="48"/>
      <c r="BM31" s="48"/>
      <c r="BN31" s="48"/>
      <c r="BO31" s="48"/>
      <c r="BP31" s="48"/>
      <c r="BQ31" s="48"/>
      <c r="BR31" s="48"/>
      <c r="BS31" s="48"/>
      <c r="BT31" s="48"/>
      <c r="BU31" s="48"/>
      <c r="BV31" s="48"/>
      <c r="BW31" s="48"/>
      <c r="BX31" s="48"/>
    </row>
    <row r="32" ht="15.75" customHeight="1">
      <c r="A32" s="48" t="s">
        <v>130</v>
      </c>
      <c r="B32" s="48" t="s">
        <v>131</v>
      </c>
      <c r="C32" s="49">
        <v>42893.0</v>
      </c>
      <c r="D32" s="48"/>
      <c r="E32" s="48"/>
      <c r="F32" s="48">
        <v>4.0</v>
      </c>
      <c r="G32" s="48">
        <v>3.0</v>
      </c>
      <c r="H32" s="48">
        <v>2108.0</v>
      </c>
      <c r="I32" s="48">
        <v>450000.0</v>
      </c>
      <c r="J32" s="48">
        <v>350000.0</v>
      </c>
      <c r="K32" s="52">
        <f t="shared" si="1"/>
        <v>166.0341556</v>
      </c>
      <c r="L32" s="48">
        <v>450000.0</v>
      </c>
      <c r="M32" s="53">
        <f t="shared" ref="M32:M33" si="38">H32</f>
        <v>2108</v>
      </c>
      <c r="N32" s="54">
        <f t="shared" si="3"/>
        <v>213.4724858</v>
      </c>
      <c r="O32" s="55">
        <f t="shared" si="4"/>
        <v>100000</v>
      </c>
      <c r="P32" s="50"/>
      <c r="Q32" s="56">
        <f t="shared" si="32"/>
        <v>31500</v>
      </c>
      <c r="R32" s="56">
        <f t="shared" si="36"/>
        <v>19075</v>
      </c>
      <c r="S32" s="56">
        <f t="shared" si="7"/>
        <v>381500</v>
      </c>
      <c r="T32" s="56">
        <f t="shared" si="8"/>
        <v>68500</v>
      </c>
      <c r="U32" s="56">
        <f t="shared" si="37"/>
        <v>49425</v>
      </c>
      <c r="V32" s="57">
        <f t="shared" si="10"/>
        <v>0.1795543906</v>
      </c>
      <c r="W32" s="56">
        <f t="shared" si="11"/>
        <v>337500</v>
      </c>
      <c r="X32" s="53">
        <f t="shared" si="12"/>
        <v>12500</v>
      </c>
      <c r="Y32" s="48" t="s">
        <v>132</v>
      </c>
      <c r="Z32" s="48"/>
      <c r="AA32" s="48"/>
      <c r="AB32" s="48"/>
      <c r="AC32" s="48"/>
      <c r="AD32" s="48"/>
      <c r="AE32" s="48"/>
      <c r="AF32" s="48"/>
      <c r="AG32" s="48"/>
      <c r="AH32" s="48"/>
      <c r="AI32" s="48"/>
      <c r="AJ32" s="48"/>
      <c r="AK32" s="48"/>
      <c r="AL32" s="48"/>
      <c r="AM32" s="48"/>
      <c r="AN32" s="48"/>
      <c r="AO32" s="48"/>
      <c r="AP32" s="48"/>
      <c r="AQ32" s="48"/>
      <c r="AR32" s="48"/>
      <c r="AS32" s="48"/>
      <c r="AT32" s="48"/>
      <c r="AU32" s="55">
        <v>0.9</v>
      </c>
      <c r="AV32" s="58">
        <f t="shared" si="18"/>
        <v>315000</v>
      </c>
      <c r="AW32" s="58"/>
      <c r="AX32" s="59">
        <v>0.02</v>
      </c>
      <c r="AY32" s="57">
        <v>0.09</v>
      </c>
      <c r="AZ32" s="56">
        <v>3.0</v>
      </c>
      <c r="BA32" s="60">
        <f t="shared" si="19"/>
        <v>2362.5</v>
      </c>
      <c r="BB32" s="60">
        <f t="shared" si="20"/>
        <v>7087.5</v>
      </c>
      <c r="BC32" s="61">
        <f t="shared" si="21"/>
        <v>6300</v>
      </c>
      <c r="BD32" s="62">
        <f t="shared" si="22"/>
        <v>13387.5</v>
      </c>
      <c r="BE32" s="48"/>
      <c r="BF32" s="48"/>
      <c r="BG32" s="48"/>
      <c r="BH32" s="48"/>
      <c r="BI32" s="48"/>
      <c r="BJ32" s="48"/>
      <c r="BK32" s="48"/>
      <c r="BL32" s="48"/>
      <c r="BM32" s="48"/>
      <c r="BN32" s="48"/>
      <c r="BO32" s="48"/>
      <c r="BP32" s="48"/>
      <c r="BQ32" s="48"/>
      <c r="BR32" s="48"/>
      <c r="BS32" s="48"/>
      <c r="BT32" s="48"/>
      <c r="BU32" s="48"/>
      <c r="BV32" s="48"/>
      <c r="BW32" s="48"/>
      <c r="BX32" s="48"/>
    </row>
    <row r="33" ht="15.75" customHeight="1">
      <c r="A33" s="48" t="s">
        <v>133</v>
      </c>
      <c r="B33" s="48"/>
      <c r="C33" s="49">
        <v>42893.0</v>
      </c>
      <c r="D33" s="48"/>
      <c r="E33" s="48"/>
      <c r="F33" s="48">
        <v>3.0</v>
      </c>
      <c r="G33" s="48">
        <v>1.0</v>
      </c>
      <c r="H33" s="48">
        <v>1300.0</v>
      </c>
      <c r="I33" s="48">
        <v>249000.0</v>
      </c>
      <c r="J33" s="48">
        <v>235000.0</v>
      </c>
      <c r="K33" s="52">
        <f t="shared" si="1"/>
        <v>180.7692308</v>
      </c>
      <c r="L33" s="48">
        <v>350000.0</v>
      </c>
      <c r="M33" s="53">
        <f t="shared" si="38"/>
        <v>1300</v>
      </c>
      <c r="N33" s="54">
        <f t="shared" si="3"/>
        <v>269.2307692</v>
      </c>
      <c r="O33" s="55">
        <f t="shared" si="4"/>
        <v>115000</v>
      </c>
      <c r="P33" s="50">
        <v>35000.0</v>
      </c>
      <c r="Q33" s="56">
        <f t="shared" si="32"/>
        <v>24500</v>
      </c>
      <c r="R33" s="56">
        <f t="shared" si="36"/>
        <v>14725</v>
      </c>
      <c r="S33" s="56">
        <f t="shared" si="7"/>
        <v>294500</v>
      </c>
      <c r="T33" s="56">
        <f t="shared" si="8"/>
        <v>55500</v>
      </c>
      <c r="U33" s="56">
        <f t="shared" si="37"/>
        <v>40775</v>
      </c>
      <c r="V33" s="57">
        <f t="shared" si="10"/>
        <v>0.1884550085</v>
      </c>
      <c r="W33" s="56">
        <f t="shared" si="11"/>
        <v>227500</v>
      </c>
      <c r="X33" s="53">
        <f t="shared" si="12"/>
        <v>7500</v>
      </c>
      <c r="Y33" s="48"/>
      <c r="Z33" s="48"/>
      <c r="AA33" s="48"/>
      <c r="AB33" s="48"/>
      <c r="AC33" s="48"/>
      <c r="AD33" s="48"/>
      <c r="AE33" s="48"/>
      <c r="AF33" s="48"/>
      <c r="AG33" s="48"/>
      <c r="AH33" s="48"/>
      <c r="AI33" s="48"/>
      <c r="AJ33" s="48"/>
      <c r="AK33" s="48"/>
      <c r="AL33" s="48"/>
      <c r="AM33" s="48"/>
      <c r="AN33" s="48"/>
      <c r="AO33" s="48"/>
      <c r="AP33" s="48"/>
      <c r="AQ33" s="48"/>
      <c r="AR33" s="48"/>
      <c r="AS33" s="48"/>
      <c r="AT33" s="48"/>
      <c r="AU33" s="55">
        <v>0.9</v>
      </c>
      <c r="AV33" s="58">
        <f t="shared" si="18"/>
        <v>211500</v>
      </c>
      <c r="AW33" s="58"/>
      <c r="AX33" s="59">
        <v>0.02</v>
      </c>
      <c r="AY33" s="57">
        <v>0.09</v>
      </c>
      <c r="AZ33" s="56">
        <v>3.0</v>
      </c>
      <c r="BA33" s="60">
        <f t="shared" si="19"/>
        <v>1586.25</v>
      </c>
      <c r="BB33" s="60">
        <f t="shared" si="20"/>
        <v>4758.75</v>
      </c>
      <c r="BC33" s="61">
        <f t="shared" si="21"/>
        <v>4230</v>
      </c>
      <c r="BD33" s="62">
        <f t="shared" si="22"/>
        <v>8988.75</v>
      </c>
      <c r="BE33" s="48"/>
      <c r="BF33" s="48"/>
      <c r="BG33" s="48"/>
      <c r="BH33" s="48"/>
      <c r="BI33" s="48"/>
      <c r="BJ33" s="48"/>
      <c r="BK33" s="48"/>
      <c r="BL33" s="48"/>
      <c r="BM33" s="48"/>
      <c r="BN33" s="48"/>
      <c r="BO33" s="48"/>
      <c r="BP33" s="48"/>
      <c r="BQ33" s="48"/>
      <c r="BR33" s="48"/>
      <c r="BS33" s="48"/>
      <c r="BT33" s="48"/>
      <c r="BU33" s="48"/>
      <c r="BV33" s="48"/>
      <c r="BW33" s="48"/>
      <c r="BX33" s="48"/>
    </row>
    <row r="34" ht="15.75" customHeight="1">
      <c r="A34" s="68" t="s">
        <v>134</v>
      </c>
      <c r="B34" s="68" t="s">
        <v>135</v>
      </c>
      <c r="C34" s="69">
        <v>42893.0</v>
      </c>
      <c r="D34" s="68"/>
      <c r="E34" s="68"/>
      <c r="F34" s="70">
        <v>3.0</v>
      </c>
      <c r="G34" s="70">
        <v>2.0</v>
      </c>
      <c r="H34" s="70">
        <v>1112.0</v>
      </c>
      <c r="I34" s="70">
        <v>250000.0</v>
      </c>
      <c r="J34" s="70">
        <v>255000.0</v>
      </c>
      <c r="K34" s="71">
        <f t="shared" si="1"/>
        <v>229.3165468</v>
      </c>
      <c r="L34" s="70">
        <v>330000.0</v>
      </c>
      <c r="M34" s="72">
        <v>1112.0</v>
      </c>
      <c r="N34" s="71">
        <f>L34/H34</f>
        <v>296.7625899</v>
      </c>
      <c r="O34" s="73">
        <f t="shared" si="4"/>
        <v>75000</v>
      </c>
      <c r="P34" s="70">
        <v>10000.0</v>
      </c>
      <c r="Q34" s="74">
        <f>MULTIPLY(0.06,L34)</f>
        <v>19800</v>
      </c>
      <c r="R34" s="74">
        <f t="shared" ref="R34:R35" si="39">BD34</f>
        <v>15268.125</v>
      </c>
      <c r="S34" s="74">
        <f t="shared" si="7"/>
        <v>284800</v>
      </c>
      <c r="T34" s="74">
        <f t="shared" si="8"/>
        <v>45200</v>
      </c>
      <c r="U34" s="74">
        <f t="shared" si="37"/>
        <v>29931.875</v>
      </c>
      <c r="V34" s="75">
        <f t="shared" si="10"/>
        <v>0.1587078652</v>
      </c>
      <c r="W34" s="74">
        <f t="shared" si="11"/>
        <v>237500</v>
      </c>
      <c r="X34" s="76">
        <f t="shared" si="12"/>
        <v>17500</v>
      </c>
      <c r="Y34" s="77"/>
      <c r="Z34" s="77"/>
      <c r="AA34" s="77"/>
      <c r="AB34" s="77"/>
      <c r="AC34" s="77"/>
      <c r="AD34" s="77"/>
      <c r="AE34" s="77"/>
      <c r="AF34" s="77"/>
      <c r="AG34" s="77"/>
      <c r="AH34" s="77"/>
      <c r="AI34" s="77"/>
      <c r="AJ34" s="77"/>
      <c r="AK34" s="77"/>
      <c r="AL34" s="77"/>
      <c r="AM34" s="77"/>
      <c r="AN34" s="77"/>
      <c r="AO34" s="77"/>
      <c r="AP34" s="77"/>
      <c r="AQ34" s="77"/>
      <c r="AR34" s="77"/>
      <c r="AS34" s="77"/>
      <c r="AT34" s="77"/>
      <c r="AU34" s="70">
        <v>0.9</v>
      </c>
      <c r="AV34" s="78">
        <f t="shared" si="18"/>
        <v>229500</v>
      </c>
      <c r="AW34" s="78">
        <f t="shared" ref="AW34:AW77" si="40">P34</f>
        <v>10000</v>
      </c>
      <c r="AX34" s="59">
        <v>0.02</v>
      </c>
      <c r="AY34" s="79">
        <v>0.0875</v>
      </c>
      <c r="AZ34" s="72">
        <v>6.0</v>
      </c>
      <c r="BA34" s="72">
        <f t="shared" si="19"/>
        <v>1746.354167</v>
      </c>
      <c r="BB34" s="72">
        <f t="shared" si="20"/>
        <v>10478.125</v>
      </c>
      <c r="BC34" s="77">
        <f t="shared" si="21"/>
        <v>4790</v>
      </c>
      <c r="BD34" s="80">
        <f t="shared" si="22"/>
        <v>15268.125</v>
      </c>
      <c r="BE34" s="77"/>
      <c r="BF34" s="77"/>
      <c r="BG34" s="77"/>
      <c r="BH34" s="77"/>
      <c r="BI34" s="77"/>
      <c r="BJ34" s="77"/>
      <c r="BK34" s="77"/>
      <c r="BL34" s="77"/>
      <c r="BM34" s="77"/>
      <c r="BN34" s="77"/>
      <c r="BO34" s="77"/>
      <c r="BP34" s="77"/>
      <c r="BQ34" s="77"/>
      <c r="BR34" s="77"/>
      <c r="BS34" s="77"/>
      <c r="BT34" s="77"/>
      <c r="BU34" s="77"/>
      <c r="BV34" s="77"/>
      <c r="BW34" s="77"/>
      <c r="BX34" s="77"/>
    </row>
    <row r="35" ht="15.75" customHeight="1">
      <c r="A35" s="81" t="s">
        <v>136</v>
      </c>
      <c r="B35" s="81"/>
      <c r="C35" s="49">
        <v>42893.0</v>
      </c>
      <c r="D35" s="81"/>
      <c r="E35" s="81"/>
      <c r="F35" s="81">
        <v>3.0</v>
      </c>
      <c r="G35" s="81">
        <v>2.0</v>
      </c>
      <c r="H35" s="81">
        <v>1270.0</v>
      </c>
      <c r="I35" s="81">
        <v>260000.0</v>
      </c>
      <c r="J35" s="81">
        <v>255000.0</v>
      </c>
      <c r="K35" s="82">
        <f t="shared" si="1"/>
        <v>200.7874016</v>
      </c>
      <c r="L35" s="81">
        <v>350000.0</v>
      </c>
      <c r="M35" s="83">
        <f>H35</f>
        <v>1270</v>
      </c>
      <c r="N35" s="84">
        <f t="shared" ref="N35:N78" si="41">L35/M35</f>
        <v>275.5905512</v>
      </c>
      <c r="O35" s="85">
        <f t="shared" si="4"/>
        <v>95000</v>
      </c>
      <c r="P35" s="86">
        <v>40000.0</v>
      </c>
      <c r="Q35" s="87">
        <f>MULTIPLY(0.07,L35)</f>
        <v>24500</v>
      </c>
      <c r="R35" s="87">
        <f t="shared" si="39"/>
        <v>18865</v>
      </c>
      <c r="S35" s="87">
        <f t="shared" si="7"/>
        <v>319500</v>
      </c>
      <c r="T35" s="87">
        <f t="shared" si="8"/>
        <v>30500</v>
      </c>
      <c r="U35" s="87">
        <f t="shared" si="37"/>
        <v>11635</v>
      </c>
      <c r="V35" s="88">
        <f t="shared" si="10"/>
        <v>0.09546165884</v>
      </c>
      <c r="W35" s="87">
        <f t="shared" si="11"/>
        <v>222500</v>
      </c>
      <c r="X35" s="53">
        <f t="shared" si="12"/>
        <v>32500</v>
      </c>
      <c r="Y35" s="81"/>
      <c r="Z35" s="81"/>
      <c r="AA35" s="81"/>
      <c r="AB35" s="81"/>
      <c r="AC35" s="81"/>
      <c r="AD35" s="81"/>
      <c r="AE35" s="81"/>
      <c r="AF35" s="81"/>
      <c r="AG35" s="81"/>
      <c r="AH35" s="81"/>
      <c r="AI35" s="81"/>
      <c r="AJ35" s="81"/>
      <c r="AK35" s="81"/>
      <c r="AL35" s="81"/>
      <c r="AM35" s="81"/>
      <c r="AN35" s="81"/>
      <c r="AO35" s="81"/>
      <c r="AP35" s="81"/>
      <c r="AQ35" s="81"/>
      <c r="AR35" s="81"/>
      <c r="AS35" s="81"/>
      <c r="AT35" s="81"/>
      <c r="AU35" s="85">
        <v>0.9</v>
      </c>
      <c r="AV35" s="89">
        <f t="shared" si="18"/>
        <v>229500</v>
      </c>
      <c r="AW35" s="89">
        <f t="shared" si="40"/>
        <v>40000</v>
      </c>
      <c r="AX35" s="59">
        <v>0.02</v>
      </c>
      <c r="AY35" s="88">
        <v>0.1</v>
      </c>
      <c r="AZ35" s="87">
        <v>6.0</v>
      </c>
      <c r="BA35" s="87">
        <f t="shared" si="19"/>
        <v>2245.833333</v>
      </c>
      <c r="BB35" s="87">
        <f t="shared" si="20"/>
        <v>13475</v>
      </c>
      <c r="BC35" s="81">
        <f t="shared" si="21"/>
        <v>5390</v>
      </c>
      <c r="BD35" s="90">
        <f t="shared" si="22"/>
        <v>18865</v>
      </c>
      <c r="BE35" s="81"/>
      <c r="BF35" s="81"/>
      <c r="BG35" s="81"/>
      <c r="BH35" s="81"/>
      <c r="BI35" s="81"/>
      <c r="BJ35" s="81"/>
      <c r="BK35" s="81"/>
      <c r="BL35" s="81"/>
      <c r="BM35" s="81"/>
      <c r="BN35" s="81"/>
      <c r="BO35" s="81"/>
      <c r="BP35" s="81"/>
      <c r="BQ35" s="81"/>
      <c r="BR35" s="81"/>
      <c r="BS35" s="81"/>
      <c r="BT35" s="81"/>
      <c r="BU35" s="81"/>
      <c r="BV35" s="81"/>
      <c r="BW35" s="81"/>
      <c r="BX35" s="81"/>
    </row>
    <row r="36" ht="15.75" customHeight="1">
      <c r="A36" s="81" t="s">
        <v>137</v>
      </c>
      <c r="B36" s="81"/>
      <c r="C36" s="91">
        <v>42901.0</v>
      </c>
      <c r="D36" s="81"/>
      <c r="E36" s="81"/>
      <c r="F36" s="81">
        <v>3.0</v>
      </c>
      <c r="G36" s="81">
        <v>2.0</v>
      </c>
      <c r="H36" s="81">
        <v>1127.0</v>
      </c>
      <c r="I36" s="81">
        <v>249000.0</v>
      </c>
      <c r="J36" s="81">
        <v>240000.0</v>
      </c>
      <c r="K36" s="82">
        <f t="shared" si="1"/>
        <v>212.9547471</v>
      </c>
      <c r="L36" s="81">
        <v>350000.0</v>
      </c>
      <c r="M36" s="83">
        <v>1500.0</v>
      </c>
      <c r="N36" s="84">
        <f t="shared" si="41"/>
        <v>233.3333333</v>
      </c>
      <c r="O36" s="85">
        <f t="shared" si="4"/>
        <v>110000</v>
      </c>
      <c r="P36" s="86">
        <v>43000.0</v>
      </c>
      <c r="Q36" s="87">
        <f>MULTIPLY(0.03,L36)</f>
        <v>10500</v>
      </c>
      <c r="R36" s="87">
        <v>10000.0</v>
      </c>
      <c r="S36" s="87">
        <f t="shared" si="7"/>
        <v>293500</v>
      </c>
      <c r="T36" s="87">
        <f t="shared" si="8"/>
        <v>56500</v>
      </c>
      <c r="U36" s="87">
        <f t="shared" si="37"/>
        <v>46500</v>
      </c>
      <c r="V36" s="88">
        <f t="shared" si="10"/>
        <v>0.1925042589</v>
      </c>
      <c r="W36" s="87">
        <f t="shared" si="11"/>
        <v>219500</v>
      </c>
      <c r="X36" s="83">
        <f t="shared" si="12"/>
        <v>20500</v>
      </c>
      <c r="Y36" s="81" t="s">
        <v>138</v>
      </c>
      <c r="Z36" s="81"/>
      <c r="AA36" s="81"/>
      <c r="AB36" s="81"/>
      <c r="AC36" s="81"/>
      <c r="AD36" s="81"/>
      <c r="AE36" s="81"/>
      <c r="AF36" s="81"/>
      <c r="AG36" s="81"/>
      <c r="AH36" s="81"/>
      <c r="AI36" s="81"/>
      <c r="AJ36" s="81"/>
      <c r="AK36" s="81"/>
      <c r="AL36" s="81"/>
      <c r="AM36" s="81"/>
      <c r="AN36" s="81"/>
      <c r="AO36" s="81"/>
      <c r="AP36" s="81"/>
      <c r="AQ36" s="81"/>
      <c r="AR36" s="81"/>
      <c r="AS36" s="81"/>
      <c r="AT36" s="81"/>
      <c r="AU36" s="85">
        <v>0.8</v>
      </c>
      <c r="AV36" s="89">
        <f t="shared" si="18"/>
        <v>192000</v>
      </c>
      <c r="AW36" s="89">
        <f t="shared" si="40"/>
        <v>43000</v>
      </c>
      <c r="AX36" s="59">
        <v>0.02</v>
      </c>
      <c r="AY36" s="88">
        <v>0.09</v>
      </c>
      <c r="AZ36" s="87">
        <v>6.0</v>
      </c>
      <c r="BA36" s="87">
        <f t="shared" si="19"/>
        <v>1762.5</v>
      </c>
      <c r="BB36" s="87">
        <f t="shared" si="20"/>
        <v>10575</v>
      </c>
      <c r="BC36" s="81">
        <f t="shared" si="21"/>
        <v>4700</v>
      </c>
      <c r="BD36" s="90">
        <f t="shared" si="22"/>
        <v>15275</v>
      </c>
      <c r="BE36" s="81"/>
      <c r="BF36" s="81"/>
      <c r="BG36" s="81"/>
      <c r="BH36" s="81"/>
      <c r="BI36" s="81"/>
      <c r="BJ36" s="81"/>
      <c r="BK36" s="81"/>
      <c r="BL36" s="81"/>
      <c r="BM36" s="81"/>
      <c r="BN36" s="81"/>
      <c r="BO36" s="81"/>
      <c r="BP36" s="81"/>
      <c r="BQ36" s="81"/>
      <c r="BR36" s="81"/>
      <c r="BS36" s="81"/>
      <c r="BT36" s="81"/>
      <c r="BU36" s="81"/>
      <c r="BV36" s="81"/>
      <c r="BW36" s="81"/>
      <c r="BX36" s="81"/>
    </row>
    <row r="37" ht="15.75" customHeight="1">
      <c r="A37" s="67" t="s">
        <v>139</v>
      </c>
      <c r="B37" s="48"/>
      <c r="C37" s="49">
        <v>42916.0</v>
      </c>
      <c r="D37" s="48"/>
      <c r="E37" s="48"/>
      <c r="F37" s="48"/>
      <c r="G37" s="48"/>
      <c r="H37" s="48"/>
      <c r="I37" s="48"/>
      <c r="J37" s="48"/>
      <c r="K37" s="52" t="str">
        <f t="shared" si="1"/>
        <v>#DIV/0!</v>
      </c>
      <c r="L37" s="48"/>
      <c r="M37" s="53" t="str">
        <f t="shared" ref="M37:M40" si="42">H37</f>
        <v/>
      </c>
      <c r="N37" s="54" t="str">
        <f t="shared" si="41"/>
        <v>#DIV/0!</v>
      </c>
      <c r="O37" s="55">
        <f t="shared" si="4"/>
        <v>0</v>
      </c>
      <c r="P37" s="50"/>
      <c r="Q37" s="56">
        <f t="shared" ref="Q37:Q40" si="43">MULTIPLY(0.07,L37)</f>
        <v>0</v>
      </c>
      <c r="R37" s="56">
        <f t="shared" ref="R37:R40" si="44">0.05*S37</f>
        <v>0</v>
      </c>
      <c r="S37" s="56">
        <f t="shared" si="7"/>
        <v>0</v>
      </c>
      <c r="T37" s="56">
        <f t="shared" si="8"/>
        <v>0</v>
      </c>
      <c r="U37" s="56">
        <f t="shared" si="37"/>
        <v>0</v>
      </c>
      <c r="V37" s="57" t="str">
        <f t="shared" si="10"/>
        <v>#DIV/0!</v>
      </c>
      <c r="W37" s="56">
        <f t="shared" si="11"/>
        <v>0</v>
      </c>
      <c r="X37" s="53">
        <f t="shared" si="12"/>
        <v>0</v>
      </c>
      <c r="Y37" s="48"/>
      <c r="Z37" s="48"/>
      <c r="AA37" s="48"/>
      <c r="AB37" s="48"/>
      <c r="AC37" s="48"/>
      <c r="AD37" s="48"/>
      <c r="AE37" s="48"/>
      <c r="AF37" s="48"/>
      <c r="AG37" s="48"/>
      <c r="AH37" s="48"/>
      <c r="AI37" s="48"/>
      <c r="AJ37" s="48"/>
      <c r="AK37" s="48"/>
      <c r="AL37" s="48"/>
      <c r="AM37" s="48"/>
      <c r="AN37" s="48"/>
      <c r="AO37" s="48"/>
      <c r="AP37" s="48"/>
      <c r="AQ37" s="48"/>
      <c r="AR37" s="48"/>
      <c r="AS37" s="48"/>
      <c r="AT37" s="48"/>
      <c r="AU37" s="55">
        <v>0.9</v>
      </c>
      <c r="AV37" s="58">
        <f t="shared" si="18"/>
        <v>0</v>
      </c>
      <c r="AW37" s="58" t="str">
        <f t="shared" si="40"/>
        <v/>
      </c>
      <c r="AX37" s="59">
        <v>0.02</v>
      </c>
      <c r="AY37" s="57">
        <v>0.0875</v>
      </c>
      <c r="AZ37" s="56">
        <v>6.0</v>
      </c>
      <c r="BA37" s="60">
        <f t="shared" si="19"/>
        <v>0</v>
      </c>
      <c r="BB37" s="56">
        <f t="shared" si="20"/>
        <v>0</v>
      </c>
      <c r="BC37" s="48">
        <f t="shared" si="21"/>
        <v>0</v>
      </c>
      <c r="BD37" s="92">
        <f t="shared" si="22"/>
        <v>0</v>
      </c>
      <c r="BE37" s="48"/>
      <c r="BF37" s="48"/>
      <c r="BG37" s="48"/>
      <c r="BH37" s="48"/>
      <c r="BI37" s="48"/>
      <c r="BJ37" s="48"/>
      <c r="BK37" s="48"/>
      <c r="BL37" s="48"/>
      <c r="BM37" s="48"/>
      <c r="BN37" s="48"/>
      <c r="BO37" s="48"/>
      <c r="BP37" s="48"/>
      <c r="BQ37" s="48"/>
      <c r="BR37" s="48"/>
      <c r="BS37" s="48"/>
      <c r="BT37" s="48"/>
      <c r="BU37" s="48"/>
      <c r="BV37" s="48"/>
      <c r="BW37" s="48"/>
      <c r="BX37" s="48"/>
    </row>
    <row r="38" ht="15.75" customHeight="1">
      <c r="A38" s="67" t="s">
        <v>140</v>
      </c>
      <c r="B38" s="48"/>
      <c r="C38" s="49">
        <v>42917.0</v>
      </c>
      <c r="D38" s="48"/>
      <c r="E38" s="48"/>
      <c r="F38" s="48"/>
      <c r="G38" s="48"/>
      <c r="H38" s="48"/>
      <c r="I38" s="48"/>
      <c r="J38" s="48"/>
      <c r="K38" s="52" t="str">
        <f t="shared" si="1"/>
        <v>#DIV/0!</v>
      </c>
      <c r="L38" s="48"/>
      <c r="M38" s="53" t="str">
        <f t="shared" si="42"/>
        <v/>
      </c>
      <c r="N38" s="54" t="str">
        <f t="shared" si="41"/>
        <v>#DIV/0!</v>
      </c>
      <c r="O38" s="55">
        <f t="shared" si="4"/>
        <v>0</v>
      </c>
      <c r="P38" s="50"/>
      <c r="Q38" s="56">
        <f t="shared" si="43"/>
        <v>0</v>
      </c>
      <c r="R38" s="56">
        <f t="shared" si="44"/>
        <v>0</v>
      </c>
      <c r="S38" s="56">
        <f t="shared" si="7"/>
        <v>0</v>
      </c>
      <c r="T38" s="56">
        <f t="shared" si="8"/>
        <v>0</v>
      </c>
      <c r="U38" s="56">
        <f t="shared" si="37"/>
        <v>0</v>
      </c>
      <c r="V38" s="57" t="str">
        <f t="shared" si="10"/>
        <v>#DIV/0!</v>
      </c>
      <c r="W38" s="56">
        <f t="shared" si="11"/>
        <v>0</v>
      </c>
      <c r="X38" s="53">
        <f t="shared" si="12"/>
        <v>0</v>
      </c>
      <c r="Y38" s="48"/>
      <c r="Z38" s="48"/>
      <c r="AA38" s="48"/>
      <c r="AB38" s="48"/>
      <c r="AC38" s="48"/>
      <c r="AD38" s="48"/>
      <c r="AE38" s="48"/>
      <c r="AF38" s="48"/>
      <c r="AG38" s="48"/>
      <c r="AH38" s="48"/>
      <c r="AI38" s="48"/>
      <c r="AJ38" s="48"/>
      <c r="AK38" s="48"/>
      <c r="AL38" s="48"/>
      <c r="AM38" s="48"/>
      <c r="AN38" s="48"/>
      <c r="AO38" s="48"/>
      <c r="AP38" s="48"/>
      <c r="AQ38" s="48"/>
      <c r="AR38" s="48"/>
      <c r="AS38" s="48"/>
      <c r="AT38" s="48"/>
      <c r="AU38" s="55">
        <v>0.9</v>
      </c>
      <c r="AV38" s="58">
        <f t="shared" si="18"/>
        <v>0</v>
      </c>
      <c r="AW38" s="58" t="str">
        <f t="shared" si="40"/>
        <v/>
      </c>
      <c r="AX38" s="59">
        <v>0.02</v>
      </c>
      <c r="AY38" s="57">
        <v>0.0875</v>
      </c>
      <c r="AZ38" s="56">
        <v>6.0</v>
      </c>
      <c r="BA38" s="60">
        <f t="shared" si="19"/>
        <v>0</v>
      </c>
      <c r="BB38" s="56">
        <f t="shared" si="20"/>
        <v>0</v>
      </c>
      <c r="BC38" s="48">
        <f t="shared" si="21"/>
        <v>0</v>
      </c>
      <c r="BD38" s="92">
        <f t="shared" si="22"/>
        <v>0</v>
      </c>
      <c r="BE38" s="48"/>
      <c r="BF38" s="48"/>
      <c r="BG38" s="48"/>
      <c r="BH38" s="48"/>
      <c r="BI38" s="48"/>
      <c r="BJ38" s="48"/>
      <c r="BK38" s="48"/>
      <c r="BL38" s="48"/>
      <c r="BM38" s="48"/>
      <c r="BN38" s="48"/>
      <c r="BO38" s="48"/>
      <c r="BP38" s="48"/>
      <c r="BQ38" s="48"/>
      <c r="BR38" s="48"/>
      <c r="BS38" s="48"/>
      <c r="BT38" s="48"/>
      <c r="BU38" s="48"/>
      <c r="BV38" s="48"/>
      <c r="BW38" s="48"/>
      <c r="BX38" s="48"/>
    </row>
    <row r="39" ht="15.75" customHeight="1">
      <c r="A39" s="48" t="s">
        <v>141</v>
      </c>
      <c r="B39" s="48" t="s">
        <v>142</v>
      </c>
      <c r="C39" s="49">
        <v>42922.0</v>
      </c>
      <c r="D39" s="48"/>
      <c r="E39" s="48"/>
      <c r="F39" s="48">
        <v>4.0</v>
      </c>
      <c r="G39" s="48">
        <v>2.0</v>
      </c>
      <c r="H39" s="48">
        <v>1299.0</v>
      </c>
      <c r="I39" s="48">
        <v>250000.0</v>
      </c>
      <c r="J39" s="48">
        <v>230000.0</v>
      </c>
      <c r="K39" s="52">
        <f t="shared" si="1"/>
        <v>177.0592764</v>
      </c>
      <c r="L39" s="48">
        <v>370000.0</v>
      </c>
      <c r="M39" s="53">
        <f t="shared" si="42"/>
        <v>1299</v>
      </c>
      <c r="N39" s="54">
        <f t="shared" si="41"/>
        <v>284.8344881</v>
      </c>
      <c r="O39" s="55">
        <f t="shared" si="4"/>
        <v>140000</v>
      </c>
      <c r="P39" s="50">
        <v>70000.0</v>
      </c>
      <c r="Q39" s="56">
        <f t="shared" si="43"/>
        <v>25900</v>
      </c>
      <c r="R39" s="56">
        <f t="shared" si="44"/>
        <v>16295</v>
      </c>
      <c r="S39" s="56">
        <f t="shared" si="7"/>
        <v>325900</v>
      </c>
      <c r="T39" s="56">
        <f t="shared" si="8"/>
        <v>44100</v>
      </c>
      <c r="U39" s="56">
        <f t="shared" si="37"/>
        <v>27805</v>
      </c>
      <c r="V39" s="57">
        <f t="shared" si="10"/>
        <v>0.1353175821</v>
      </c>
      <c r="W39" s="56">
        <f t="shared" si="11"/>
        <v>207500</v>
      </c>
      <c r="X39" s="53">
        <f t="shared" si="12"/>
        <v>22500</v>
      </c>
      <c r="Y39" s="48" t="s">
        <v>138</v>
      </c>
      <c r="Z39" s="48"/>
      <c r="AA39" s="48"/>
      <c r="AB39" s="48"/>
      <c r="AC39" s="48"/>
      <c r="AD39" s="48"/>
      <c r="AE39" s="48"/>
      <c r="AF39" s="48"/>
      <c r="AG39" s="48"/>
      <c r="AH39" s="48"/>
      <c r="AI39" s="48"/>
      <c r="AJ39" s="48"/>
      <c r="AK39" s="48"/>
      <c r="AL39" s="48"/>
      <c r="AM39" s="48"/>
      <c r="AN39" s="48"/>
      <c r="AO39" s="48"/>
      <c r="AP39" s="48"/>
      <c r="AQ39" s="48"/>
      <c r="AR39" s="48"/>
      <c r="AS39" s="48"/>
      <c r="AT39" s="48"/>
      <c r="AU39" s="55">
        <v>0.9</v>
      </c>
      <c r="AV39" s="58">
        <f t="shared" si="18"/>
        <v>207000</v>
      </c>
      <c r="AW39" s="58">
        <f t="shared" si="40"/>
        <v>70000</v>
      </c>
      <c r="AX39" s="59">
        <v>0.02</v>
      </c>
      <c r="AY39" s="57">
        <v>0.0875</v>
      </c>
      <c r="AZ39" s="56">
        <v>6.0</v>
      </c>
      <c r="BA39" s="60">
        <f t="shared" si="19"/>
        <v>2019.791667</v>
      </c>
      <c r="BB39" s="56">
        <f t="shared" si="20"/>
        <v>12118.75</v>
      </c>
      <c r="BC39" s="48">
        <f t="shared" si="21"/>
        <v>5540</v>
      </c>
      <c r="BD39" s="92">
        <f t="shared" si="22"/>
        <v>17658.75</v>
      </c>
      <c r="BE39" s="48"/>
      <c r="BF39" s="48"/>
      <c r="BG39" s="48"/>
      <c r="BH39" s="48"/>
      <c r="BI39" s="48"/>
      <c r="BJ39" s="48"/>
      <c r="BK39" s="48"/>
      <c r="BL39" s="48"/>
      <c r="BM39" s="48"/>
      <c r="BN39" s="48"/>
      <c r="BO39" s="48"/>
      <c r="BP39" s="48"/>
      <c r="BQ39" s="48"/>
      <c r="BR39" s="48"/>
      <c r="BS39" s="48"/>
      <c r="BT39" s="48"/>
      <c r="BU39" s="48"/>
      <c r="BV39" s="48"/>
      <c r="BW39" s="48"/>
      <c r="BX39" s="48"/>
    </row>
    <row r="40" ht="15.75" customHeight="1">
      <c r="A40" s="48" t="s">
        <v>143</v>
      </c>
      <c r="B40" s="48" t="s">
        <v>144</v>
      </c>
      <c r="C40" s="49">
        <v>42927.0</v>
      </c>
      <c r="D40" s="48"/>
      <c r="E40" s="48"/>
      <c r="F40" s="48">
        <v>2.0</v>
      </c>
      <c r="G40" s="48">
        <v>1.0</v>
      </c>
      <c r="H40" s="48">
        <v>1100.0</v>
      </c>
      <c r="I40" s="48">
        <v>85000.0</v>
      </c>
      <c r="J40" s="48">
        <v>50000.0</v>
      </c>
      <c r="K40" s="52">
        <f t="shared" si="1"/>
        <v>45.45454545</v>
      </c>
      <c r="L40" s="48">
        <v>185000.0</v>
      </c>
      <c r="M40" s="53">
        <f t="shared" si="42"/>
        <v>1100</v>
      </c>
      <c r="N40" s="54">
        <f t="shared" si="41"/>
        <v>168.1818182</v>
      </c>
      <c r="O40" s="55">
        <f t="shared" si="4"/>
        <v>135000</v>
      </c>
      <c r="P40" s="50">
        <v>80000.0</v>
      </c>
      <c r="Q40" s="56">
        <f t="shared" si="43"/>
        <v>12950</v>
      </c>
      <c r="R40" s="56">
        <f t="shared" si="44"/>
        <v>7147.5</v>
      </c>
      <c r="S40" s="56">
        <f t="shared" si="7"/>
        <v>142950</v>
      </c>
      <c r="T40" s="56">
        <f t="shared" si="8"/>
        <v>42050</v>
      </c>
      <c r="U40" s="56">
        <f t="shared" si="37"/>
        <v>34902.5</v>
      </c>
      <c r="V40" s="57">
        <f t="shared" si="10"/>
        <v>0.2941587968</v>
      </c>
      <c r="W40" s="56">
        <f t="shared" si="11"/>
        <v>58750</v>
      </c>
      <c r="X40" s="53">
        <f t="shared" si="12"/>
        <v>-8750</v>
      </c>
      <c r="Y40" s="48"/>
      <c r="Z40" s="48"/>
      <c r="AA40" s="48"/>
      <c r="AB40" s="48"/>
      <c r="AC40" s="48"/>
      <c r="AD40" s="48"/>
      <c r="AE40" s="48"/>
      <c r="AF40" s="48"/>
      <c r="AG40" s="48"/>
      <c r="AH40" s="48"/>
      <c r="AI40" s="48"/>
      <c r="AJ40" s="48"/>
      <c r="AK40" s="48"/>
      <c r="AL40" s="48"/>
      <c r="AM40" s="48"/>
      <c r="AN40" s="48"/>
      <c r="AO40" s="48"/>
      <c r="AP40" s="48"/>
      <c r="AQ40" s="48"/>
      <c r="AR40" s="48"/>
      <c r="AS40" s="48"/>
      <c r="AT40" s="48"/>
      <c r="AU40" s="55">
        <v>0.9</v>
      </c>
      <c r="AV40" s="58">
        <f t="shared" si="18"/>
        <v>45000</v>
      </c>
      <c r="AW40" s="58">
        <f t="shared" si="40"/>
        <v>80000</v>
      </c>
      <c r="AX40" s="59">
        <v>0.02</v>
      </c>
      <c r="AY40" s="57">
        <v>0.0875</v>
      </c>
      <c r="AZ40" s="56">
        <v>6.0</v>
      </c>
      <c r="BA40" s="60">
        <f t="shared" si="19"/>
        <v>911.4583333</v>
      </c>
      <c r="BB40" s="56">
        <f t="shared" si="20"/>
        <v>5468.75</v>
      </c>
      <c r="BC40" s="48">
        <f t="shared" si="21"/>
        <v>2500</v>
      </c>
      <c r="BD40" s="92">
        <f t="shared" si="22"/>
        <v>7968.75</v>
      </c>
      <c r="BE40" s="48"/>
      <c r="BF40" s="48"/>
      <c r="BG40" s="48"/>
      <c r="BH40" s="48"/>
      <c r="BI40" s="48"/>
      <c r="BJ40" s="48"/>
      <c r="BK40" s="48"/>
      <c r="BL40" s="48"/>
      <c r="BM40" s="48"/>
      <c r="BN40" s="48"/>
      <c r="BO40" s="48"/>
      <c r="BP40" s="48"/>
      <c r="BQ40" s="48"/>
      <c r="BR40" s="48"/>
      <c r="BS40" s="48"/>
      <c r="BT40" s="48"/>
      <c r="BU40" s="48"/>
      <c r="BV40" s="48"/>
      <c r="BW40" s="48"/>
      <c r="BX40" s="48"/>
    </row>
    <row r="41" ht="15.75" customHeight="1">
      <c r="A41" s="81" t="s">
        <v>145</v>
      </c>
      <c r="B41" s="81" t="s">
        <v>146</v>
      </c>
      <c r="C41" s="91">
        <v>42927.0</v>
      </c>
      <c r="D41" s="81"/>
      <c r="E41" s="81"/>
      <c r="F41" s="81">
        <v>2.0</v>
      </c>
      <c r="G41" s="81">
        <v>2.0</v>
      </c>
      <c r="H41" s="81">
        <v>2000.0</v>
      </c>
      <c r="I41" s="81">
        <v>284000.0</v>
      </c>
      <c r="J41" s="81">
        <v>265000.0</v>
      </c>
      <c r="K41" s="82">
        <f t="shared" si="1"/>
        <v>132.5</v>
      </c>
      <c r="L41" s="81">
        <v>400000.0</v>
      </c>
      <c r="M41" s="83">
        <v>2340.0</v>
      </c>
      <c r="N41" s="84">
        <f t="shared" si="41"/>
        <v>170.9401709</v>
      </c>
      <c r="O41" s="85">
        <f t="shared" si="4"/>
        <v>135000</v>
      </c>
      <c r="P41" s="86">
        <v>150000.0</v>
      </c>
      <c r="Q41" s="87">
        <f>MULTIPLY(0.055,L41)</f>
        <v>22000</v>
      </c>
      <c r="R41" s="87">
        <f>BD41</f>
        <v>29137.5</v>
      </c>
      <c r="S41" s="87">
        <f t="shared" si="7"/>
        <v>437000</v>
      </c>
      <c r="T41" s="87">
        <f t="shared" si="8"/>
        <v>-37000</v>
      </c>
      <c r="U41" s="87">
        <f t="shared" si="37"/>
        <v>-66137.5</v>
      </c>
      <c r="V41" s="88">
        <f t="shared" si="10"/>
        <v>-0.08466819222</v>
      </c>
      <c r="W41" s="87">
        <f t="shared" si="11"/>
        <v>150000</v>
      </c>
      <c r="X41" s="53">
        <f t="shared" si="12"/>
        <v>115000</v>
      </c>
      <c r="Y41" s="81" t="s">
        <v>147</v>
      </c>
      <c r="Z41" s="81"/>
      <c r="AA41" s="81"/>
      <c r="AB41" s="81"/>
      <c r="AC41" s="81"/>
      <c r="AD41" s="81"/>
      <c r="AE41" s="81"/>
      <c r="AF41" s="81"/>
      <c r="AG41" s="81"/>
      <c r="AH41" s="81"/>
      <c r="AI41" s="81"/>
      <c r="AJ41" s="81"/>
      <c r="AK41" s="81"/>
      <c r="AL41" s="81"/>
      <c r="AM41" s="81"/>
      <c r="AN41" s="81"/>
      <c r="AO41" s="81"/>
      <c r="AP41" s="81"/>
      <c r="AQ41" s="81"/>
      <c r="AR41" s="81"/>
      <c r="AS41" s="81"/>
      <c r="AT41" s="81"/>
      <c r="AU41" s="85">
        <v>0.9</v>
      </c>
      <c r="AV41" s="89">
        <f t="shared" si="18"/>
        <v>238500</v>
      </c>
      <c r="AW41" s="89">
        <f t="shared" si="40"/>
        <v>150000</v>
      </c>
      <c r="AX41" s="59">
        <v>0.02</v>
      </c>
      <c r="AY41" s="88">
        <v>0.11</v>
      </c>
      <c r="AZ41" s="87">
        <v>6.0</v>
      </c>
      <c r="BA41" s="60">
        <f t="shared" si="19"/>
        <v>3561.25</v>
      </c>
      <c r="BB41" s="56">
        <f t="shared" si="20"/>
        <v>21367.5</v>
      </c>
      <c r="BC41" s="48">
        <f t="shared" si="21"/>
        <v>7770</v>
      </c>
      <c r="BD41" s="90">
        <f t="shared" si="22"/>
        <v>29137.5</v>
      </c>
      <c r="BE41" s="81"/>
      <c r="BF41" s="81"/>
      <c r="BG41" s="81"/>
      <c r="BH41" s="81"/>
      <c r="BI41" s="81"/>
      <c r="BJ41" s="81"/>
      <c r="BK41" s="81"/>
      <c r="BL41" s="81"/>
      <c r="BM41" s="81"/>
      <c r="BN41" s="81"/>
      <c r="BO41" s="81"/>
      <c r="BP41" s="81"/>
      <c r="BQ41" s="81"/>
      <c r="BR41" s="81"/>
      <c r="BS41" s="81"/>
      <c r="BT41" s="81"/>
      <c r="BU41" s="81"/>
      <c r="BV41" s="81"/>
      <c r="BW41" s="81"/>
      <c r="BX41" s="81"/>
    </row>
    <row r="42" ht="15.75" customHeight="1">
      <c r="A42" s="67" t="s">
        <v>148</v>
      </c>
      <c r="B42" s="48"/>
      <c r="C42" s="49">
        <v>42927.0</v>
      </c>
      <c r="D42" s="48"/>
      <c r="E42" s="48"/>
      <c r="F42" s="48">
        <v>3.0</v>
      </c>
      <c r="G42" s="48">
        <v>1.0</v>
      </c>
      <c r="H42" s="48">
        <v>960.0</v>
      </c>
      <c r="I42" s="48">
        <v>210000.0</v>
      </c>
      <c r="J42" s="48">
        <v>200000.0</v>
      </c>
      <c r="K42" s="52">
        <f t="shared" si="1"/>
        <v>208.3333333</v>
      </c>
      <c r="L42" s="48">
        <v>350000.0</v>
      </c>
      <c r="M42" s="53">
        <v>1386.0</v>
      </c>
      <c r="N42" s="54">
        <f t="shared" si="41"/>
        <v>252.5252525</v>
      </c>
      <c r="O42" s="55">
        <f t="shared" si="4"/>
        <v>150000</v>
      </c>
      <c r="P42" s="50">
        <v>75000.0</v>
      </c>
      <c r="Q42" s="56">
        <f t="shared" ref="Q42:Q54" si="45">MULTIPLY(0.07,L42)</f>
        <v>24500</v>
      </c>
      <c r="R42" s="56">
        <f t="shared" ref="R42:R56" si="46">0.05*S42</f>
        <v>14975</v>
      </c>
      <c r="S42" s="56">
        <f t="shared" si="7"/>
        <v>299500</v>
      </c>
      <c r="T42" s="56">
        <f t="shared" si="8"/>
        <v>50500</v>
      </c>
      <c r="U42" s="56">
        <f t="shared" si="37"/>
        <v>35525</v>
      </c>
      <c r="V42" s="57">
        <f t="shared" si="10"/>
        <v>0.1686143573</v>
      </c>
      <c r="W42" s="56">
        <f t="shared" si="11"/>
        <v>187500</v>
      </c>
      <c r="X42" s="53">
        <f t="shared" si="12"/>
        <v>12500</v>
      </c>
      <c r="Y42" s="48" t="s">
        <v>138</v>
      </c>
      <c r="Z42" s="48"/>
      <c r="AA42" s="48"/>
      <c r="AB42" s="48"/>
      <c r="AC42" s="48"/>
      <c r="AD42" s="48"/>
      <c r="AE42" s="48"/>
      <c r="AF42" s="48"/>
      <c r="AG42" s="48"/>
      <c r="AH42" s="48"/>
      <c r="AI42" s="48"/>
      <c r="AJ42" s="48"/>
      <c r="AK42" s="48"/>
      <c r="AL42" s="48"/>
      <c r="AM42" s="48"/>
      <c r="AN42" s="48"/>
      <c r="AO42" s="48"/>
      <c r="AP42" s="48"/>
      <c r="AQ42" s="48"/>
      <c r="AR42" s="48"/>
      <c r="AS42" s="48"/>
      <c r="AT42" s="48"/>
      <c r="AU42" s="55">
        <v>0.9</v>
      </c>
      <c r="AV42" s="58">
        <f t="shared" si="18"/>
        <v>180000</v>
      </c>
      <c r="AW42" s="58">
        <f t="shared" si="40"/>
        <v>75000</v>
      </c>
      <c r="AX42" s="59">
        <v>0.02</v>
      </c>
      <c r="AY42" s="57">
        <v>0.0875</v>
      </c>
      <c r="AZ42" s="56">
        <v>6.0</v>
      </c>
      <c r="BA42" s="60">
        <f t="shared" si="19"/>
        <v>1859.375</v>
      </c>
      <c r="BB42" s="56">
        <f t="shared" si="20"/>
        <v>11156.25</v>
      </c>
      <c r="BC42" s="48">
        <f t="shared" si="21"/>
        <v>5100</v>
      </c>
      <c r="BD42" s="92">
        <f t="shared" si="22"/>
        <v>16256.25</v>
      </c>
      <c r="BE42" s="48"/>
      <c r="BF42" s="48"/>
      <c r="BG42" s="48"/>
      <c r="BH42" s="48"/>
      <c r="BI42" s="48"/>
      <c r="BJ42" s="48"/>
      <c r="BK42" s="48"/>
      <c r="BL42" s="48"/>
      <c r="BM42" s="48"/>
      <c r="BN42" s="48"/>
      <c r="BO42" s="48"/>
      <c r="BP42" s="48"/>
      <c r="BQ42" s="48"/>
      <c r="BR42" s="48"/>
      <c r="BS42" s="48"/>
      <c r="BT42" s="48"/>
      <c r="BU42" s="48"/>
      <c r="BV42" s="48"/>
      <c r="BW42" s="48"/>
      <c r="BX42" s="48"/>
    </row>
    <row r="43" ht="15.75" customHeight="1">
      <c r="A43" s="67" t="s">
        <v>149</v>
      </c>
      <c r="B43" s="48"/>
      <c r="C43" s="49">
        <v>42927.0</v>
      </c>
      <c r="D43" s="48"/>
      <c r="E43" s="48"/>
      <c r="F43" s="48">
        <v>4.0</v>
      </c>
      <c r="G43" s="48">
        <v>2.0</v>
      </c>
      <c r="H43" s="48"/>
      <c r="I43" s="48"/>
      <c r="J43" s="48"/>
      <c r="K43" s="52" t="str">
        <f t="shared" si="1"/>
        <v>#DIV/0!</v>
      </c>
      <c r="L43" s="48"/>
      <c r="M43" s="53" t="str">
        <f t="shared" ref="M43:M58" si="47">H43</f>
        <v/>
      </c>
      <c r="N43" s="54" t="str">
        <f t="shared" si="41"/>
        <v>#DIV/0!</v>
      </c>
      <c r="O43" s="55">
        <f t="shared" si="4"/>
        <v>0</v>
      </c>
      <c r="P43" s="50"/>
      <c r="Q43" s="56">
        <f t="shared" si="45"/>
        <v>0</v>
      </c>
      <c r="R43" s="56">
        <f t="shared" si="46"/>
        <v>0</v>
      </c>
      <c r="S43" s="56">
        <f t="shared" si="7"/>
        <v>0</v>
      </c>
      <c r="T43" s="56">
        <f t="shared" si="8"/>
        <v>0</v>
      </c>
      <c r="U43" s="56">
        <f t="shared" si="37"/>
        <v>0</v>
      </c>
      <c r="V43" s="57" t="str">
        <f t="shared" si="10"/>
        <v>#DIV/0!</v>
      </c>
      <c r="W43" s="56">
        <f t="shared" si="11"/>
        <v>0</v>
      </c>
      <c r="X43" s="53">
        <f t="shared" si="12"/>
        <v>0</v>
      </c>
      <c r="Y43" s="48" t="s">
        <v>138</v>
      </c>
      <c r="Z43" s="48"/>
      <c r="AA43" s="48"/>
      <c r="AB43" s="48"/>
      <c r="AC43" s="48"/>
      <c r="AD43" s="48"/>
      <c r="AE43" s="48"/>
      <c r="AF43" s="48"/>
      <c r="AG43" s="48"/>
      <c r="AH43" s="48"/>
      <c r="AI43" s="48"/>
      <c r="AJ43" s="48"/>
      <c r="AK43" s="48"/>
      <c r="AL43" s="48"/>
      <c r="AM43" s="48"/>
      <c r="AN43" s="48"/>
      <c r="AO43" s="48"/>
      <c r="AP43" s="48"/>
      <c r="AQ43" s="48"/>
      <c r="AR43" s="48"/>
      <c r="AS43" s="48"/>
      <c r="AT43" s="48"/>
      <c r="AU43" s="55">
        <v>0.9</v>
      </c>
      <c r="AV43" s="58">
        <f t="shared" si="18"/>
        <v>0</v>
      </c>
      <c r="AW43" s="58" t="str">
        <f t="shared" si="40"/>
        <v/>
      </c>
      <c r="AX43" s="59">
        <v>0.02</v>
      </c>
      <c r="AY43" s="57">
        <v>0.0875</v>
      </c>
      <c r="AZ43" s="56">
        <v>6.0</v>
      </c>
      <c r="BA43" s="60">
        <f t="shared" si="19"/>
        <v>0</v>
      </c>
      <c r="BB43" s="56">
        <f t="shared" si="20"/>
        <v>0</v>
      </c>
      <c r="BC43" s="48">
        <f t="shared" si="21"/>
        <v>0</v>
      </c>
      <c r="BD43" s="92">
        <f t="shared" si="22"/>
        <v>0</v>
      </c>
      <c r="BE43" s="48"/>
      <c r="BF43" s="48"/>
      <c r="BG43" s="48"/>
      <c r="BH43" s="48"/>
      <c r="BI43" s="48"/>
      <c r="BJ43" s="48"/>
      <c r="BK43" s="48"/>
      <c r="BL43" s="48"/>
      <c r="BM43" s="48"/>
      <c r="BN43" s="48"/>
      <c r="BO43" s="48"/>
      <c r="BP43" s="48"/>
      <c r="BQ43" s="48"/>
      <c r="BR43" s="48"/>
      <c r="BS43" s="48"/>
      <c r="BT43" s="48"/>
      <c r="BU43" s="48"/>
      <c r="BV43" s="48"/>
      <c r="BW43" s="48"/>
      <c r="BX43" s="48"/>
    </row>
    <row r="44" ht="15.75" customHeight="1">
      <c r="A44" s="93" t="s">
        <v>150</v>
      </c>
      <c r="B44" s="81" t="s">
        <v>151</v>
      </c>
      <c r="C44" s="91">
        <v>42936.0</v>
      </c>
      <c r="D44" s="81"/>
      <c r="E44" s="81"/>
      <c r="F44" s="81">
        <v>3.0</v>
      </c>
      <c r="G44" s="81">
        <v>2.0</v>
      </c>
      <c r="H44" s="81">
        <v>1600.0</v>
      </c>
      <c r="I44" s="81"/>
      <c r="J44" s="81">
        <v>205000.0</v>
      </c>
      <c r="K44" s="82">
        <f t="shared" si="1"/>
        <v>128.125</v>
      </c>
      <c r="L44" s="81">
        <v>350000.0</v>
      </c>
      <c r="M44" s="83">
        <f t="shared" si="47"/>
        <v>1600</v>
      </c>
      <c r="N44" s="84">
        <f t="shared" si="41"/>
        <v>218.75</v>
      </c>
      <c r="O44" s="85">
        <f t="shared" si="4"/>
        <v>145000</v>
      </c>
      <c r="P44" s="86">
        <v>70000.0</v>
      </c>
      <c r="Q44" s="87">
        <f t="shared" si="45"/>
        <v>24500</v>
      </c>
      <c r="R44" s="87">
        <f t="shared" si="46"/>
        <v>14975</v>
      </c>
      <c r="S44" s="87">
        <f t="shared" si="7"/>
        <v>299500</v>
      </c>
      <c r="T44" s="87">
        <f t="shared" si="8"/>
        <v>50500</v>
      </c>
      <c r="U44" s="87">
        <f t="shared" si="37"/>
        <v>35525</v>
      </c>
      <c r="V44" s="88">
        <f t="shared" si="10"/>
        <v>0.1686143573</v>
      </c>
      <c r="W44" s="87">
        <f t="shared" si="11"/>
        <v>192500</v>
      </c>
      <c r="X44" s="83">
        <f t="shared" si="12"/>
        <v>12500</v>
      </c>
      <c r="Y44" s="81" t="s">
        <v>152</v>
      </c>
      <c r="Z44" s="81"/>
      <c r="AA44" s="81"/>
      <c r="AB44" s="81"/>
      <c r="AC44" s="81"/>
      <c r="AD44" s="81"/>
      <c r="AE44" s="81"/>
      <c r="AF44" s="81"/>
      <c r="AG44" s="81"/>
      <c r="AH44" s="81"/>
      <c r="AI44" s="81"/>
      <c r="AJ44" s="81"/>
      <c r="AK44" s="81"/>
      <c r="AL44" s="81"/>
      <c r="AM44" s="81"/>
      <c r="AN44" s="81"/>
      <c r="AO44" s="81"/>
      <c r="AP44" s="81"/>
      <c r="AQ44" s="81"/>
      <c r="AR44" s="81"/>
      <c r="AS44" s="81"/>
      <c r="AT44" s="81"/>
      <c r="AU44" s="85">
        <v>0.85</v>
      </c>
      <c r="AV44" s="89">
        <f t="shared" si="18"/>
        <v>174250</v>
      </c>
      <c r="AW44" s="89">
        <f t="shared" si="40"/>
        <v>70000</v>
      </c>
      <c r="AX44" s="59">
        <v>0.02</v>
      </c>
      <c r="AY44" s="88">
        <v>0.09</v>
      </c>
      <c r="AZ44" s="87">
        <v>6.0</v>
      </c>
      <c r="BA44" s="87">
        <f t="shared" si="19"/>
        <v>1831.875</v>
      </c>
      <c r="BB44" s="87">
        <f t="shared" si="20"/>
        <v>10991.25</v>
      </c>
      <c r="BC44" s="81">
        <f t="shared" si="21"/>
        <v>4885</v>
      </c>
      <c r="BD44" s="90">
        <f t="shared" si="22"/>
        <v>15876.25</v>
      </c>
      <c r="BE44" s="81"/>
      <c r="BF44" s="81"/>
      <c r="BG44" s="81"/>
      <c r="BH44" s="81"/>
      <c r="BI44" s="81"/>
      <c r="BJ44" s="81"/>
      <c r="BK44" s="81"/>
      <c r="BL44" s="81"/>
      <c r="BM44" s="81"/>
      <c r="BN44" s="81"/>
      <c r="BO44" s="81"/>
      <c r="BP44" s="81"/>
      <c r="BQ44" s="81"/>
      <c r="BR44" s="81"/>
      <c r="BS44" s="81"/>
      <c r="BT44" s="81"/>
      <c r="BU44" s="81"/>
      <c r="BV44" s="81"/>
      <c r="BW44" s="81"/>
      <c r="BX44" s="81"/>
    </row>
    <row r="45" ht="15.75" customHeight="1">
      <c r="A45" s="48" t="s">
        <v>153</v>
      </c>
      <c r="B45" s="48" t="s">
        <v>154</v>
      </c>
      <c r="C45" s="49">
        <v>42936.0</v>
      </c>
      <c r="D45" s="48"/>
      <c r="E45" s="48" t="s">
        <v>117</v>
      </c>
      <c r="F45" s="48"/>
      <c r="G45" s="48"/>
      <c r="H45" s="48"/>
      <c r="I45" s="48"/>
      <c r="J45" s="48">
        <v>300000.0</v>
      </c>
      <c r="K45" s="52" t="str">
        <f t="shared" si="1"/>
        <v>#DIV/0!</v>
      </c>
      <c r="L45" s="48">
        <v>395000.0</v>
      </c>
      <c r="M45" s="53" t="str">
        <f t="shared" si="47"/>
        <v/>
      </c>
      <c r="N45" s="54" t="str">
        <f t="shared" si="41"/>
        <v>#DIV/0!</v>
      </c>
      <c r="O45" s="55">
        <f t="shared" si="4"/>
        <v>95000</v>
      </c>
      <c r="P45" s="50">
        <v>30000.0</v>
      </c>
      <c r="Q45" s="56">
        <f t="shared" si="45"/>
        <v>27650</v>
      </c>
      <c r="R45" s="56">
        <f t="shared" si="46"/>
        <v>17882.5</v>
      </c>
      <c r="S45" s="56">
        <f t="shared" si="7"/>
        <v>357650</v>
      </c>
      <c r="T45" s="56">
        <f t="shared" si="8"/>
        <v>37350</v>
      </c>
      <c r="U45" s="56">
        <f t="shared" si="37"/>
        <v>19467.5</v>
      </c>
      <c r="V45" s="57">
        <f t="shared" si="10"/>
        <v>0.104431707</v>
      </c>
      <c r="W45" s="56">
        <f t="shared" si="11"/>
        <v>266250</v>
      </c>
      <c r="X45" s="53">
        <f t="shared" si="12"/>
        <v>33750</v>
      </c>
      <c r="Y45" s="48" t="s">
        <v>152</v>
      </c>
      <c r="Z45" s="48"/>
      <c r="AA45" s="48"/>
      <c r="AB45" s="48"/>
      <c r="AC45" s="48"/>
      <c r="AD45" s="48"/>
      <c r="AE45" s="48"/>
      <c r="AF45" s="48"/>
      <c r="AG45" s="48"/>
      <c r="AH45" s="48"/>
      <c r="AI45" s="48"/>
      <c r="AJ45" s="48"/>
      <c r="AK45" s="48"/>
      <c r="AL45" s="48"/>
      <c r="AM45" s="48"/>
      <c r="AN45" s="48"/>
      <c r="AO45" s="48"/>
      <c r="AP45" s="48"/>
      <c r="AQ45" s="48"/>
      <c r="AR45" s="48"/>
      <c r="AS45" s="48"/>
      <c r="AT45" s="48"/>
      <c r="AU45" s="55">
        <v>0.9</v>
      </c>
      <c r="AV45" s="58">
        <f t="shared" si="18"/>
        <v>270000</v>
      </c>
      <c r="AW45" s="58">
        <f t="shared" si="40"/>
        <v>30000</v>
      </c>
      <c r="AX45" s="59">
        <v>0.0199999999999999</v>
      </c>
      <c r="AY45" s="57">
        <v>0.0875</v>
      </c>
      <c r="AZ45" s="56">
        <v>6.0</v>
      </c>
      <c r="BA45" s="60">
        <f t="shared" si="19"/>
        <v>2187.5</v>
      </c>
      <c r="BB45" s="56">
        <f t="shared" si="20"/>
        <v>13125</v>
      </c>
      <c r="BC45" s="48">
        <f t="shared" si="21"/>
        <v>6000</v>
      </c>
      <c r="BD45" s="92">
        <f t="shared" si="22"/>
        <v>19125</v>
      </c>
      <c r="BE45" s="48"/>
      <c r="BF45" s="48"/>
      <c r="BG45" s="48"/>
      <c r="BH45" s="48"/>
      <c r="BI45" s="48"/>
      <c r="BJ45" s="48"/>
      <c r="BK45" s="48"/>
      <c r="BL45" s="48"/>
      <c r="BM45" s="48"/>
      <c r="BN45" s="48"/>
      <c r="BO45" s="48"/>
      <c r="BP45" s="48"/>
      <c r="BQ45" s="48"/>
      <c r="BR45" s="48"/>
      <c r="BS45" s="48"/>
      <c r="BT45" s="48"/>
      <c r="BU45" s="48"/>
      <c r="BV45" s="48"/>
      <c r="BW45" s="48"/>
      <c r="BX45" s="48"/>
    </row>
    <row r="46" ht="15.75" customHeight="1">
      <c r="A46" s="48" t="s">
        <v>155</v>
      </c>
      <c r="B46" s="48" t="s">
        <v>156</v>
      </c>
      <c r="C46" s="49">
        <v>42945.0</v>
      </c>
      <c r="D46" s="48"/>
      <c r="E46" s="48"/>
      <c r="F46" s="48">
        <v>3.0</v>
      </c>
      <c r="G46" s="48">
        <v>1.0</v>
      </c>
      <c r="H46" s="48">
        <v>1083.0</v>
      </c>
      <c r="I46" s="48">
        <v>169000.0</v>
      </c>
      <c r="J46" s="48">
        <v>120000.0</v>
      </c>
      <c r="K46" s="52">
        <f t="shared" si="1"/>
        <v>110.8033241</v>
      </c>
      <c r="L46" s="48">
        <v>240000.0</v>
      </c>
      <c r="M46" s="53">
        <f t="shared" si="47"/>
        <v>1083</v>
      </c>
      <c r="N46" s="54">
        <f t="shared" si="41"/>
        <v>221.6066482</v>
      </c>
      <c r="O46" s="55">
        <f t="shared" si="4"/>
        <v>120000</v>
      </c>
      <c r="P46" s="50">
        <v>60000.0</v>
      </c>
      <c r="Q46" s="56">
        <f t="shared" si="45"/>
        <v>16800</v>
      </c>
      <c r="R46" s="56">
        <f t="shared" si="46"/>
        <v>9840</v>
      </c>
      <c r="S46" s="56">
        <f t="shared" si="7"/>
        <v>196800</v>
      </c>
      <c r="T46" s="56">
        <f t="shared" si="8"/>
        <v>43200</v>
      </c>
      <c r="U46" s="56">
        <f t="shared" si="37"/>
        <v>33360</v>
      </c>
      <c r="V46" s="57">
        <f t="shared" si="10"/>
        <v>0.2195121951</v>
      </c>
      <c r="W46" s="56">
        <f t="shared" si="11"/>
        <v>120000</v>
      </c>
      <c r="X46" s="53">
        <f t="shared" si="12"/>
        <v>0</v>
      </c>
      <c r="Y46" s="48" t="s">
        <v>157</v>
      </c>
      <c r="Z46" s="48"/>
      <c r="AA46" s="48"/>
      <c r="AB46" s="48"/>
      <c r="AC46" s="48"/>
      <c r="AD46" s="48"/>
      <c r="AE46" s="48"/>
      <c r="AF46" s="48"/>
      <c r="AG46" s="48"/>
      <c r="AH46" s="48"/>
      <c r="AI46" s="48"/>
      <c r="AJ46" s="48"/>
      <c r="AK46" s="48"/>
      <c r="AL46" s="48"/>
      <c r="AM46" s="48"/>
      <c r="AN46" s="48"/>
      <c r="AO46" s="48"/>
      <c r="AP46" s="48"/>
      <c r="AQ46" s="48"/>
      <c r="AR46" s="48"/>
      <c r="AS46" s="48"/>
      <c r="AT46" s="48"/>
      <c r="AU46" s="55">
        <v>0.9</v>
      </c>
      <c r="AV46" s="58">
        <f t="shared" si="18"/>
        <v>108000</v>
      </c>
      <c r="AW46" s="58">
        <f t="shared" si="40"/>
        <v>60000</v>
      </c>
      <c r="AX46" s="59">
        <v>0.0199999999999999</v>
      </c>
      <c r="AY46" s="57">
        <v>0.0875</v>
      </c>
      <c r="AZ46" s="56">
        <v>6.0</v>
      </c>
      <c r="BA46" s="60">
        <f t="shared" si="19"/>
        <v>1225</v>
      </c>
      <c r="BB46" s="56">
        <f t="shared" si="20"/>
        <v>7350</v>
      </c>
      <c r="BC46" s="48">
        <f t="shared" si="21"/>
        <v>3360</v>
      </c>
      <c r="BD46" s="92">
        <f t="shared" si="22"/>
        <v>10710</v>
      </c>
      <c r="BE46" s="48"/>
      <c r="BF46" s="48"/>
      <c r="BG46" s="48"/>
      <c r="BH46" s="48"/>
      <c r="BI46" s="48"/>
      <c r="BJ46" s="48"/>
      <c r="BK46" s="48"/>
      <c r="BL46" s="48"/>
      <c r="BM46" s="48"/>
      <c r="BN46" s="48"/>
      <c r="BO46" s="48"/>
      <c r="BP46" s="48"/>
      <c r="BQ46" s="48"/>
      <c r="BR46" s="48"/>
      <c r="BS46" s="48"/>
      <c r="BT46" s="48"/>
      <c r="BU46" s="48"/>
      <c r="BV46" s="48"/>
      <c r="BW46" s="48"/>
      <c r="BX46" s="48"/>
    </row>
    <row r="47" ht="15.75" customHeight="1">
      <c r="A47" s="48" t="s">
        <v>158</v>
      </c>
      <c r="B47" s="48" t="s">
        <v>159</v>
      </c>
      <c r="C47" s="49">
        <v>42946.0</v>
      </c>
      <c r="D47" s="48"/>
      <c r="E47" s="48"/>
      <c r="F47" s="48"/>
      <c r="G47" s="48"/>
      <c r="H47" s="48"/>
      <c r="I47" s="48"/>
      <c r="J47" s="48">
        <v>200000.0</v>
      </c>
      <c r="K47" s="52" t="str">
        <f t="shared" si="1"/>
        <v>#DIV/0!</v>
      </c>
      <c r="L47" s="48">
        <v>300000.0</v>
      </c>
      <c r="M47" s="53" t="str">
        <f t="shared" si="47"/>
        <v/>
      </c>
      <c r="N47" s="54" t="str">
        <f t="shared" si="41"/>
        <v>#DIV/0!</v>
      </c>
      <c r="O47" s="55">
        <f t="shared" si="4"/>
        <v>100000</v>
      </c>
      <c r="P47" s="50">
        <v>30000.0</v>
      </c>
      <c r="Q47" s="56">
        <f t="shared" si="45"/>
        <v>21000</v>
      </c>
      <c r="R47" s="56">
        <f t="shared" si="46"/>
        <v>12550</v>
      </c>
      <c r="S47" s="56">
        <f t="shared" si="7"/>
        <v>251000</v>
      </c>
      <c r="T47" s="56">
        <f t="shared" si="8"/>
        <v>49000</v>
      </c>
      <c r="U47" s="56">
        <f t="shared" si="37"/>
        <v>36450</v>
      </c>
      <c r="V47" s="57">
        <f t="shared" si="10"/>
        <v>0.1952191235</v>
      </c>
      <c r="W47" s="56">
        <f t="shared" si="11"/>
        <v>195000</v>
      </c>
      <c r="X47" s="53">
        <f t="shared" si="12"/>
        <v>5000</v>
      </c>
      <c r="Y47" s="48" t="s">
        <v>157</v>
      </c>
      <c r="Z47" s="48"/>
      <c r="AA47" s="48"/>
      <c r="AB47" s="48"/>
      <c r="AC47" s="48"/>
      <c r="AD47" s="48"/>
      <c r="AE47" s="48"/>
      <c r="AF47" s="48"/>
      <c r="AG47" s="48"/>
      <c r="AH47" s="48"/>
      <c r="AI47" s="48"/>
      <c r="AJ47" s="48"/>
      <c r="AK47" s="48"/>
      <c r="AL47" s="48"/>
      <c r="AM47" s="48"/>
      <c r="AN47" s="48"/>
      <c r="AO47" s="48"/>
      <c r="AP47" s="48"/>
      <c r="AQ47" s="48"/>
      <c r="AR47" s="48"/>
      <c r="AS47" s="48"/>
      <c r="AT47" s="48"/>
      <c r="AU47" s="55">
        <v>0.9</v>
      </c>
      <c r="AV47" s="58">
        <f t="shared" si="18"/>
        <v>180000</v>
      </c>
      <c r="AW47" s="58">
        <f t="shared" si="40"/>
        <v>30000</v>
      </c>
      <c r="AX47" s="59">
        <v>0.0199999999999999</v>
      </c>
      <c r="AY47" s="57">
        <v>0.0875</v>
      </c>
      <c r="AZ47" s="56">
        <v>6.0</v>
      </c>
      <c r="BA47" s="60">
        <f t="shared" si="19"/>
        <v>1531.25</v>
      </c>
      <c r="BB47" s="56">
        <f t="shared" si="20"/>
        <v>9187.5</v>
      </c>
      <c r="BC47" s="48">
        <f t="shared" si="21"/>
        <v>4200</v>
      </c>
      <c r="BD47" s="92">
        <f t="shared" si="22"/>
        <v>13387.5</v>
      </c>
      <c r="BE47" s="48"/>
      <c r="BF47" s="48"/>
      <c r="BG47" s="48"/>
      <c r="BH47" s="48"/>
      <c r="BI47" s="48"/>
      <c r="BJ47" s="48"/>
      <c r="BK47" s="48"/>
      <c r="BL47" s="48"/>
      <c r="BM47" s="48"/>
      <c r="BN47" s="48"/>
      <c r="BO47" s="48"/>
      <c r="BP47" s="48"/>
      <c r="BQ47" s="48"/>
      <c r="BR47" s="48"/>
      <c r="BS47" s="48"/>
      <c r="BT47" s="48"/>
      <c r="BU47" s="48"/>
      <c r="BV47" s="48"/>
      <c r="BW47" s="48"/>
      <c r="BX47" s="48"/>
    </row>
    <row r="48" ht="15.75" customHeight="1">
      <c r="A48" s="48" t="s">
        <v>160</v>
      </c>
      <c r="B48" s="48" t="s">
        <v>161</v>
      </c>
      <c r="C48" s="49">
        <v>42947.0</v>
      </c>
      <c r="D48" s="48"/>
      <c r="E48" s="48"/>
      <c r="F48" s="48">
        <v>4.0</v>
      </c>
      <c r="G48" s="48">
        <v>2.0</v>
      </c>
      <c r="H48" s="48">
        <v>1141.0</v>
      </c>
      <c r="I48" s="48">
        <v>265000.0</v>
      </c>
      <c r="J48" s="48">
        <v>200000.0</v>
      </c>
      <c r="K48" s="52">
        <f t="shared" si="1"/>
        <v>175.2848379</v>
      </c>
      <c r="L48" s="48">
        <v>300000.0</v>
      </c>
      <c r="M48" s="53">
        <f t="shared" si="47"/>
        <v>1141</v>
      </c>
      <c r="N48" s="54">
        <f t="shared" si="41"/>
        <v>262.9272568</v>
      </c>
      <c r="O48" s="55">
        <f t="shared" si="4"/>
        <v>100000</v>
      </c>
      <c r="P48" s="50">
        <v>50000.0</v>
      </c>
      <c r="Q48" s="56">
        <f t="shared" si="45"/>
        <v>21000</v>
      </c>
      <c r="R48" s="56">
        <f t="shared" si="46"/>
        <v>13550</v>
      </c>
      <c r="S48" s="56">
        <f t="shared" si="7"/>
        <v>271000</v>
      </c>
      <c r="T48" s="56">
        <f t="shared" si="8"/>
        <v>29000</v>
      </c>
      <c r="U48" s="56">
        <f t="shared" si="37"/>
        <v>15450</v>
      </c>
      <c r="V48" s="57">
        <f t="shared" si="10"/>
        <v>0.1070110701</v>
      </c>
      <c r="W48" s="56">
        <f t="shared" si="11"/>
        <v>175000</v>
      </c>
      <c r="X48" s="53">
        <f t="shared" si="12"/>
        <v>25000</v>
      </c>
      <c r="Y48" s="48" t="s">
        <v>162</v>
      </c>
      <c r="Z48" s="48"/>
      <c r="AA48" s="48"/>
      <c r="AB48" s="48"/>
      <c r="AC48" s="48"/>
      <c r="AD48" s="48"/>
      <c r="AE48" s="48"/>
      <c r="AF48" s="48"/>
      <c r="AG48" s="48"/>
      <c r="AH48" s="48"/>
      <c r="AI48" s="48"/>
      <c r="AJ48" s="48"/>
      <c r="AK48" s="48"/>
      <c r="AL48" s="48"/>
      <c r="AM48" s="48"/>
      <c r="AN48" s="48"/>
      <c r="AO48" s="48"/>
      <c r="AP48" s="48"/>
      <c r="AQ48" s="48"/>
      <c r="AR48" s="48"/>
      <c r="AS48" s="48"/>
      <c r="AT48" s="48"/>
      <c r="AU48" s="55">
        <v>0.9</v>
      </c>
      <c r="AV48" s="58">
        <f t="shared" si="18"/>
        <v>180000</v>
      </c>
      <c r="AW48" s="58">
        <f t="shared" si="40"/>
        <v>50000</v>
      </c>
      <c r="AX48" s="59">
        <v>0.0199999999999999</v>
      </c>
      <c r="AY48" s="57">
        <v>0.0875</v>
      </c>
      <c r="AZ48" s="56">
        <v>6.0</v>
      </c>
      <c r="BA48" s="60">
        <f t="shared" si="19"/>
        <v>1677.083333</v>
      </c>
      <c r="BB48" s="56">
        <f t="shared" si="20"/>
        <v>10062.5</v>
      </c>
      <c r="BC48" s="48">
        <f t="shared" si="21"/>
        <v>4600</v>
      </c>
      <c r="BD48" s="92">
        <f t="shared" si="22"/>
        <v>14662.5</v>
      </c>
      <c r="BE48" s="48"/>
      <c r="BF48" s="48"/>
      <c r="BG48" s="48"/>
      <c r="BH48" s="48"/>
      <c r="BI48" s="48"/>
      <c r="BJ48" s="48"/>
      <c r="BK48" s="48"/>
      <c r="BL48" s="48"/>
      <c r="BM48" s="48"/>
      <c r="BN48" s="48"/>
      <c r="BO48" s="48"/>
      <c r="BP48" s="48"/>
      <c r="BQ48" s="48"/>
      <c r="BR48" s="48"/>
      <c r="BS48" s="48"/>
      <c r="BT48" s="48"/>
      <c r="BU48" s="48"/>
      <c r="BV48" s="48"/>
      <c r="BW48" s="48"/>
      <c r="BX48" s="48"/>
    </row>
    <row r="49" ht="15.75" customHeight="1">
      <c r="A49" s="48" t="s">
        <v>163</v>
      </c>
      <c r="B49" s="48" t="s">
        <v>164</v>
      </c>
      <c r="C49" s="49">
        <v>42949.0</v>
      </c>
      <c r="D49" s="48"/>
      <c r="E49" s="48"/>
      <c r="F49" s="48">
        <v>3.0</v>
      </c>
      <c r="G49" s="48">
        <v>1.0</v>
      </c>
      <c r="H49" s="48">
        <v>1020.0</v>
      </c>
      <c r="I49" s="48">
        <v>640000.0</v>
      </c>
      <c r="J49" s="48">
        <v>640000.0</v>
      </c>
      <c r="K49" s="52">
        <f t="shared" si="1"/>
        <v>627.4509804</v>
      </c>
      <c r="L49" s="48">
        <v>800000.0</v>
      </c>
      <c r="M49" s="53">
        <f t="shared" si="47"/>
        <v>1020</v>
      </c>
      <c r="N49" s="54">
        <f t="shared" si="41"/>
        <v>784.3137255</v>
      </c>
      <c r="O49" s="55">
        <f t="shared" si="4"/>
        <v>160000</v>
      </c>
      <c r="P49" s="50">
        <v>40000.0</v>
      </c>
      <c r="Q49" s="56">
        <f t="shared" si="45"/>
        <v>56000</v>
      </c>
      <c r="R49" s="56">
        <f t="shared" si="46"/>
        <v>36800</v>
      </c>
      <c r="S49" s="56">
        <f t="shared" si="7"/>
        <v>736000</v>
      </c>
      <c r="T49" s="56">
        <f t="shared" si="8"/>
        <v>64000</v>
      </c>
      <c r="U49" s="56">
        <f t="shared" si="37"/>
        <v>27200</v>
      </c>
      <c r="V49" s="57">
        <f t="shared" si="10"/>
        <v>0.08695652174</v>
      </c>
      <c r="W49" s="56">
        <f t="shared" si="11"/>
        <v>560000</v>
      </c>
      <c r="X49" s="53">
        <f t="shared" si="12"/>
        <v>80000</v>
      </c>
      <c r="Y49" s="48" t="s">
        <v>165</v>
      </c>
      <c r="Z49" s="48"/>
      <c r="AA49" s="48"/>
      <c r="AB49" s="48"/>
      <c r="AC49" s="48"/>
      <c r="AD49" s="48"/>
      <c r="AE49" s="48"/>
      <c r="AF49" s="48"/>
      <c r="AG49" s="48"/>
      <c r="AH49" s="48"/>
      <c r="AI49" s="48"/>
      <c r="AJ49" s="48"/>
      <c r="AK49" s="48"/>
      <c r="AL49" s="48"/>
      <c r="AM49" s="48"/>
      <c r="AN49" s="48"/>
      <c r="AO49" s="48"/>
      <c r="AP49" s="48"/>
      <c r="AQ49" s="48"/>
      <c r="AR49" s="48"/>
      <c r="AS49" s="48"/>
      <c r="AT49" s="48"/>
      <c r="AU49" s="55">
        <v>0.9</v>
      </c>
      <c r="AV49" s="58">
        <f t="shared" si="18"/>
        <v>576000</v>
      </c>
      <c r="AW49" s="58">
        <f t="shared" si="40"/>
        <v>40000</v>
      </c>
      <c r="AX49" s="59">
        <v>0.0199999999999999</v>
      </c>
      <c r="AY49" s="57">
        <v>0.0875</v>
      </c>
      <c r="AZ49" s="56">
        <v>6.0</v>
      </c>
      <c r="BA49" s="60">
        <f t="shared" si="19"/>
        <v>4491.666667</v>
      </c>
      <c r="BB49" s="56">
        <f t="shared" si="20"/>
        <v>26950</v>
      </c>
      <c r="BC49" s="48">
        <f t="shared" si="21"/>
        <v>12320</v>
      </c>
      <c r="BD49" s="92">
        <f t="shared" si="22"/>
        <v>39270</v>
      </c>
      <c r="BE49" s="48"/>
      <c r="BF49" s="48"/>
      <c r="BG49" s="48"/>
      <c r="BH49" s="48"/>
      <c r="BI49" s="48"/>
      <c r="BJ49" s="48"/>
      <c r="BK49" s="48"/>
      <c r="BL49" s="48"/>
      <c r="BM49" s="48"/>
      <c r="BN49" s="48"/>
      <c r="BO49" s="48"/>
      <c r="BP49" s="48"/>
      <c r="BQ49" s="48"/>
      <c r="BR49" s="48"/>
      <c r="BS49" s="48"/>
      <c r="BT49" s="48"/>
      <c r="BU49" s="48"/>
      <c r="BV49" s="48"/>
      <c r="BW49" s="48"/>
      <c r="BX49" s="48"/>
    </row>
    <row r="50" ht="15.75" customHeight="1">
      <c r="A50" s="48" t="s">
        <v>166</v>
      </c>
      <c r="B50" s="48" t="s">
        <v>167</v>
      </c>
      <c r="C50" s="49">
        <v>42949.0</v>
      </c>
      <c r="D50" s="48"/>
      <c r="E50" s="48"/>
      <c r="F50" s="48">
        <v>3.0</v>
      </c>
      <c r="G50" s="48">
        <v>2.0</v>
      </c>
      <c r="H50" s="48">
        <v>1092.0</v>
      </c>
      <c r="I50" s="48">
        <v>210000.0</v>
      </c>
      <c r="J50" s="48">
        <v>200000.0</v>
      </c>
      <c r="K50" s="52">
        <f t="shared" si="1"/>
        <v>183.1501832</v>
      </c>
      <c r="L50" s="48">
        <v>261000.0</v>
      </c>
      <c r="M50" s="53">
        <f t="shared" si="47"/>
        <v>1092</v>
      </c>
      <c r="N50" s="54">
        <f t="shared" si="41"/>
        <v>239.010989</v>
      </c>
      <c r="O50" s="55">
        <f t="shared" si="4"/>
        <v>61000</v>
      </c>
      <c r="P50" s="50">
        <v>20000.0</v>
      </c>
      <c r="Q50" s="56">
        <f t="shared" si="45"/>
        <v>18270</v>
      </c>
      <c r="R50" s="56">
        <f t="shared" si="46"/>
        <v>11913.5</v>
      </c>
      <c r="S50" s="56">
        <f t="shared" si="7"/>
        <v>238270</v>
      </c>
      <c r="T50" s="56">
        <f t="shared" si="8"/>
        <v>22730</v>
      </c>
      <c r="U50" s="56">
        <f t="shared" si="37"/>
        <v>10816.5</v>
      </c>
      <c r="V50" s="57">
        <f t="shared" si="10"/>
        <v>0.09539597935</v>
      </c>
      <c r="W50" s="56">
        <f t="shared" si="11"/>
        <v>175750</v>
      </c>
      <c r="X50" s="53">
        <f t="shared" si="12"/>
        <v>24250</v>
      </c>
      <c r="Y50" s="48" t="s">
        <v>168</v>
      </c>
      <c r="Z50" s="48"/>
      <c r="AA50" s="48"/>
      <c r="AB50" s="48"/>
      <c r="AC50" s="48"/>
      <c r="AD50" s="48"/>
      <c r="AE50" s="48"/>
      <c r="AF50" s="48"/>
      <c r="AG50" s="48"/>
      <c r="AH50" s="48"/>
      <c r="AI50" s="48"/>
      <c r="AJ50" s="48"/>
      <c r="AK50" s="48"/>
      <c r="AL50" s="48"/>
      <c r="AM50" s="48"/>
      <c r="AN50" s="48"/>
      <c r="AO50" s="48"/>
      <c r="AP50" s="48"/>
      <c r="AQ50" s="48"/>
      <c r="AR50" s="48"/>
      <c r="AS50" s="48"/>
      <c r="AT50" s="48"/>
      <c r="AU50" s="55">
        <v>0.9</v>
      </c>
      <c r="AV50" s="58">
        <f t="shared" si="18"/>
        <v>180000</v>
      </c>
      <c r="AW50" s="58">
        <f t="shared" si="40"/>
        <v>20000</v>
      </c>
      <c r="AX50" s="59">
        <v>0.0199999999999999</v>
      </c>
      <c r="AY50" s="57">
        <v>0.0875</v>
      </c>
      <c r="AZ50" s="56">
        <v>6.0</v>
      </c>
      <c r="BA50" s="60">
        <f t="shared" si="19"/>
        <v>1458.333333</v>
      </c>
      <c r="BB50" s="56">
        <f t="shared" si="20"/>
        <v>8750</v>
      </c>
      <c r="BC50" s="48">
        <f t="shared" si="21"/>
        <v>4000</v>
      </c>
      <c r="BD50" s="92">
        <f t="shared" si="22"/>
        <v>12750</v>
      </c>
      <c r="BE50" s="48"/>
      <c r="BF50" s="48"/>
      <c r="BG50" s="48"/>
      <c r="BH50" s="48"/>
      <c r="BI50" s="48"/>
      <c r="BJ50" s="48"/>
      <c r="BK50" s="48"/>
      <c r="BL50" s="48"/>
      <c r="BM50" s="48"/>
      <c r="BN50" s="48"/>
      <c r="BO50" s="48"/>
      <c r="BP50" s="48"/>
      <c r="BQ50" s="48"/>
      <c r="BR50" s="48"/>
      <c r="BS50" s="48"/>
      <c r="BT50" s="48"/>
      <c r="BU50" s="48"/>
      <c r="BV50" s="48"/>
      <c r="BW50" s="48"/>
      <c r="BX50" s="48"/>
    </row>
    <row r="51" ht="15.75" customHeight="1">
      <c r="A51" s="48" t="s">
        <v>169</v>
      </c>
      <c r="B51" s="48" t="s">
        <v>170</v>
      </c>
      <c r="C51" s="49">
        <v>42949.0</v>
      </c>
      <c r="D51" s="48"/>
      <c r="E51" s="48"/>
      <c r="F51" s="48">
        <v>3.0</v>
      </c>
      <c r="G51" s="48">
        <v>2.5</v>
      </c>
      <c r="H51" s="48">
        <v>1422.0</v>
      </c>
      <c r="I51" s="48">
        <v>270000.0</v>
      </c>
      <c r="J51" s="48">
        <v>270000.0</v>
      </c>
      <c r="K51" s="52">
        <f t="shared" si="1"/>
        <v>189.8734177</v>
      </c>
      <c r="L51" s="48">
        <v>350000.0</v>
      </c>
      <c r="M51" s="53">
        <f t="shared" si="47"/>
        <v>1422</v>
      </c>
      <c r="N51" s="54">
        <f t="shared" si="41"/>
        <v>246.1322082</v>
      </c>
      <c r="O51" s="55">
        <f t="shared" si="4"/>
        <v>80000</v>
      </c>
      <c r="P51" s="50">
        <v>20000.0</v>
      </c>
      <c r="Q51" s="56">
        <f t="shared" si="45"/>
        <v>24500</v>
      </c>
      <c r="R51" s="56">
        <f t="shared" si="46"/>
        <v>15725</v>
      </c>
      <c r="S51" s="56">
        <f t="shared" si="7"/>
        <v>314500</v>
      </c>
      <c r="T51" s="56">
        <f t="shared" si="8"/>
        <v>35500</v>
      </c>
      <c r="U51" s="56">
        <f t="shared" si="37"/>
        <v>19775</v>
      </c>
      <c r="V51" s="57">
        <f t="shared" si="10"/>
        <v>0.1128775835</v>
      </c>
      <c r="W51" s="56">
        <f t="shared" si="11"/>
        <v>242500</v>
      </c>
      <c r="X51" s="53">
        <f t="shared" si="12"/>
        <v>27500</v>
      </c>
      <c r="Y51" s="48"/>
      <c r="Z51" s="48"/>
      <c r="AA51" s="48"/>
      <c r="AB51" s="48"/>
      <c r="AC51" s="48"/>
      <c r="AD51" s="48"/>
      <c r="AE51" s="48"/>
      <c r="AF51" s="48"/>
      <c r="AG51" s="48"/>
      <c r="AH51" s="48"/>
      <c r="AI51" s="48"/>
      <c r="AJ51" s="48"/>
      <c r="AK51" s="48"/>
      <c r="AL51" s="48"/>
      <c r="AM51" s="48"/>
      <c r="AN51" s="48"/>
      <c r="AO51" s="48"/>
      <c r="AP51" s="48"/>
      <c r="AQ51" s="48"/>
      <c r="AR51" s="48"/>
      <c r="AS51" s="48"/>
      <c r="AT51" s="48"/>
      <c r="AU51" s="55">
        <v>0.9</v>
      </c>
      <c r="AV51" s="58">
        <f t="shared" si="18"/>
        <v>243000</v>
      </c>
      <c r="AW51" s="58">
        <f t="shared" si="40"/>
        <v>20000</v>
      </c>
      <c r="AX51" s="59">
        <v>0.0199999999999999</v>
      </c>
      <c r="AY51" s="57">
        <v>0.0875</v>
      </c>
      <c r="AZ51" s="56">
        <v>6.0</v>
      </c>
      <c r="BA51" s="60">
        <f t="shared" si="19"/>
        <v>1917.708333</v>
      </c>
      <c r="BB51" s="56">
        <f t="shared" si="20"/>
        <v>11506.25</v>
      </c>
      <c r="BC51" s="48">
        <f t="shared" si="21"/>
        <v>5260</v>
      </c>
      <c r="BD51" s="92">
        <f t="shared" si="22"/>
        <v>16766.25</v>
      </c>
      <c r="BE51" s="48"/>
      <c r="BF51" s="48"/>
      <c r="BG51" s="48"/>
      <c r="BH51" s="48"/>
      <c r="BI51" s="48"/>
      <c r="BJ51" s="48"/>
      <c r="BK51" s="48"/>
      <c r="BL51" s="48"/>
      <c r="BM51" s="48"/>
      <c r="BN51" s="48"/>
      <c r="BO51" s="48"/>
      <c r="BP51" s="48"/>
      <c r="BQ51" s="48"/>
      <c r="BR51" s="48"/>
      <c r="BS51" s="48"/>
      <c r="BT51" s="48"/>
      <c r="BU51" s="48"/>
      <c r="BV51" s="48"/>
      <c r="BW51" s="48"/>
      <c r="BX51" s="48"/>
    </row>
    <row r="52" ht="15.75" customHeight="1">
      <c r="A52" s="66" t="s">
        <v>171</v>
      </c>
      <c r="B52" s="48"/>
      <c r="C52" s="49">
        <v>42950.0</v>
      </c>
      <c r="D52" s="48"/>
      <c r="E52" s="48"/>
      <c r="F52" s="48">
        <v>4.0</v>
      </c>
      <c r="G52" s="48">
        <v>2.0</v>
      </c>
      <c r="H52" s="48">
        <v>1593.0</v>
      </c>
      <c r="I52" s="48"/>
      <c r="J52" s="48">
        <v>270000.0</v>
      </c>
      <c r="K52" s="52">
        <f t="shared" si="1"/>
        <v>169.4915254</v>
      </c>
      <c r="L52" s="48">
        <v>380000.0</v>
      </c>
      <c r="M52" s="53">
        <f t="shared" si="47"/>
        <v>1593</v>
      </c>
      <c r="N52" s="54">
        <f t="shared" si="41"/>
        <v>238.5436284</v>
      </c>
      <c r="O52" s="55">
        <f t="shared" si="4"/>
        <v>110000</v>
      </c>
      <c r="P52" s="50">
        <v>30000.0</v>
      </c>
      <c r="Q52" s="56">
        <f t="shared" si="45"/>
        <v>26600</v>
      </c>
      <c r="R52" s="56">
        <f t="shared" si="46"/>
        <v>16330</v>
      </c>
      <c r="S52" s="56">
        <f t="shared" si="7"/>
        <v>326600</v>
      </c>
      <c r="T52" s="56">
        <f t="shared" si="8"/>
        <v>53400</v>
      </c>
      <c r="U52" s="56">
        <f t="shared" si="37"/>
        <v>37070</v>
      </c>
      <c r="V52" s="57">
        <f t="shared" si="10"/>
        <v>0.1635027557</v>
      </c>
      <c r="W52" s="56">
        <f t="shared" si="11"/>
        <v>255000</v>
      </c>
      <c r="X52" s="53">
        <f t="shared" si="12"/>
        <v>15000</v>
      </c>
      <c r="Y52" s="48"/>
      <c r="Z52" s="48"/>
      <c r="AA52" s="48"/>
      <c r="AB52" s="48"/>
      <c r="AC52" s="48"/>
      <c r="AD52" s="48"/>
      <c r="AE52" s="48"/>
      <c r="AF52" s="48"/>
      <c r="AG52" s="48"/>
      <c r="AH52" s="48"/>
      <c r="AI52" s="48"/>
      <c r="AJ52" s="48"/>
      <c r="AK52" s="48"/>
      <c r="AL52" s="48"/>
      <c r="AM52" s="48"/>
      <c r="AN52" s="48"/>
      <c r="AO52" s="48"/>
      <c r="AP52" s="48"/>
      <c r="AQ52" s="48"/>
      <c r="AR52" s="48"/>
      <c r="AS52" s="48"/>
      <c r="AT52" s="48"/>
      <c r="AU52" s="55">
        <v>0.9</v>
      </c>
      <c r="AV52" s="58">
        <f t="shared" si="18"/>
        <v>243000</v>
      </c>
      <c r="AW52" s="58">
        <f t="shared" si="40"/>
        <v>30000</v>
      </c>
      <c r="AX52" s="59">
        <v>0.0199999999999999</v>
      </c>
      <c r="AY52" s="57">
        <v>0.0875</v>
      </c>
      <c r="AZ52" s="56">
        <v>6.0</v>
      </c>
      <c r="BA52" s="60">
        <f t="shared" si="19"/>
        <v>1990.625</v>
      </c>
      <c r="BB52" s="56">
        <f t="shared" si="20"/>
        <v>11943.75</v>
      </c>
      <c r="BC52" s="48">
        <f t="shared" si="21"/>
        <v>5460</v>
      </c>
      <c r="BD52" s="92">
        <f t="shared" si="22"/>
        <v>17403.75</v>
      </c>
      <c r="BE52" s="48"/>
      <c r="BF52" s="48"/>
      <c r="BG52" s="48"/>
      <c r="BH52" s="48"/>
      <c r="BI52" s="48"/>
      <c r="BJ52" s="48"/>
      <c r="BK52" s="48"/>
      <c r="BL52" s="48"/>
      <c r="BM52" s="48"/>
      <c r="BN52" s="48"/>
      <c r="BO52" s="48"/>
      <c r="BP52" s="48"/>
      <c r="BQ52" s="48"/>
      <c r="BR52" s="48"/>
      <c r="BS52" s="48"/>
      <c r="BT52" s="48"/>
      <c r="BU52" s="48"/>
      <c r="BV52" s="48"/>
      <c r="BW52" s="48"/>
      <c r="BX52" s="48"/>
    </row>
    <row r="53" ht="15.75" customHeight="1">
      <c r="A53" s="66" t="s">
        <v>172</v>
      </c>
      <c r="B53" s="48"/>
      <c r="C53" s="49">
        <v>42950.0</v>
      </c>
      <c r="D53" s="48"/>
      <c r="E53" s="48"/>
      <c r="F53" s="48"/>
      <c r="G53" s="48"/>
      <c r="H53" s="48"/>
      <c r="I53" s="48"/>
      <c r="J53" s="48"/>
      <c r="K53" s="52" t="str">
        <f t="shared" si="1"/>
        <v>#DIV/0!</v>
      </c>
      <c r="L53" s="48"/>
      <c r="M53" s="53" t="str">
        <f t="shared" si="47"/>
        <v/>
      </c>
      <c r="N53" s="54" t="str">
        <f t="shared" si="41"/>
        <v>#DIV/0!</v>
      </c>
      <c r="O53" s="55">
        <f t="shared" si="4"/>
        <v>0</v>
      </c>
      <c r="P53" s="50"/>
      <c r="Q53" s="56">
        <f t="shared" si="45"/>
        <v>0</v>
      </c>
      <c r="R53" s="56">
        <f t="shared" si="46"/>
        <v>0</v>
      </c>
      <c r="S53" s="56">
        <f t="shared" si="7"/>
        <v>0</v>
      </c>
      <c r="T53" s="56">
        <f t="shared" si="8"/>
        <v>0</v>
      </c>
      <c r="U53" s="56">
        <f t="shared" si="37"/>
        <v>0</v>
      </c>
      <c r="V53" s="57" t="str">
        <f t="shared" si="10"/>
        <v>#DIV/0!</v>
      </c>
      <c r="W53" s="56">
        <f t="shared" si="11"/>
        <v>0</v>
      </c>
      <c r="X53" s="53">
        <f t="shared" si="12"/>
        <v>0</v>
      </c>
      <c r="Y53" s="48"/>
      <c r="Z53" s="48"/>
      <c r="AA53" s="48"/>
      <c r="AB53" s="48"/>
      <c r="AC53" s="48"/>
      <c r="AD53" s="48"/>
      <c r="AE53" s="48"/>
      <c r="AF53" s="48"/>
      <c r="AG53" s="48"/>
      <c r="AH53" s="48"/>
      <c r="AI53" s="48"/>
      <c r="AJ53" s="48"/>
      <c r="AK53" s="48"/>
      <c r="AL53" s="48"/>
      <c r="AM53" s="48"/>
      <c r="AN53" s="48"/>
      <c r="AO53" s="48"/>
      <c r="AP53" s="48"/>
      <c r="AQ53" s="48"/>
      <c r="AR53" s="48"/>
      <c r="AS53" s="48"/>
      <c r="AT53" s="48"/>
      <c r="AU53" s="55">
        <v>0.9</v>
      </c>
      <c r="AV53" s="58">
        <f t="shared" si="18"/>
        <v>0</v>
      </c>
      <c r="AW53" s="58" t="str">
        <f t="shared" si="40"/>
        <v/>
      </c>
      <c r="AX53" s="59">
        <v>0.0199999999999999</v>
      </c>
      <c r="AY53" s="57">
        <v>0.0875</v>
      </c>
      <c r="AZ53" s="56">
        <v>6.0</v>
      </c>
      <c r="BA53" s="60">
        <f t="shared" si="19"/>
        <v>0</v>
      </c>
      <c r="BB53" s="56">
        <f t="shared" si="20"/>
        <v>0</v>
      </c>
      <c r="BC53" s="48">
        <f t="shared" si="21"/>
        <v>0</v>
      </c>
      <c r="BD53" s="92">
        <f t="shared" si="22"/>
        <v>0</v>
      </c>
      <c r="BE53" s="48"/>
      <c r="BF53" s="48"/>
      <c r="BG53" s="48"/>
      <c r="BH53" s="48"/>
      <c r="BI53" s="48"/>
      <c r="BJ53" s="48"/>
      <c r="BK53" s="48"/>
      <c r="BL53" s="48"/>
      <c r="BM53" s="48"/>
      <c r="BN53" s="48"/>
      <c r="BO53" s="48"/>
      <c r="BP53" s="48"/>
      <c r="BQ53" s="48"/>
      <c r="BR53" s="48"/>
      <c r="BS53" s="48"/>
      <c r="BT53" s="48"/>
      <c r="BU53" s="48"/>
      <c r="BV53" s="48"/>
      <c r="BW53" s="48"/>
      <c r="BX53" s="48"/>
    </row>
    <row r="54" ht="15.75" customHeight="1">
      <c r="A54" s="66" t="s">
        <v>173</v>
      </c>
      <c r="B54" s="48" t="s">
        <v>174</v>
      </c>
      <c r="C54" s="49">
        <v>42950.0</v>
      </c>
      <c r="D54" s="48"/>
      <c r="E54" s="48"/>
      <c r="F54" s="48">
        <v>4.0</v>
      </c>
      <c r="G54" s="48">
        <v>2.0</v>
      </c>
      <c r="H54" s="48">
        <v>1204.0</v>
      </c>
      <c r="I54" s="48"/>
      <c r="J54" s="48">
        <v>220000.0</v>
      </c>
      <c r="K54" s="52">
        <f t="shared" si="1"/>
        <v>182.7242525</v>
      </c>
      <c r="L54" s="48">
        <v>330000.0</v>
      </c>
      <c r="M54" s="53">
        <f t="shared" si="47"/>
        <v>1204</v>
      </c>
      <c r="N54" s="54">
        <f t="shared" si="41"/>
        <v>274.0863787</v>
      </c>
      <c r="O54" s="55">
        <f t="shared" si="4"/>
        <v>110000</v>
      </c>
      <c r="P54" s="50">
        <v>40000.0</v>
      </c>
      <c r="Q54" s="56">
        <f t="shared" si="45"/>
        <v>23100</v>
      </c>
      <c r="R54" s="56">
        <f t="shared" si="46"/>
        <v>14155</v>
      </c>
      <c r="S54" s="56">
        <f t="shared" si="7"/>
        <v>283100</v>
      </c>
      <c r="T54" s="56">
        <f t="shared" si="8"/>
        <v>46900</v>
      </c>
      <c r="U54" s="56">
        <f t="shared" si="37"/>
        <v>32745</v>
      </c>
      <c r="V54" s="57">
        <f t="shared" si="10"/>
        <v>0.1656658425</v>
      </c>
      <c r="W54" s="56">
        <f t="shared" si="11"/>
        <v>207500</v>
      </c>
      <c r="X54" s="53">
        <f t="shared" si="12"/>
        <v>12500</v>
      </c>
      <c r="Y54" s="48"/>
      <c r="Z54" s="48"/>
      <c r="AA54" s="48"/>
      <c r="AB54" s="48"/>
      <c r="AC54" s="48"/>
      <c r="AD54" s="48"/>
      <c r="AE54" s="48"/>
      <c r="AF54" s="48"/>
      <c r="AG54" s="48"/>
      <c r="AH54" s="48"/>
      <c r="AI54" s="48"/>
      <c r="AJ54" s="48"/>
      <c r="AK54" s="48"/>
      <c r="AL54" s="48"/>
      <c r="AM54" s="48"/>
      <c r="AN54" s="48"/>
      <c r="AO54" s="48"/>
      <c r="AP54" s="48"/>
      <c r="AQ54" s="48"/>
      <c r="AR54" s="48"/>
      <c r="AS54" s="48"/>
      <c r="AT54" s="48"/>
      <c r="AU54" s="55">
        <v>0.9</v>
      </c>
      <c r="AV54" s="58">
        <f t="shared" si="18"/>
        <v>198000</v>
      </c>
      <c r="AW54" s="58">
        <f t="shared" si="40"/>
        <v>40000</v>
      </c>
      <c r="AX54" s="59">
        <v>0.0199999999999999</v>
      </c>
      <c r="AY54" s="57">
        <v>0.0875</v>
      </c>
      <c r="AZ54" s="56">
        <v>6.0</v>
      </c>
      <c r="BA54" s="60">
        <f t="shared" si="19"/>
        <v>1735.416667</v>
      </c>
      <c r="BB54" s="56">
        <f t="shared" si="20"/>
        <v>10412.5</v>
      </c>
      <c r="BC54" s="48">
        <f t="shared" si="21"/>
        <v>4760</v>
      </c>
      <c r="BD54" s="92">
        <f t="shared" si="22"/>
        <v>15172.5</v>
      </c>
      <c r="BE54" s="48"/>
      <c r="BF54" s="48"/>
      <c r="BG54" s="48"/>
      <c r="BH54" s="48"/>
      <c r="BI54" s="48"/>
      <c r="BJ54" s="48"/>
      <c r="BK54" s="48"/>
      <c r="BL54" s="48"/>
      <c r="BM54" s="48"/>
      <c r="BN54" s="48"/>
      <c r="BO54" s="48"/>
      <c r="BP54" s="48"/>
      <c r="BQ54" s="48"/>
      <c r="BR54" s="48"/>
      <c r="BS54" s="48"/>
      <c r="BT54" s="48"/>
      <c r="BU54" s="48"/>
      <c r="BV54" s="48"/>
      <c r="BW54" s="48"/>
      <c r="BX54" s="48"/>
    </row>
    <row r="55" ht="15.75" customHeight="1">
      <c r="A55" s="48" t="s">
        <v>175</v>
      </c>
      <c r="B55" s="48"/>
      <c r="C55" s="48"/>
      <c r="D55" s="48"/>
      <c r="E55" s="48"/>
      <c r="F55" s="48"/>
      <c r="G55" s="48"/>
      <c r="H55" s="48"/>
      <c r="I55" s="48"/>
      <c r="J55" s="48">
        <v>340000.0</v>
      </c>
      <c r="K55" s="52" t="str">
        <f t="shared" si="1"/>
        <v>#DIV/0!</v>
      </c>
      <c r="L55" s="48">
        <v>389000.0</v>
      </c>
      <c r="M55" s="53" t="str">
        <f t="shared" si="47"/>
        <v/>
      </c>
      <c r="N55" s="54" t="str">
        <f t="shared" si="41"/>
        <v>#DIV/0!</v>
      </c>
      <c r="O55" s="55">
        <f t="shared" si="4"/>
        <v>49000</v>
      </c>
      <c r="P55" s="48">
        <v>10000.0</v>
      </c>
      <c r="Q55" s="56">
        <f>MULTIPLY(0.035,L55)</f>
        <v>13615</v>
      </c>
      <c r="R55" s="56">
        <f t="shared" si="46"/>
        <v>18180.75</v>
      </c>
      <c r="S55" s="56">
        <f t="shared" si="7"/>
        <v>363615</v>
      </c>
      <c r="T55" s="56">
        <f t="shared" si="8"/>
        <v>25385</v>
      </c>
      <c r="U55" s="56">
        <f t="shared" si="37"/>
        <v>7204.25</v>
      </c>
      <c r="V55" s="57">
        <f t="shared" si="10"/>
        <v>0.06981285151</v>
      </c>
      <c r="W55" s="56">
        <f t="shared" si="11"/>
        <v>281750</v>
      </c>
      <c r="X55" s="53">
        <f t="shared" si="12"/>
        <v>58250</v>
      </c>
      <c r="Y55" s="48"/>
      <c r="Z55" s="48"/>
      <c r="AA55" s="48"/>
      <c r="AB55" s="48"/>
      <c r="AC55" s="48"/>
      <c r="AD55" s="48"/>
      <c r="AE55" s="48"/>
      <c r="AF55" s="48"/>
      <c r="AG55" s="48"/>
      <c r="AH55" s="48"/>
      <c r="AI55" s="48"/>
      <c r="AJ55" s="48"/>
      <c r="AK55" s="48"/>
      <c r="AL55" s="48"/>
      <c r="AM55" s="48"/>
      <c r="AN55" s="48"/>
      <c r="AO55" s="48"/>
      <c r="AP55" s="48"/>
      <c r="AQ55" s="48"/>
      <c r="AR55" s="48"/>
      <c r="AS55" s="48"/>
      <c r="AT55" s="48"/>
      <c r="AU55" s="55">
        <v>0.9</v>
      </c>
      <c r="AV55" s="58">
        <f t="shared" si="18"/>
        <v>306000</v>
      </c>
      <c r="AW55" s="58">
        <f t="shared" si="40"/>
        <v>10000</v>
      </c>
      <c r="AX55" s="59">
        <v>0.0199999999999999</v>
      </c>
      <c r="AY55" s="57">
        <v>0.0875</v>
      </c>
      <c r="AZ55" s="56">
        <v>6.0</v>
      </c>
      <c r="BA55" s="60">
        <f t="shared" si="19"/>
        <v>2304.166667</v>
      </c>
      <c r="BB55" s="56">
        <f t="shared" si="20"/>
        <v>13825</v>
      </c>
      <c r="BC55" s="48">
        <f t="shared" si="21"/>
        <v>6320</v>
      </c>
      <c r="BD55" s="92">
        <f t="shared" si="22"/>
        <v>20145</v>
      </c>
      <c r="BE55" s="48"/>
      <c r="BF55" s="48"/>
      <c r="BG55" s="48"/>
      <c r="BH55" s="48"/>
      <c r="BI55" s="48"/>
      <c r="BJ55" s="48"/>
      <c r="BK55" s="48"/>
      <c r="BL55" s="48"/>
      <c r="BM55" s="48"/>
      <c r="BN55" s="48"/>
      <c r="BO55" s="48"/>
      <c r="BP55" s="48"/>
      <c r="BQ55" s="48"/>
      <c r="BR55" s="48"/>
      <c r="BS55" s="48"/>
      <c r="BT55" s="48"/>
      <c r="BU55" s="48"/>
      <c r="BV55" s="48"/>
      <c r="BW55" s="48"/>
      <c r="BX55" s="48"/>
    </row>
    <row r="56" ht="15.75" customHeight="1">
      <c r="A56" s="67" t="s">
        <v>176</v>
      </c>
      <c r="B56" s="48"/>
      <c r="C56" s="48"/>
      <c r="D56" s="48"/>
      <c r="E56" s="48"/>
      <c r="F56" s="48">
        <v>4.0</v>
      </c>
      <c r="G56" s="48">
        <v>2.0</v>
      </c>
      <c r="H56" s="48">
        <v>1345.0</v>
      </c>
      <c r="I56" s="48">
        <v>185000.0</v>
      </c>
      <c r="J56" s="48">
        <v>185000.0</v>
      </c>
      <c r="K56" s="52">
        <f t="shared" si="1"/>
        <v>137.5464684</v>
      </c>
      <c r="L56" s="48">
        <v>300000.0</v>
      </c>
      <c r="M56" s="53">
        <f t="shared" si="47"/>
        <v>1345</v>
      </c>
      <c r="N56" s="54">
        <f t="shared" si="41"/>
        <v>223.0483271</v>
      </c>
      <c r="O56" s="55">
        <f t="shared" si="4"/>
        <v>115000</v>
      </c>
      <c r="P56" s="48">
        <v>40000.0</v>
      </c>
      <c r="Q56" s="56">
        <f>MULTIPLY(0.07,L56)</f>
        <v>21000</v>
      </c>
      <c r="R56" s="56">
        <f t="shared" si="46"/>
        <v>12300</v>
      </c>
      <c r="S56" s="56">
        <f t="shared" si="7"/>
        <v>246000</v>
      </c>
      <c r="T56" s="56">
        <f t="shared" si="8"/>
        <v>54000</v>
      </c>
      <c r="U56" s="56">
        <f t="shared" si="37"/>
        <v>41700</v>
      </c>
      <c r="V56" s="57">
        <f t="shared" si="10"/>
        <v>0.2195121951</v>
      </c>
      <c r="W56" s="56">
        <f t="shared" si="11"/>
        <v>185000</v>
      </c>
      <c r="X56" s="53">
        <f t="shared" si="12"/>
        <v>0</v>
      </c>
      <c r="Y56" s="48"/>
      <c r="Z56" s="48"/>
      <c r="AA56" s="48"/>
      <c r="AB56" s="48"/>
      <c r="AC56" s="48"/>
      <c r="AD56" s="48"/>
      <c r="AE56" s="48"/>
      <c r="AF56" s="48"/>
      <c r="AG56" s="48"/>
      <c r="AH56" s="48"/>
      <c r="AI56" s="48"/>
      <c r="AJ56" s="48"/>
      <c r="AK56" s="48"/>
      <c r="AL56" s="48"/>
      <c r="AM56" s="48"/>
      <c r="AN56" s="48"/>
      <c r="AO56" s="48"/>
      <c r="AP56" s="48"/>
      <c r="AQ56" s="48"/>
      <c r="AR56" s="48"/>
      <c r="AS56" s="48"/>
      <c r="AT56" s="48"/>
      <c r="AU56" s="55">
        <v>0.9</v>
      </c>
      <c r="AV56" s="58">
        <f t="shared" si="18"/>
        <v>166500</v>
      </c>
      <c r="AW56" s="58">
        <f t="shared" si="40"/>
        <v>40000</v>
      </c>
      <c r="AX56" s="59">
        <v>0.0199999999999999</v>
      </c>
      <c r="AY56" s="57">
        <v>0.0875</v>
      </c>
      <c r="AZ56" s="56">
        <v>6.0</v>
      </c>
      <c r="BA56" s="60">
        <f t="shared" si="19"/>
        <v>1505.729167</v>
      </c>
      <c r="BB56" s="56">
        <f t="shared" si="20"/>
        <v>9034.375</v>
      </c>
      <c r="BC56" s="48">
        <f t="shared" si="21"/>
        <v>4130</v>
      </c>
      <c r="BD56" s="92">
        <f t="shared" si="22"/>
        <v>13164.375</v>
      </c>
      <c r="BE56" s="48"/>
      <c r="BF56" s="48"/>
      <c r="BG56" s="48"/>
      <c r="BH56" s="48"/>
      <c r="BI56" s="48"/>
      <c r="BJ56" s="48"/>
      <c r="BK56" s="48"/>
      <c r="BL56" s="48"/>
      <c r="BM56" s="48"/>
      <c r="BN56" s="48"/>
      <c r="BO56" s="48"/>
      <c r="BP56" s="48"/>
      <c r="BQ56" s="48"/>
      <c r="BR56" s="48"/>
      <c r="BS56" s="48"/>
      <c r="BT56" s="48"/>
      <c r="BU56" s="48"/>
      <c r="BV56" s="48"/>
      <c r="BW56" s="48"/>
      <c r="BX56" s="48"/>
    </row>
    <row r="57" ht="15.75" customHeight="1">
      <c r="A57" s="94" t="s">
        <v>177</v>
      </c>
      <c r="B57" s="81"/>
      <c r="C57" s="81"/>
      <c r="D57" s="81"/>
      <c r="E57" s="81"/>
      <c r="F57" s="81">
        <v>3.0</v>
      </c>
      <c r="G57" s="81">
        <v>2.0</v>
      </c>
      <c r="H57" s="81">
        <v>1159.0</v>
      </c>
      <c r="I57" s="81">
        <v>265000.0</v>
      </c>
      <c r="J57" s="81">
        <v>253000.0</v>
      </c>
      <c r="K57" s="82">
        <f t="shared" si="1"/>
        <v>218.2916307</v>
      </c>
      <c r="L57" s="81">
        <v>320000.0</v>
      </c>
      <c r="M57" s="83">
        <f t="shared" si="47"/>
        <v>1159</v>
      </c>
      <c r="N57" s="84">
        <f t="shared" si="41"/>
        <v>276.1000863</v>
      </c>
      <c r="O57" s="85">
        <f t="shared" si="4"/>
        <v>67000</v>
      </c>
      <c r="P57" s="81">
        <v>15000.0</v>
      </c>
      <c r="Q57" s="87">
        <f t="shared" ref="Q57:Q58" si="48">MULTIPLY(0.055,L57)</f>
        <v>17600</v>
      </c>
      <c r="R57" s="87">
        <v>10000.0</v>
      </c>
      <c r="S57" s="87">
        <f t="shared" si="7"/>
        <v>285600</v>
      </c>
      <c r="T57" s="87">
        <f t="shared" si="8"/>
        <v>34400</v>
      </c>
      <c r="U57" s="87">
        <f t="shared" si="37"/>
        <v>24400</v>
      </c>
      <c r="V57" s="88">
        <f t="shared" si="10"/>
        <v>0.1204481793</v>
      </c>
      <c r="W57" s="87">
        <f t="shared" si="11"/>
        <v>225000</v>
      </c>
      <c r="X57" s="83">
        <f t="shared" si="12"/>
        <v>28000</v>
      </c>
      <c r="Y57" s="81"/>
      <c r="Z57" s="81"/>
      <c r="AA57" s="81"/>
      <c r="AB57" s="81"/>
      <c r="AC57" s="81"/>
      <c r="AD57" s="81"/>
      <c r="AE57" s="81"/>
      <c r="AF57" s="81"/>
      <c r="AG57" s="81"/>
      <c r="AH57" s="81"/>
      <c r="AI57" s="81"/>
      <c r="AJ57" s="81"/>
      <c r="AK57" s="81"/>
      <c r="AL57" s="81"/>
      <c r="AM57" s="81"/>
      <c r="AN57" s="81"/>
      <c r="AO57" s="81"/>
      <c r="AP57" s="81"/>
      <c r="AQ57" s="81"/>
      <c r="AR57" s="81"/>
      <c r="AS57" s="81"/>
      <c r="AT57" s="81"/>
      <c r="AU57" s="85">
        <v>0.9</v>
      </c>
      <c r="AV57" s="89">
        <f t="shared" si="18"/>
        <v>227700</v>
      </c>
      <c r="AW57" s="89">
        <f t="shared" si="40"/>
        <v>15000</v>
      </c>
      <c r="AX57" s="88">
        <v>0.0199999999999999</v>
      </c>
      <c r="AY57" s="88">
        <v>0.0875</v>
      </c>
      <c r="AZ57" s="87">
        <v>4.0</v>
      </c>
      <c r="BA57" s="87">
        <v>1500.0</v>
      </c>
      <c r="BB57" s="87">
        <f t="shared" si="20"/>
        <v>7078.75</v>
      </c>
      <c r="BC57" s="81">
        <f t="shared" si="21"/>
        <v>4854</v>
      </c>
      <c r="BD57" s="90">
        <f t="shared" si="22"/>
        <v>11932.75</v>
      </c>
      <c r="BE57" s="81"/>
      <c r="BF57" s="81"/>
      <c r="BG57" s="81"/>
      <c r="BH57" s="81"/>
      <c r="BI57" s="81"/>
      <c r="BJ57" s="81"/>
      <c r="BK57" s="81"/>
      <c r="BL57" s="81"/>
      <c r="BM57" s="81"/>
      <c r="BN57" s="81"/>
      <c r="BO57" s="81"/>
      <c r="BP57" s="81"/>
      <c r="BQ57" s="81"/>
      <c r="BR57" s="81"/>
      <c r="BS57" s="81"/>
      <c r="BT57" s="81"/>
      <c r="BU57" s="81"/>
      <c r="BV57" s="81"/>
      <c r="BW57" s="81"/>
      <c r="BX57" s="81"/>
    </row>
    <row r="58" ht="15.75" customHeight="1">
      <c r="A58" s="95" t="s">
        <v>178</v>
      </c>
      <c r="B58" s="48"/>
      <c r="C58" s="48"/>
      <c r="D58" s="48"/>
      <c r="E58" s="48"/>
      <c r="F58" s="48"/>
      <c r="G58" s="48"/>
      <c r="H58" s="48"/>
      <c r="I58" s="48">
        <v>295000.0</v>
      </c>
      <c r="J58" s="48">
        <v>282000.0</v>
      </c>
      <c r="K58" s="52" t="str">
        <f t="shared" si="1"/>
        <v>#DIV/0!</v>
      </c>
      <c r="L58" s="48">
        <v>355000.0</v>
      </c>
      <c r="M58" s="53" t="str">
        <f t="shared" si="47"/>
        <v/>
      </c>
      <c r="N58" s="54" t="str">
        <f t="shared" si="41"/>
        <v>#DIV/0!</v>
      </c>
      <c r="O58" s="55">
        <f t="shared" si="4"/>
        <v>73000</v>
      </c>
      <c r="P58" s="48">
        <v>15000.0</v>
      </c>
      <c r="Q58" s="56">
        <f t="shared" si="48"/>
        <v>19525</v>
      </c>
      <c r="R58" s="56">
        <f>BD58</f>
        <v>9296</v>
      </c>
      <c r="S58" s="56">
        <f t="shared" si="7"/>
        <v>316525</v>
      </c>
      <c r="T58" s="56">
        <f t="shared" si="8"/>
        <v>38475</v>
      </c>
      <c r="U58" s="56">
        <f t="shared" si="37"/>
        <v>29179</v>
      </c>
      <c r="V58" s="57">
        <f t="shared" si="10"/>
        <v>0.1215543796</v>
      </c>
      <c r="W58" s="56">
        <f t="shared" si="11"/>
        <v>251250</v>
      </c>
      <c r="X58" s="53">
        <f t="shared" si="12"/>
        <v>30750</v>
      </c>
      <c r="Y58" s="48"/>
      <c r="Z58" s="48"/>
      <c r="AA58" s="48"/>
      <c r="AB58" s="48"/>
      <c r="AC58" s="48"/>
      <c r="AD58" s="48"/>
      <c r="AE58" s="48"/>
      <c r="AF58" s="48"/>
      <c r="AG58" s="48"/>
      <c r="AH58" s="48"/>
      <c r="AI58" s="48"/>
      <c r="AJ58" s="48"/>
      <c r="AK58" s="48"/>
      <c r="AL58" s="48"/>
      <c r="AM58" s="48"/>
      <c r="AN58" s="48"/>
      <c r="AO58" s="48"/>
      <c r="AP58" s="48"/>
      <c r="AQ58" s="48"/>
      <c r="AR58" s="48"/>
      <c r="AS58" s="48"/>
      <c r="AT58" s="48"/>
      <c r="AU58" s="55">
        <v>0.9</v>
      </c>
      <c r="AV58" s="58">
        <f t="shared" si="18"/>
        <v>253800</v>
      </c>
      <c r="AW58" s="58">
        <f t="shared" si="40"/>
        <v>15000</v>
      </c>
      <c r="AX58" s="59">
        <v>0.0199999999999999</v>
      </c>
      <c r="AY58" s="57">
        <v>0.0875</v>
      </c>
      <c r="AZ58" s="56">
        <v>2.0</v>
      </c>
      <c r="BA58" s="60">
        <f t="shared" ref="BA58:BA78" si="49">BB58/AZ58</f>
        <v>1960</v>
      </c>
      <c r="BB58" s="56">
        <f t="shared" si="20"/>
        <v>3920</v>
      </c>
      <c r="BC58" s="48">
        <f t="shared" si="21"/>
        <v>5376</v>
      </c>
      <c r="BD58" s="92">
        <f t="shared" si="22"/>
        <v>9296</v>
      </c>
      <c r="BE58" s="48"/>
      <c r="BF58" s="48"/>
      <c r="BG58" s="48"/>
      <c r="BH58" s="48"/>
      <c r="BI58" s="48"/>
      <c r="BJ58" s="48"/>
      <c r="BK58" s="48"/>
      <c r="BL58" s="48"/>
      <c r="BM58" s="48"/>
      <c r="BN58" s="48"/>
      <c r="BO58" s="48"/>
      <c r="BP58" s="48"/>
      <c r="BQ58" s="48"/>
      <c r="BR58" s="48"/>
      <c r="BS58" s="48"/>
      <c r="BT58" s="48"/>
      <c r="BU58" s="48"/>
      <c r="BV58" s="48"/>
      <c r="BW58" s="48"/>
      <c r="BX58" s="48"/>
    </row>
    <row r="59" ht="15.75" customHeight="1">
      <c r="A59" s="95" t="s">
        <v>179</v>
      </c>
      <c r="B59" s="48"/>
      <c r="C59" s="48"/>
      <c r="D59" s="48"/>
      <c r="E59" s="48"/>
      <c r="F59" s="48">
        <v>2.0</v>
      </c>
      <c r="G59" s="48">
        <v>2.0</v>
      </c>
      <c r="H59" s="48">
        <v>1840.0</v>
      </c>
      <c r="I59" s="48">
        <v>314000.0</v>
      </c>
      <c r="J59" s="48">
        <v>295000.0</v>
      </c>
      <c r="K59" s="52">
        <f t="shared" si="1"/>
        <v>160.326087</v>
      </c>
      <c r="L59" s="48">
        <v>380000.0</v>
      </c>
      <c r="M59" s="48"/>
      <c r="N59" s="54" t="str">
        <f t="shared" si="41"/>
        <v>#DIV/0!</v>
      </c>
      <c r="O59" s="55">
        <f t="shared" si="4"/>
        <v>85000</v>
      </c>
      <c r="P59" s="48">
        <v>30000.0</v>
      </c>
      <c r="Q59" s="56">
        <f>BD59</f>
        <v>22162.5</v>
      </c>
      <c r="R59" s="56">
        <f t="shared" ref="R59:R60" si="50">0.05*S59</f>
        <v>17358.125</v>
      </c>
      <c r="S59" s="56">
        <f t="shared" si="7"/>
        <v>347162.5</v>
      </c>
      <c r="T59" s="56">
        <f t="shared" si="8"/>
        <v>32837.5</v>
      </c>
      <c r="U59" s="56">
        <f t="shared" si="37"/>
        <v>15479.375</v>
      </c>
      <c r="V59" s="57">
        <f t="shared" si="10"/>
        <v>0.09458826918</v>
      </c>
      <c r="W59" s="56">
        <f t="shared" si="11"/>
        <v>255000</v>
      </c>
      <c r="X59" s="53">
        <f t="shared" si="12"/>
        <v>40000</v>
      </c>
      <c r="Y59" s="48"/>
      <c r="Z59" s="48"/>
      <c r="AA59" s="48"/>
      <c r="AB59" s="48"/>
      <c r="AC59" s="48"/>
      <c r="AD59" s="48"/>
      <c r="AE59" s="48"/>
      <c r="AF59" s="48"/>
      <c r="AG59" s="48"/>
      <c r="AH59" s="48"/>
      <c r="AI59" s="48"/>
      <c r="AJ59" s="48"/>
      <c r="AK59" s="48"/>
      <c r="AL59" s="48"/>
      <c r="AM59" s="48"/>
      <c r="AN59" s="48"/>
      <c r="AO59" s="48"/>
      <c r="AP59" s="48"/>
      <c r="AQ59" s="48"/>
      <c r="AR59" s="48"/>
      <c r="AS59" s="48"/>
      <c r="AT59" s="48"/>
      <c r="AU59" s="55">
        <v>0.9</v>
      </c>
      <c r="AV59" s="58">
        <f t="shared" si="18"/>
        <v>265500</v>
      </c>
      <c r="AW59" s="58">
        <f t="shared" si="40"/>
        <v>30000</v>
      </c>
      <c r="AX59" s="59">
        <v>0.0199999999999999</v>
      </c>
      <c r="AY59" s="57">
        <v>0.11</v>
      </c>
      <c r="AZ59" s="56">
        <v>6.0</v>
      </c>
      <c r="BA59" s="60">
        <f t="shared" si="49"/>
        <v>2708.75</v>
      </c>
      <c r="BB59" s="56">
        <f t="shared" si="20"/>
        <v>16252.5</v>
      </c>
      <c r="BC59" s="48">
        <f t="shared" si="21"/>
        <v>5910</v>
      </c>
      <c r="BD59" s="92">
        <f t="shared" si="22"/>
        <v>22162.5</v>
      </c>
      <c r="BE59" s="48"/>
      <c r="BF59" s="48"/>
      <c r="BG59" s="48"/>
      <c r="BH59" s="48"/>
      <c r="BI59" s="48"/>
      <c r="BJ59" s="48"/>
      <c r="BK59" s="48"/>
      <c r="BL59" s="48"/>
      <c r="BM59" s="48"/>
      <c r="BN59" s="48"/>
      <c r="BO59" s="48"/>
      <c r="BP59" s="48"/>
      <c r="BQ59" s="48"/>
      <c r="BR59" s="48"/>
      <c r="BS59" s="48"/>
      <c r="BT59" s="48"/>
      <c r="BU59" s="48"/>
      <c r="BV59" s="48"/>
      <c r="BW59" s="48"/>
      <c r="BX59" s="48"/>
    </row>
    <row r="60" ht="15.75" customHeight="1">
      <c r="A60" s="48" t="s">
        <v>180</v>
      </c>
      <c r="B60" s="48"/>
      <c r="C60" s="48"/>
      <c r="D60" s="48"/>
      <c r="E60" s="48"/>
      <c r="F60" s="48"/>
      <c r="G60" s="48"/>
      <c r="H60" s="48">
        <v>616.0</v>
      </c>
      <c r="I60" s="48">
        <v>139000.0</v>
      </c>
      <c r="J60" s="48">
        <v>120000.0</v>
      </c>
      <c r="K60" s="52">
        <f t="shared" si="1"/>
        <v>194.8051948</v>
      </c>
      <c r="L60" s="48">
        <v>199000.0</v>
      </c>
      <c r="M60" s="48"/>
      <c r="N60" s="54" t="str">
        <f t="shared" si="41"/>
        <v>#DIV/0!</v>
      </c>
      <c r="O60" s="55">
        <f t="shared" si="4"/>
        <v>79000</v>
      </c>
      <c r="P60" s="48">
        <v>20000.0</v>
      </c>
      <c r="Q60" s="56">
        <f t="shared" ref="Q60:Q78" si="51">MULTIPLY(0.07,L60)</f>
        <v>13930</v>
      </c>
      <c r="R60" s="56">
        <f t="shared" si="50"/>
        <v>7696.5</v>
      </c>
      <c r="S60" s="56">
        <f t="shared" si="7"/>
        <v>153930</v>
      </c>
      <c r="T60" s="56">
        <f t="shared" si="8"/>
        <v>45070</v>
      </c>
      <c r="U60" s="56">
        <f t="shared" si="37"/>
        <v>37373.5</v>
      </c>
      <c r="V60" s="57">
        <f t="shared" si="10"/>
        <v>0.2927954265</v>
      </c>
      <c r="W60" s="56">
        <f t="shared" si="11"/>
        <v>129250</v>
      </c>
      <c r="X60" s="53">
        <f t="shared" si="12"/>
        <v>-9250</v>
      </c>
      <c r="Y60" s="48"/>
      <c r="Z60" s="48"/>
      <c r="AA60" s="48"/>
      <c r="AB60" s="48"/>
      <c r="AC60" s="48"/>
      <c r="AD60" s="48"/>
      <c r="AE60" s="48"/>
      <c r="AF60" s="48"/>
      <c r="AG60" s="48"/>
      <c r="AH60" s="48"/>
      <c r="AI60" s="48"/>
      <c r="AJ60" s="48"/>
      <c r="AK60" s="48"/>
      <c r="AL60" s="48"/>
      <c r="AM60" s="48"/>
      <c r="AN60" s="48"/>
      <c r="AO60" s="48"/>
      <c r="AP60" s="48"/>
      <c r="AQ60" s="48"/>
      <c r="AR60" s="48"/>
      <c r="AS60" s="48"/>
      <c r="AT60" s="48"/>
      <c r="AU60" s="55">
        <v>0.9</v>
      </c>
      <c r="AV60" s="58">
        <f t="shared" si="18"/>
        <v>108000</v>
      </c>
      <c r="AW60" s="58">
        <f t="shared" si="40"/>
        <v>20000</v>
      </c>
      <c r="AX60" s="59">
        <v>0.0199999999999999</v>
      </c>
      <c r="AY60" s="57">
        <v>0.0875</v>
      </c>
      <c r="AZ60" s="56">
        <v>6.0</v>
      </c>
      <c r="BA60" s="60">
        <f t="shared" si="49"/>
        <v>933.3333333</v>
      </c>
      <c r="BB60" s="56">
        <f t="shared" si="20"/>
        <v>5600</v>
      </c>
      <c r="BC60" s="48">
        <f t="shared" si="21"/>
        <v>2560</v>
      </c>
      <c r="BD60" s="92">
        <f t="shared" si="22"/>
        <v>8160</v>
      </c>
      <c r="BE60" s="48"/>
      <c r="BF60" s="48"/>
      <c r="BG60" s="48"/>
      <c r="BH60" s="48"/>
      <c r="BI60" s="48"/>
      <c r="BJ60" s="48"/>
      <c r="BK60" s="48"/>
      <c r="BL60" s="48"/>
      <c r="BM60" s="48"/>
      <c r="BN60" s="48"/>
      <c r="BO60" s="48"/>
      <c r="BP60" s="48"/>
      <c r="BQ60" s="48"/>
      <c r="BR60" s="48"/>
      <c r="BS60" s="48"/>
      <c r="BT60" s="48"/>
      <c r="BU60" s="48"/>
      <c r="BV60" s="48"/>
      <c r="BW60" s="48"/>
      <c r="BX60" s="48"/>
    </row>
    <row r="61" ht="15.75" customHeight="1">
      <c r="A61" s="48" t="s">
        <v>181</v>
      </c>
      <c r="B61" s="48"/>
      <c r="C61" s="48"/>
      <c r="D61" s="48"/>
      <c r="E61" s="48"/>
      <c r="F61" s="48"/>
      <c r="G61" s="48"/>
      <c r="H61" s="48"/>
      <c r="I61" s="48"/>
      <c r="J61" s="48">
        <v>425000.0</v>
      </c>
      <c r="K61" s="52" t="str">
        <f t="shared" si="1"/>
        <v>#DIV/0!</v>
      </c>
      <c r="L61" s="48">
        <v>800000.0</v>
      </c>
      <c r="M61" s="48"/>
      <c r="N61" s="54" t="str">
        <f t="shared" si="41"/>
        <v>#DIV/0!</v>
      </c>
      <c r="O61" s="55">
        <f t="shared" si="4"/>
        <v>375000</v>
      </c>
      <c r="P61" s="48">
        <v>175000.0</v>
      </c>
      <c r="Q61" s="56">
        <f t="shared" si="51"/>
        <v>56000</v>
      </c>
      <c r="R61" s="56">
        <f>BD61</f>
        <v>35540.625</v>
      </c>
      <c r="S61" s="56">
        <f t="shared" si="7"/>
        <v>656000</v>
      </c>
      <c r="T61" s="56">
        <f t="shared" si="8"/>
        <v>144000</v>
      </c>
      <c r="U61" s="56">
        <f t="shared" si="37"/>
        <v>108459.375</v>
      </c>
      <c r="V61" s="57">
        <f t="shared" si="10"/>
        <v>0.2195121951</v>
      </c>
      <c r="W61" s="56">
        <f t="shared" si="11"/>
        <v>425000</v>
      </c>
      <c r="X61" s="53">
        <f t="shared" si="12"/>
        <v>0</v>
      </c>
      <c r="Y61" s="48"/>
      <c r="Z61" s="48"/>
      <c r="AA61" s="48"/>
      <c r="AB61" s="48"/>
      <c r="AC61" s="48"/>
      <c r="AD61" s="48"/>
      <c r="AE61" s="48"/>
      <c r="AF61" s="48"/>
      <c r="AG61" s="48"/>
      <c r="AH61" s="48"/>
      <c r="AI61" s="48"/>
      <c r="AJ61" s="48"/>
      <c r="AK61" s="48"/>
      <c r="AL61" s="48"/>
      <c r="AM61" s="48"/>
      <c r="AN61" s="48"/>
      <c r="AO61" s="48"/>
      <c r="AP61" s="48"/>
      <c r="AQ61" s="48"/>
      <c r="AR61" s="48"/>
      <c r="AS61" s="48"/>
      <c r="AT61" s="48"/>
      <c r="AU61" s="55">
        <v>0.9</v>
      </c>
      <c r="AV61" s="58">
        <f t="shared" si="18"/>
        <v>382500</v>
      </c>
      <c r="AW61" s="58">
        <f t="shared" si="40"/>
        <v>175000</v>
      </c>
      <c r="AX61" s="59">
        <v>0.0199999999999999</v>
      </c>
      <c r="AY61" s="57">
        <v>0.0875</v>
      </c>
      <c r="AZ61" s="56">
        <v>6.0</v>
      </c>
      <c r="BA61" s="60">
        <f t="shared" si="49"/>
        <v>4065.104167</v>
      </c>
      <c r="BB61" s="56">
        <f t="shared" si="20"/>
        <v>24390.625</v>
      </c>
      <c r="BC61" s="48">
        <f t="shared" si="21"/>
        <v>11150</v>
      </c>
      <c r="BD61" s="92">
        <f t="shared" si="22"/>
        <v>35540.625</v>
      </c>
      <c r="BE61" s="48"/>
      <c r="BF61" s="48"/>
      <c r="BG61" s="48"/>
      <c r="BH61" s="48"/>
      <c r="BI61" s="48"/>
      <c r="BJ61" s="48"/>
      <c r="BK61" s="48"/>
      <c r="BL61" s="48"/>
      <c r="BM61" s="48"/>
      <c r="BN61" s="48"/>
      <c r="BO61" s="48"/>
      <c r="BP61" s="48"/>
      <c r="BQ61" s="48"/>
      <c r="BR61" s="48"/>
      <c r="BS61" s="48"/>
      <c r="BT61" s="48"/>
      <c r="BU61" s="48"/>
      <c r="BV61" s="48"/>
      <c r="BW61" s="48"/>
      <c r="BX61" s="48"/>
    </row>
    <row r="62" ht="15.75" customHeight="1">
      <c r="A62" s="48" t="s">
        <v>182</v>
      </c>
      <c r="B62" s="48"/>
      <c r="C62" s="48"/>
      <c r="D62" s="48"/>
      <c r="E62" s="48"/>
      <c r="F62" s="48"/>
      <c r="G62" s="48"/>
      <c r="H62" s="48"/>
      <c r="I62" s="48"/>
      <c r="J62" s="48"/>
      <c r="K62" s="52" t="str">
        <f t="shared" si="1"/>
        <v>#DIV/0!</v>
      </c>
      <c r="L62" s="48"/>
      <c r="M62" s="48"/>
      <c r="N62" s="54" t="str">
        <f t="shared" si="41"/>
        <v>#DIV/0!</v>
      </c>
      <c r="O62" s="55">
        <f t="shared" si="4"/>
        <v>0</v>
      </c>
      <c r="P62" s="48"/>
      <c r="Q62" s="56">
        <f t="shared" si="51"/>
        <v>0</v>
      </c>
      <c r="R62" s="56">
        <f t="shared" ref="R62:R78" si="52">0.05*S62</f>
        <v>0</v>
      </c>
      <c r="S62" s="56">
        <f t="shared" si="7"/>
        <v>0</v>
      </c>
      <c r="T62" s="56">
        <f t="shared" si="8"/>
        <v>0</v>
      </c>
      <c r="U62" s="56">
        <f t="shared" si="37"/>
        <v>0</v>
      </c>
      <c r="V62" s="57" t="str">
        <f t="shared" si="10"/>
        <v>#DIV/0!</v>
      </c>
      <c r="W62" s="56">
        <f t="shared" si="11"/>
        <v>0</v>
      </c>
      <c r="X62" s="53">
        <f t="shared" si="12"/>
        <v>0</v>
      </c>
      <c r="Y62" s="48"/>
      <c r="Z62" s="48"/>
      <c r="AA62" s="48"/>
      <c r="AB62" s="48"/>
      <c r="AC62" s="48"/>
      <c r="AD62" s="48"/>
      <c r="AE62" s="48"/>
      <c r="AF62" s="48"/>
      <c r="AG62" s="48"/>
      <c r="AH62" s="48"/>
      <c r="AI62" s="48"/>
      <c r="AJ62" s="48"/>
      <c r="AK62" s="48"/>
      <c r="AL62" s="48"/>
      <c r="AM62" s="48"/>
      <c r="AN62" s="48"/>
      <c r="AO62" s="48"/>
      <c r="AP62" s="48"/>
      <c r="AQ62" s="48"/>
      <c r="AR62" s="48"/>
      <c r="AS62" s="48"/>
      <c r="AT62" s="48"/>
      <c r="AU62" s="55">
        <v>0.9</v>
      </c>
      <c r="AV62" s="58">
        <f t="shared" si="18"/>
        <v>0</v>
      </c>
      <c r="AW62" s="58" t="str">
        <f t="shared" si="40"/>
        <v/>
      </c>
      <c r="AX62" s="59">
        <v>0.0199999999999999</v>
      </c>
      <c r="AY62" s="57">
        <v>0.0875</v>
      </c>
      <c r="AZ62" s="56">
        <v>6.0</v>
      </c>
      <c r="BA62" s="60">
        <f t="shared" si="49"/>
        <v>0</v>
      </c>
      <c r="BB62" s="56">
        <f t="shared" si="20"/>
        <v>0</v>
      </c>
      <c r="BC62" s="48">
        <f t="shared" si="21"/>
        <v>0</v>
      </c>
      <c r="BD62" s="92">
        <f t="shared" si="22"/>
        <v>0</v>
      </c>
      <c r="BE62" s="48"/>
      <c r="BF62" s="48"/>
      <c r="BG62" s="48"/>
      <c r="BH62" s="48"/>
      <c r="BI62" s="48"/>
      <c r="BJ62" s="48"/>
      <c r="BK62" s="48"/>
      <c r="BL62" s="48"/>
      <c r="BM62" s="48"/>
      <c r="BN62" s="48"/>
      <c r="BO62" s="48"/>
      <c r="BP62" s="48"/>
      <c r="BQ62" s="48"/>
      <c r="BR62" s="48"/>
      <c r="BS62" s="48"/>
      <c r="BT62" s="48"/>
      <c r="BU62" s="48"/>
      <c r="BV62" s="48"/>
      <c r="BW62" s="48"/>
      <c r="BX62" s="48"/>
    </row>
    <row r="63" ht="15.75" customHeight="1">
      <c r="A63" s="48" t="s">
        <v>183</v>
      </c>
      <c r="B63" s="48"/>
      <c r="C63" s="48"/>
      <c r="D63" s="48"/>
      <c r="E63" s="48"/>
      <c r="F63" s="48"/>
      <c r="G63" s="48"/>
      <c r="H63" s="48"/>
      <c r="I63" s="48">
        <v>420000.0</v>
      </c>
      <c r="J63" s="48">
        <v>420000.0</v>
      </c>
      <c r="K63" s="52" t="str">
        <f t="shared" si="1"/>
        <v>#DIV/0!</v>
      </c>
      <c r="L63" s="48">
        <v>650000.0</v>
      </c>
      <c r="M63" s="48"/>
      <c r="N63" s="54" t="str">
        <f t="shared" si="41"/>
        <v>#DIV/0!</v>
      </c>
      <c r="O63" s="55">
        <f t="shared" si="4"/>
        <v>230000</v>
      </c>
      <c r="P63" s="48">
        <v>120000.0</v>
      </c>
      <c r="Q63" s="56">
        <f t="shared" si="51"/>
        <v>45500</v>
      </c>
      <c r="R63" s="56">
        <f t="shared" si="52"/>
        <v>29275</v>
      </c>
      <c r="S63" s="56">
        <f t="shared" si="7"/>
        <v>585500</v>
      </c>
      <c r="T63" s="56">
        <f t="shared" si="8"/>
        <v>64500</v>
      </c>
      <c r="U63" s="56">
        <f t="shared" si="37"/>
        <v>35225</v>
      </c>
      <c r="V63" s="57">
        <f t="shared" si="10"/>
        <v>0.1101622545</v>
      </c>
      <c r="W63" s="56">
        <f t="shared" si="11"/>
        <v>367500</v>
      </c>
      <c r="X63" s="53">
        <f t="shared" si="12"/>
        <v>52500</v>
      </c>
      <c r="Y63" s="48"/>
      <c r="Z63" s="48"/>
      <c r="AA63" s="48"/>
      <c r="AB63" s="48"/>
      <c r="AC63" s="48"/>
      <c r="AD63" s="48"/>
      <c r="AE63" s="48"/>
      <c r="AF63" s="48"/>
      <c r="AG63" s="48"/>
      <c r="AH63" s="48"/>
      <c r="AI63" s="48"/>
      <c r="AJ63" s="48"/>
      <c r="AK63" s="48"/>
      <c r="AL63" s="48"/>
      <c r="AM63" s="48"/>
      <c r="AN63" s="48"/>
      <c r="AO63" s="48"/>
      <c r="AP63" s="48"/>
      <c r="AQ63" s="48"/>
      <c r="AR63" s="48"/>
      <c r="AS63" s="48"/>
      <c r="AT63" s="48"/>
      <c r="AU63" s="55">
        <v>0.9</v>
      </c>
      <c r="AV63" s="58">
        <f t="shared" si="18"/>
        <v>378000</v>
      </c>
      <c r="AW63" s="58">
        <f t="shared" si="40"/>
        <v>120000</v>
      </c>
      <c r="AX63" s="59">
        <v>0.0199999999999999</v>
      </c>
      <c r="AY63" s="57">
        <v>0.0875</v>
      </c>
      <c r="AZ63" s="56">
        <v>6.0</v>
      </c>
      <c r="BA63" s="60">
        <f t="shared" si="49"/>
        <v>3631.25</v>
      </c>
      <c r="BB63" s="56">
        <f t="shared" si="20"/>
        <v>21787.5</v>
      </c>
      <c r="BC63" s="48">
        <f t="shared" si="21"/>
        <v>9960</v>
      </c>
      <c r="BD63" s="92">
        <f t="shared" si="22"/>
        <v>31747.5</v>
      </c>
      <c r="BE63" s="48"/>
      <c r="BF63" s="48"/>
      <c r="BG63" s="48"/>
      <c r="BH63" s="48"/>
      <c r="BI63" s="48"/>
      <c r="BJ63" s="48"/>
      <c r="BK63" s="48"/>
      <c r="BL63" s="48"/>
      <c r="BM63" s="48"/>
      <c r="BN63" s="48"/>
      <c r="BO63" s="48"/>
      <c r="BP63" s="48"/>
      <c r="BQ63" s="48"/>
      <c r="BR63" s="48"/>
      <c r="BS63" s="48"/>
      <c r="BT63" s="48"/>
      <c r="BU63" s="48"/>
      <c r="BV63" s="48"/>
      <c r="BW63" s="48"/>
      <c r="BX63" s="48"/>
    </row>
    <row r="64" ht="15.75" customHeight="1">
      <c r="A64" s="48" t="s">
        <v>184</v>
      </c>
      <c r="B64" s="48"/>
      <c r="C64" s="48"/>
      <c r="D64" s="48"/>
      <c r="E64" s="48"/>
      <c r="F64" s="48"/>
      <c r="G64" s="48"/>
      <c r="H64" s="48"/>
      <c r="I64" s="48">
        <v>300000.0</v>
      </c>
      <c r="J64" s="48">
        <v>250000.0</v>
      </c>
      <c r="K64" s="52" t="str">
        <f t="shared" si="1"/>
        <v>#DIV/0!</v>
      </c>
      <c r="L64" s="48"/>
      <c r="M64" s="48"/>
      <c r="N64" s="54" t="str">
        <f t="shared" si="41"/>
        <v>#DIV/0!</v>
      </c>
      <c r="O64" s="55">
        <f t="shared" si="4"/>
        <v>-250000</v>
      </c>
      <c r="P64" s="48">
        <v>50000.0</v>
      </c>
      <c r="Q64" s="56">
        <f t="shared" si="51"/>
        <v>0</v>
      </c>
      <c r="R64" s="56">
        <f t="shared" si="52"/>
        <v>15000</v>
      </c>
      <c r="S64" s="56">
        <f t="shared" si="7"/>
        <v>300000</v>
      </c>
      <c r="T64" s="56">
        <f t="shared" si="8"/>
        <v>-300000</v>
      </c>
      <c r="U64" s="56">
        <f t="shared" si="37"/>
        <v>-315000</v>
      </c>
      <c r="V64" s="57">
        <f t="shared" si="10"/>
        <v>-1</v>
      </c>
      <c r="W64" s="56">
        <f t="shared" si="11"/>
        <v>-50000</v>
      </c>
      <c r="X64" s="53">
        <f t="shared" si="12"/>
        <v>300000</v>
      </c>
      <c r="Y64" s="48"/>
      <c r="Z64" s="48"/>
      <c r="AA64" s="48"/>
      <c r="AB64" s="48"/>
      <c r="AC64" s="48"/>
      <c r="AD64" s="48"/>
      <c r="AE64" s="48"/>
      <c r="AF64" s="48"/>
      <c r="AG64" s="48"/>
      <c r="AH64" s="48"/>
      <c r="AI64" s="48"/>
      <c r="AJ64" s="48"/>
      <c r="AK64" s="48"/>
      <c r="AL64" s="48"/>
      <c r="AM64" s="48"/>
      <c r="AN64" s="48"/>
      <c r="AO64" s="48"/>
      <c r="AP64" s="48"/>
      <c r="AQ64" s="48"/>
      <c r="AR64" s="48"/>
      <c r="AS64" s="48"/>
      <c r="AT64" s="48"/>
      <c r="AU64" s="55">
        <v>0.9</v>
      </c>
      <c r="AV64" s="58">
        <f t="shared" si="18"/>
        <v>225000</v>
      </c>
      <c r="AW64" s="58">
        <f t="shared" si="40"/>
        <v>50000</v>
      </c>
      <c r="AX64" s="59">
        <v>0.0199999999999999</v>
      </c>
      <c r="AY64" s="57">
        <v>0.0875</v>
      </c>
      <c r="AZ64" s="56">
        <v>6.0</v>
      </c>
      <c r="BA64" s="60">
        <f t="shared" si="49"/>
        <v>2005.208333</v>
      </c>
      <c r="BB64" s="56">
        <f t="shared" si="20"/>
        <v>12031.25</v>
      </c>
      <c r="BC64" s="48">
        <f t="shared" si="21"/>
        <v>5500</v>
      </c>
      <c r="BD64" s="92">
        <f t="shared" si="22"/>
        <v>17531.25</v>
      </c>
      <c r="BE64" s="48"/>
      <c r="BF64" s="48"/>
      <c r="BG64" s="48"/>
      <c r="BH64" s="48"/>
      <c r="BI64" s="48"/>
      <c r="BJ64" s="48"/>
      <c r="BK64" s="48"/>
      <c r="BL64" s="48"/>
      <c r="BM64" s="48"/>
      <c r="BN64" s="48"/>
      <c r="BO64" s="48"/>
      <c r="BP64" s="48"/>
      <c r="BQ64" s="48"/>
      <c r="BR64" s="48"/>
      <c r="BS64" s="48"/>
      <c r="BT64" s="48"/>
      <c r="BU64" s="48"/>
      <c r="BV64" s="48"/>
      <c r="BW64" s="48"/>
      <c r="BX64" s="48"/>
    </row>
    <row r="65" ht="15.75" customHeight="1">
      <c r="A65" s="48" t="s">
        <v>185</v>
      </c>
      <c r="B65" s="48"/>
      <c r="C65" s="48"/>
      <c r="D65" s="48"/>
      <c r="E65" s="48"/>
      <c r="F65" s="48"/>
      <c r="G65" s="48"/>
      <c r="H65" s="48"/>
      <c r="I65" s="48"/>
      <c r="J65" s="48">
        <v>175000.0</v>
      </c>
      <c r="K65" s="52" t="str">
        <f t="shared" si="1"/>
        <v>#DIV/0!</v>
      </c>
      <c r="L65" s="48">
        <v>299000.0</v>
      </c>
      <c r="M65" s="48"/>
      <c r="N65" s="54" t="str">
        <f t="shared" si="41"/>
        <v>#DIV/0!</v>
      </c>
      <c r="O65" s="55">
        <f t="shared" si="4"/>
        <v>124000</v>
      </c>
      <c r="P65" s="48">
        <v>15000.0</v>
      </c>
      <c r="Q65" s="56">
        <f t="shared" si="51"/>
        <v>20930</v>
      </c>
      <c r="R65" s="56">
        <f t="shared" si="52"/>
        <v>10546.5</v>
      </c>
      <c r="S65" s="56">
        <f t="shared" si="7"/>
        <v>210930</v>
      </c>
      <c r="T65" s="56">
        <f t="shared" si="8"/>
        <v>88070</v>
      </c>
      <c r="U65" s="56">
        <f t="shared" si="37"/>
        <v>77523.5</v>
      </c>
      <c r="V65" s="57">
        <f t="shared" si="10"/>
        <v>0.4175318826</v>
      </c>
      <c r="W65" s="56">
        <f t="shared" si="11"/>
        <v>209250</v>
      </c>
      <c r="X65" s="53">
        <f t="shared" si="12"/>
        <v>-34250</v>
      </c>
      <c r="Y65" s="48" t="s">
        <v>186</v>
      </c>
      <c r="Z65" s="48"/>
      <c r="AA65" s="48"/>
      <c r="AB65" s="48"/>
      <c r="AC65" s="48"/>
      <c r="AD65" s="48"/>
      <c r="AE65" s="48"/>
      <c r="AF65" s="48"/>
      <c r="AG65" s="48"/>
      <c r="AH65" s="48"/>
      <c r="AI65" s="48"/>
      <c r="AJ65" s="48"/>
      <c r="AK65" s="48"/>
      <c r="AL65" s="48"/>
      <c r="AM65" s="48"/>
      <c r="AN65" s="48"/>
      <c r="AO65" s="48"/>
      <c r="AP65" s="48"/>
      <c r="AQ65" s="48"/>
      <c r="AR65" s="48"/>
      <c r="AS65" s="48"/>
      <c r="AT65" s="48"/>
      <c r="AU65" s="55">
        <v>0.9</v>
      </c>
      <c r="AV65" s="58">
        <f t="shared" si="18"/>
        <v>157500</v>
      </c>
      <c r="AW65" s="58">
        <f t="shared" si="40"/>
        <v>15000</v>
      </c>
      <c r="AX65" s="59">
        <v>0.0199999999999999</v>
      </c>
      <c r="AY65" s="57">
        <v>0.0875</v>
      </c>
      <c r="AZ65" s="56">
        <v>6.0</v>
      </c>
      <c r="BA65" s="60">
        <f t="shared" si="49"/>
        <v>1257.8125</v>
      </c>
      <c r="BB65" s="56">
        <f t="shared" si="20"/>
        <v>7546.875</v>
      </c>
      <c r="BC65" s="48">
        <f t="shared" si="21"/>
        <v>3450</v>
      </c>
      <c r="BD65" s="92">
        <f t="shared" si="22"/>
        <v>10996.875</v>
      </c>
      <c r="BE65" s="48"/>
      <c r="BF65" s="48"/>
      <c r="BG65" s="48"/>
      <c r="BH65" s="48"/>
      <c r="BI65" s="48"/>
      <c r="BJ65" s="48"/>
      <c r="BK65" s="48"/>
      <c r="BL65" s="48"/>
      <c r="BM65" s="48"/>
      <c r="BN65" s="48"/>
      <c r="BO65" s="48"/>
      <c r="BP65" s="48"/>
      <c r="BQ65" s="48"/>
      <c r="BR65" s="48"/>
      <c r="BS65" s="48"/>
      <c r="BT65" s="48"/>
      <c r="BU65" s="48"/>
      <c r="BV65" s="48"/>
      <c r="BW65" s="48"/>
      <c r="BX65" s="48"/>
    </row>
    <row r="66" ht="15.75" customHeight="1">
      <c r="A66" s="48" t="s">
        <v>187</v>
      </c>
      <c r="B66" s="48"/>
      <c r="C66" s="48"/>
      <c r="D66" s="48"/>
      <c r="E66" s="48"/>
      <c r="F66" s="48"/>
      <c r="G66" s="48"/>
      <c r="H66" s="48"/>
      <c r="I66" s="48">
        <v>249000.0</v>
      </c>
      <c r="J66" s="48">
        <v>230000.0</v>
      </c>
      <c r="K66" s="52" t="str">
        <f t="shared" si="1"/>
        <v>#DIV/0!</v>
      </c>
      <c r="L66" s="48">
        <v>340000.0</v>
      </c>
      <c r="M66" s="48"/>
      <c r="N66" s="54" t="str">
        <f t="shared" si="41"/>
        <v>#DIV/0!</v>
      </c>
      <c r="O66" s="55">
        <f t="shared" si="4"/>
        <v>110000</v>
      </c>
      <c r="P66" s="48">
        <v>40000.0</v>
      </c>
      <c r="Q66" s="56">
        <f t="shared" si="51"/>
        <v>23800</v>
      </c>
      <c r="R66" s="56">
        <f t="shared" si="52"/>
        <v>14690</v>
      </c>
      <c r="S66" s="56">
        <f t="shared" si="7"/>
        <v>293800</v>
      </c>
      <c r="T66" s="56">
        <f t="shared" si="8"/>
        <v>46200</v>
      </c>
      <c r="U66" s="56">
        <f t="shared" si="37"/>
        <v>31510</v>
      </c>
      <c r="V66" s="57">
        <f t="shared" si="10"/>
        <v>0.1572498298</v>
      </c>
      <c r="W66" s="56">
        <f t="shared" si="11"/>
        <v>215000</v>
      </c>
      <c r="X66" s="53">
        <f t="shared" si="12"/>
        <v>15000</v>
      </c>
      <c r="Y66" s="48" t="s">
        <v>188</v>
      </c>
      <c r="Z66" s="48"/>
      <c r="AA66" s="48"/>
      <c r="AB66" s="48"/>
      <c r="AC66" s="48"/>
      <c r="AD66" s="48"/>
      <c r="AE66" s="48"/>
      <c r="AF66" s="48"/>
      <c r="AG66" s="48"/>
      <c r="AH66" s="48"/>
      <c r="AI66" s="48"/>
      <c r="AJ66" s="48"/>
      <c r="AK66" s="48"/>
      <c r="AL66" s="48"/>
      <c r="AM66" s="48"/>
      <c r="AN66" s="48"/>
      <c r="AO66" s="48"/>
      <c r="AP66" s="48"/>
      <c r="AQ66" s="48"/>
      <c r="AR66" s="48"/>
      <c r="AS66" s="48"/>
      <c r="AT66" s="48"/>
      <c r="AU66" s="55">
        <v>0.9</v>
      </c>
      <c r="AV66" s="58">
        <f t="shared" si="18"/>
        <v>207000</v>
      </c>
      <c r="AW66" s="58">
        <f t="shared" si="40"/>
        <v>40000</v>
      </c>
      <c r="AX66" s="59">
        <v>0.0199999999999999</v>
      </c>
      <c r="AY66" s="57">
        <v>0.0875</v>
      </c>
      <c r="AZ66" s="56">
        <v>6.0</v>
      </c>
      <c r="BA66" s="60">
        <f t="shared" si="49"/>
        <v>1801.041667</v>
      </c>
      <c r="BB66" s="56">
        <f t="shared" si="20"/>
        <v>10806.25</v>
      </c>
      <c r="BC66" s="48">
        <f t="shared" si="21"/>
        <v>4940</v>
      </c>
      <c r="BD66" s="92">
        <f t="shared" si="22"/>
        <v>15746.25</v>
      </c>
      <c r="BE66" s="48"/>
      <c r="BF66" s="48"/>
      <c r="BG66" s="48"/>
      <c r="BH66" s="48"/>
      <c r="BI66" s="48"/>
      <c r="BJ66" s="48"/>
      <c r="BK66" s="48"/>
      <c r="BL66" s="48"/>
      <c r="BM66" s="48"/>
      <c r="BN66" s="48"/>
      <c r="BO66" s="48"/>
      <c r="BP66" s="48"/>
      <c r="BQ66" s="48"/>
      <c r="BR66" s="48"/>
      <c r="BS66" s="48"/>
      <c r="BT66" s="48"/>
      <c r="BU66" s="48"/>
      <c r="BV66" s="48"/>
      <c r="BW66" s="48"/>
      <c r="BX66" s="48"/>
    </row>
    <row r="67" ht="15.75" customHeight="1">
      <c r="A67" s="48" t="s">
        <v>189</v>
      </c>
      <c r="B67" s="48" t="s">
        <v>190</v>
      </c>
      <c r="C67" s="48"/>
      <c r="D67" s="48"/>
      <c r="E67" s="48"/>
      <c r="F67" s="48"/>
      <c r="G67" s="48"/>
      <c r="H67" s="48"/>
      <c r="I67" s="48"/>
      <c r="J67" s="48">
        <v>200000.0</v>
      </c>
      <c r="K67" s="52" t="str">
        <f t="shared" si="1"/>
        <v>#DIV/0!</v>
      </c>
      <c r="L67" s="48">
        <v>297000.0</v>
      </c>
      <c r="M67" s="48"/>
      <c r="N67" s="54" t="str">
        <f t="shared" si="41"/>
        <v>#DIV/0!</v>
      </c>
      <c r="O67" s="55">
        <f t="shared" si="4"/>
        <v>97000</v>
      </c>
      <c r="P67" s="48">
        <v>35000.0</v>
      </c>
      <c r="Q67" s="56">
        <f t="shared" si="51"/>
        <v>20790</v>
      </c>
      <c r="R67" s="56">
        <f t="shared" si="52"/>
        <v>12789.5</v>
      </c>
      <c r="S67" s="56">
        <f t="shared" si="7"/>
        <v>255790</v>
      </c>
      <c r="T67" s="56">
        <f t="shared" si="8"/>
        <v>41210</v>
      </c>
      <c r="U67" s="56">
        <f t="shared" si="37"/>
        <v>28420.5</v>
      </c>
      <c r="V67" s="57">
        <f t="shared" si="10"/>
        <v>0.161108722</v>
      </c>
      <c r="W67" s="56">
        <f t="shared" si="11"/>
        <v>187750</v>
      </c>
      <c r="X67" s="53">
        <f t="shared" si="12"/>
        <v>12250</v>
      </c>
      <c r="Y67" s="48"/>
      <c r="Z67" s="48"/>
      <c r="AA67" s="48"/>
      <c r="AB67" s="48"/>
      <c r="AC67" s="48"/>
      <c r="AD67" s="48"/>
      <c r="AE67" s="48"/>
      <c r="AF67" s="48"/>
      <c r="AG67" s="48"/>
      <c r="AH67" s="48"/>
      <c r="AI67" s="48"/>
      <c r="AJ67" s="48"/>
      <c r="AK67" s="48"/>
      <c r="AL67" s="48"/>
      <c r="AM67" s="48"/>
      <c r="AN67" s="48"/>
      <c r="AO67" s="48"/>
      <c r="AP67" s="48"/>
      <c r="AQ67" s="48"/>
      <c r="AR67" s="48"/>
      <c r="AS67" s="48"/>
      <c r="AT67" s="48"/>
      <c r="AU67" s="55">
        <v>0.9</v>
      </c>
      <c r="AV67" s="58">
        <f t="shared" si="18"/>
        <v>180000</v>
      </c>
      <c r="AW67" s="58">
        <f t="shared" si="40"/>
        <v>35000</v>
      </c>
      <c r="AX67" s="59">
        <v>0.0199999999999999</v>
      </c>
      <c r="AY67" s="57">
        <v>0.0875</v>
      </c>
      <c r="AZ67" s="56">
        <v>6.0</v>
      </c>
      <c r="BA67" s="60">
        <f t="shared" si="49"/>
        <v>1567.708333</v>
      </c>
      <c r="BB67" s="56">
        <f t="shared" si="20"/>
        <v>9406.25</v>
      </c>
      <c r="BC67" s="48">
        <f t="shared" si="21"/>
        <v>4300</v>
      </c>
      <c r="BD67" s="92">
        <f t="shared" si="22"/>
        <v>13706.25</v>
      </c>
      <c r="BE67" s="48"/>
      <c r="BF67" s="48"/>
      <c r="BG67" s="48"/>
      <c r="BH67" s="48"/>
      <c r="BI67" s="48"/>
      <c r="BJ67" s="48"/>
      <c r="BK67" s="48"/>
      <c r="BL67" s="48"/>
      <c r="BM67" s="48"/>
      <c r="BN67" s="48"/>
      <c r="BO67" s="48"/>
      <c r="BP67" s="48"/>
      <c r="BQ67" s="48"/>
      <c r="BR67" s="48"/>
      <c r="BS67" s="48"/>
      <c r="BT67" s="48"/>
      <c r="BU67" s="48"/>
      <c r="BV67" s="48"/>
      <c r="BW67" s="48"/>
      <c r="BX67" s="48"/>
    </row>
    <row r="68" ht="15.75" customHeight="1">
      <c r="A68" s="81" t="s">
        <v>191</v>
      </c>
      <c r="B68" s="81"/>
      <c r="C68" s="81"/>
      <c r="D68" s="81"/>
      <c r="E68" s="81"/>
      <c r="F68" s="81"/>
      <c r="G68" s="81"/>
      <c r="H68" s="81"/>
      <c r="I68" s="81">
        <v>350000.0</v>
      </c>
      <c r="J68" s="81">
        <v>325000.0</v>
      </c>
      <c r="K68" s="82" t="str">
        <f t="shared" si="1"/>
        <v>#DIV/0!</v>
      </c>
      <c r="L68" s="81">
        <v>490000.0</v>
      </c>
      <c r="M68" s="81">
        <v>2174.0</v>
      </c>
      <c r="N68" s="84">
        <f t="shared" si="41"/>
        <v>225.3909844</v>
      </c>
      <c r="O68" s="85">
        <f t="shared" si="4"/>
        <v>165000</v>
      </c>
      <c r="P68" s="81">
        <v>70000.0</v>
      </c>
      <c r="Q68" s="87">
        <f t="shared" si="51"/>
        <v>34300</v>
      </c>
      <c r="R68" s="87">
        <f t="shared" si="52"/>
        <v>21465</v>
      </c>
      <c r="S68" s="87">
        <f t="shared" si="7"/>
        <v>429300</v>
      </c>
      <c r="T68" s="87">
        <f t="shared" si="8"/>
        <v>60700</v>
      </c>
      <c r="U68" s="87">
        <f t="shared" si="37"/>
        <v>39235</v>
      </c>
      <c r="V68" s="88">
        <f t="shared" si="10"/>
        <v>0.1413929653</v>
      </c>
      <c r="W68" s="87">
        <f t="shared" si="11"/>
        <v>297500</v>
      </c>
      <c r="X68" s="83">
        <f t="shared" si="12"/>
        <v>27500</v>
      </c>
      <c r="Y68" s="81" t="s">
        <v>192</v>
      </c>
      <c r="Z68" s="81"/>
      <c r="AA68" s="81"/>
      <c r="AB68" s="81"/>
      <c r="AC68" s="81"/>
      <c r="AD68" s="81"/>
      <c r="AE68" s="81"/>
      <c r="AF68" s="81"/>
      <c r="AG68" s="81"/>
      <c r="AH68" s="81"/>
      <c r="AI68" s="81"/>
      <c r="AJ68" s="81"/>
      <c r="AK68" s="81"/>
      <c r="AL68" s="81"/>
      <c r="AM68" s="81"/>
      <c r="AN68" s="81"/>
      <c r="AO68" s="81"/>
      <c r="AP68" s="81"/>
      <c r="AQ68" s="81"/>
      <c r="AR68" s="81"/>
      <c r="AS68" s="81"/>
      <c r="AT68" s="81"/>
      <c r="AU68" s="85">
        <v>0.9</v>
      </c>
      <c r="AV68" s="89">
        <f t="shared" si="18"/>
        <v>292500</v>
      </c>
      <c r="AW68" s="89">
        <f t="shared" si="40"/>
        <v>70000</v>
      </c>
      <c r="AX68" s="88">
        <v>0.0199999999999999</v>
      </c>
      <c r="AY68" s="88">
        <v>0.0875</v>
      </c>
      <c r="AZ68" s="87">
        <v>6.0</v>
      </c>
      <c r="BA68" s="87">
        <f t="shared" si="49"/>
        <v>2643.229167</v>
      </c>
      <c r="BB68" s="87">
        <f t="shared" si="20"/>
        <v>15859.375</v>
      </c>
      <c r="BC68" s="81">
        <f t="shared" si="21"/>
        <v>7250</v>
      </c>
      <c r="BD68" s="90">
        <f t="shared" si="22"/>
        <v>23109.375</v>
      </c>
      <c r="BE68" s="81"/>
      <c r="BF68" s="81"/>
      <c r="BG68" s="81"/>
      <c r="BH68" s="81"/>
      <c r="BI68" s="81"/>
      <c r="BJ68" s="81"/>
      <c r="BK68" s="81"/>
      <c r="BL68" s="81"/>
      <c r="BM68" s="81"/>
      <c r="BN68" s="81"/>
      <c r="BO68" s="81"/>
      <c r="BP68" s="81"/>
      <c r="BQ68" s="81"/>
      <c r="BR68" s="81"/>
      <c r="BS68" s="81"/>
      <c r="BT68" s="81"/>
      <c r="BU68" s="81"/>
      <c r="BV68" s="81"/>
      <c r="BW68" s="81"/>
      <c r="BX68" s="81"/>
    </row>
    <row r="69" ht="15.75" customHeight="1">
      <c r="A69" s="48" t="s">
        <v>193</v>
      </c>
      <c r="B69" s="48"/>
      <c r="C69" s="48"/>
      <c r="D69" s="48"/>
      <c r="E69" s="48"/>
      <c r="F69" s="48"/>
      <c r="G69" s="48"/>
      <c r="H69" s="48"/>
      <c r="I69" s="48">
        <v>200000.0</v>
      </c>
      <c r="J69" s="48">
        <v>200000.0</v>
      </c>
      <c r="K69" s="52" t="str">
        <f t="shared" si="1"/>
        <v>#DIV/0!</v>
      </c>
      <c r="L69" s="48">
        <v>350000.0</v>
      </c>
      <c r="M69" s="48"/>
      <c r="N69" s="54" t="str">
        <f t="shared" si="41"/>
        <v>#DIV/0!</v>
      </c>
      <c r="O69" s="55">
        <f t="shared" si="4"/>
        <v>150000</v>
      </c>
      <c r="P69" s="48">
        <v>60000.0</v>
      </c>
      <c r="Q69" s="56">
        <f t="shared" si="51"/>
        <v>24500</v>
      </c>
      <c r="R69" s="56">
        <f t="shared" si="52"/>
        <v>14225</v>
      </c>
      <c r="S69" s="56">
        <f t="shared" si="7"/>
        <v>284500</v>
      </c>
      <c r="T69" s="56">
        <f t="shared" si="8"/>
        <v>65500</v>
      </c>
      <c r="U69" s="56">
        <f t="shared" si="37"/>
        <v>51275</v>
      </c>
      <c r="V69" s="57">
        <f t="shared" si="10"/>
        <v>0.230228471</v>
      </c>
      <c r="W69" s="56">
        <f t="shared" si="11"/>
        <v>202500</v>
      </c>
      <c r="X69" s="53">
        <f t="shared" si="12"/>
        <v>-2500</v>
      </c>
      <c r="Y69" s="48" t="s">
        <v>194</v>
      </c>
      <c r="Z69" s="48"/>
      <c r="AA69" s="48"/>
      <c r="AB69" s="48"/>
      <c r="AC69" s="48"/>
      <c r="AD69" s="48"/>
      <c r="AE69" s="48"/>
      <c r="AF69" s="48"/>
      <c r="AG69" s="48"/>
      <c r="AH69" s="48"/>
      <c r="AI69" s="48"/>
      <c r="AJ69" s="48"/>
      <c r="AK69" s="48"/>
      <c r="AL69" s="48"/>
      <c r="AM69" s="48"/>
      <c r="AN69" s="48"/>
      <c r="AO69" s="48"/>
      <c r="AP69" s="48"/>
      <c r="AQ69" s="48"/>
      <c r="AR69" s="48"/>
      <c r="AS69" s="48"/>
      <c r="AT69" s="48"/>
      <c r="AU69" s="55">
        <v>0.9</v>
      </c>
      <c r="AV69" s="58">
        <f t="shared" si="18"/>
        <v>180000</v>
      </c>
      <c r="AW69" s="58">
        <f t="shared" si="40"/>
        <v>60000</v>
      </c>
      <c r="AX69" s="59">
        <v>0.0199999999999999</v>
      </c>
      <c r="AY69" s="57">
        <v>0.0875</v>
      </c>
      <c r="AZ69" s="56">
        <v>6.0</v>
      </c>
      <c r="BA69" s="60">
        <f t="shared" si="49"/>
        <v>1750</v>
      </c>
      <c r="BB69" s="56">
        <f t="shared" si="20"/>
        <v>10500</v>
      </c>
      <c r="BC69" s="48">
        <f t="shared" si="21"/>
        <v>4800</v>
      </c>
      <c r="BD69" s="92">
        <f t="shared" si="22"/>
        <v>15300</v>
      </c>
      <c r="BE69" s="48"/>
      <c r="BF69" s="48"/>
      <c r="BG69" s="48"/>
      <c r="BH69" s="48"/>
      <c r="BI69" s="48"/>
      <c r="BJ69" s="48"/>
      <c r="BK69" s="48"/>
      <c r="BL69" s="48"/>
      <c r="BM69" s="48"/>
      <c r="BN69" s="48"/>
      <c r="BO69" s="48"/>
      <c r="BP69" s="48"/>
      <c r="BQ69" s="48"/>
      <c r="BR69" s="48"/>
      <c r="BS69" s="48"/>
      <c r="BT69" s="48"/>
      <c r="BU69" s="48"/>
      <c r="BV69" s="48"/>
      <c r="BW69" s="48"/>
      <c r="BX69" s="48"/>
    </row>
    <row r="70" ht="15.75" customHeight="1">
      <c r="A70" s="48" t="s">
        <v>195</v>
      </c>
      <c r="B70" s="48"/>
      <c r="C70" s="48"/>
      <c r="D70" s="48"/>
      <c r="E70" s="48"/>
      <c r="F70" s="48"/>
      <c r="G70" s="48"/>
      <c r="H70" s="48"/>
      <c r="I70" s="48">
        <v>305000.0</v>
      </c>
      <c r="J70" s="48">
        <v>305000.0</v>
      </c>
      <c r="K70" s="52" t="str">
        <f t="shared" si="1"/>
        <v>#DIV/0!</v>
      </c>
      <c r="L70" s="48">
        <v>457000.0</v>
      </c>
      <c r="M70" s="48"/>
      <c r="N70" s="54" t="str">
        <f t="shared" si="41"/>
        <v>#DIV/0!</v>
      </c>
      <c r="O70" s="55">
        <f t="shared" si="4"/>
        <v>152000</v>
      </c>
      <c r="P70" s="48">
        <v>60000.0</v>
      </c>
      <c r="Q70" s="56">
        <f t="shared" si="51"/>
        <v>31990</v>
      </c>
      <c r="R70" s="56">
        <f t="shared" si="52"/>
        <v>19849.5</v>
      </c>
      <c r="S70" s="56">
        <f t="shared" si="7"/>
        <v>396990</v>
      </c>
      <c r="T70" s="56">
        <f t="shared" si="8"/>
        <v>60010</v>
      </c>
      <c r="U70" s="56">
        <f t="shared" si="37"/>
        <v>40160.5</v>
      </c>
      <c r="V70" s="57">
        <f t="shared" si="10"/>
        <v>0.1511624978</v>
      </c>
      <c r="W70" s="56">
        <f t="shared" si="11"/>
        <v>282750</v>
      </c>
      <c r="X70" s="53">
        <f t="shared" si="12"/>
        <v>22250</v>
      </c>
      <c r="Y70" s="48" t="s">
        <v>196</v>
      </c>
      <c r="Z70" s="48"/>
      <c r="AA70" s="48"/>
      <c r="AB70" s="48"/>
      <c r="AC70" s="48"/>
      <c r="AD70" s="48"/>
      <c r="AE70" s="48"/>
      <c r="AF70" s="48"/>
      <c r="AG70" s="48"/>
      <c r="AH70" s="48"/>
      <c r="AI70" s="48"/>
      <c r="AJ70" s="48"/>
      <c r="AK70" s="48"/>
      <c r="AL70" s="48"/>
      <c r="AM70" s="48"/>
      <c r="AN70" s="48"/>
      <c r="AO70" s="48"/>
      <c r="AP70" s="48"/>
      <c r="AQ70" s="48"/>
      <c r="AR70" s="48"/>
      <c r="AS70" s="48"/>
      <c r="AT70" s="48"/>
      <c r="AU70" s="55">
        <v>0.9</v>
      </c>
      <c r="AV70" s="58">
        <f t="shared" si="18"/>
        <v>274500</v>
      </c>
      <c r="AW70" s="58">
        <f t="shared" si="40"/>
        <v>60000</v>
      </c>
      <c r="AX70" s="59">
        <v>0.0199999999999999</v>
      </c>
      <c r="AY70" s="57">
        <v>0.0875</v>
      </c>
      <c r="AZ70" s="56">
        <v>6.0</v>
      </c>
      <c r="BA70" s="60">
        <f t="shared" si="49"/>
        <v>2439.0625</v>
      </c>
      <c r="BB70" s="56">
        <f t="shared" si="20"/>
        <v>14634.375</v>
      </c>
      <c r="BC70" s="48">
        <f t="shared" si="21"/>
        <v>6690</v>
      </c>
      <c r="BD70" s="92">
        <f t="shared" si="22"/>
        <v>21324.375</v>
      </c>
      <c r="BE70" s="48"/>
      <c r="BF70" s="48"/>
      <c r="BG70" s="48"/>
      <c r="BH70" s="48"/>
      <c r="BI70" s="48"/>
      <c r="BJ70" s="48"/>
      <c r="BK70" s="48"/>
      <c r="BL70" s="48"/>
      <c r="BM70" s="48"/>
      <c r="BN70" s="48"/>
      <c r="BO70" s="48"/>
      <c r="BP70" s="48"/>
      <c r="BQ70" s="48"/>
      <c r="BR70" s="48"/>
      <c r="BS70" s="48"/>
      <c r="BT70" s="48"/>
      <c r="BU70" s="48"/>
      <c r="BV70" s="48"/>
      <c r="BW70" s="48"/>
      <c r="BX70" s="48"/>
    </row>
    <row r="71" ht="15.75" customHeight="1">
      <c r="A71" s="48" t="s">
        <v>197</v>
      </c>
      <c r="B71" s="48"/>
      <c r="C71" s="48" t="s">
        <v>198</v>
      </c>
      <c r="D71" s="48"/>
      <c r="E71" s="48"/>
      <c r="F71" s="48"/>
      <c r="G71" s="48"/>
      <c r="H71" s="48"/>
      <c r="I71" s="48"/>
      <c r="J71" s="48">
        <v>203000.0</v>
      </c>
      <c r="K71" s="52" t="str">
        <f t="shared" si="1"/>
        <v>#DIV/0!</v>
      </c>
      <c r="L71" s="48">
        <v>240000.0</v>
      </c>
      <c r="M71" s="48"/>
      <c r="N71" s="54" t="str">
        <f t="shared" si="41"/>
        <v>#DIV/0!</v>
      </c>
      <c r="O71" s="55">
        <f t="shared" si="4"/>
        <v>37000</v>
      </c>
      <c r="P71" s="48">
        <v>30000.0</v>
      </c>
      <c r="Q71" s="56">
        <f t="shared" si="51"/>
        <v>16800</v>
      </c>
      <c r="R71" s="56">
        <f t="shared" si="52"/>
        <v>12490</v>
      </c>
      <c r="S71" s="56">
        <f t="shared" si="7"/>
        <v>249800</v>
      </c>
      <c r="T71" s="56">
        <f t="shared" si="8"/>
        <v>-9800</v>
      </c>
      <c r="U71" s="56">
        <f t="shared" si="37"/>
        <v>-22290</v>
      </c>
      <c r="V71" s="57">
        <f t="shared" si="10"/>
        <v>-0.03923138511</v>
      </c>
      <c r="W71" s="56">
        <f t="shared" si="11"/>
        <v>150000</v>
      </c>
      <c r="X71" s="53">
        <f t="shared" si="12"/>
        <v>53000</v>
      </c>
      <c r="Y71" s="48" t="s">
        <v>199</v>
      </c>
      <c r="Z71" s="48"/>
      <c r="AA71" s="48"/>
      <c r="AB71" s="48"/>
      <c r="AC71" s="48"/>
      <c r="AD71" s="48"/>
      <c r="AE71" s="48"/>
      <c r="AF71" s="48"/>
      <c r="AG71" s="48"/>
      <c r="AH71" s="48"/>
      <c r="AI71" s="48"/>
      <c r="AJ71" s="48"/>
      <c r="AK71" s="48"/>
      <c r="AL71" s="48"/>
      <c r="AM71" s="48"/>
      <c r="AN71" s="48"/>
      <c r="AO71" s="48"/>
      <c r="AP71" s="48"/>
      <c r="AQ71" s="48"/>
      <c r="AR71" s="48"/>
      <c r="AS71" s="48"/>
      <c r="AT71" s="48"/>
      <c r="AU71" s="55">
        <v>0.9</v>
      </c>
      <c r="AV71" s="58">
        <f t="shared" si="18"/>
        <v>182700</v>
      </c>
      <c r="AW71" s="58">
        <f t="shared" si="40"/>
        <v>30000</v>
      </c>
      <c r="AX71" s="59">
        <v>0.0199999999999999</v>
      </c>
      <c r="AY71" s="57">
        <v>0.0875</v>
      </c>
      <c r="AZ71" s="56">
        <v>6.0</v>
      </c>
      <c r="BA71" s="60">
        <f t="shared" si="49"/>
        <v>1550.9375</v>
      </c>
      <c r="BB71" s="56">
        <f t="shared" si="20"/>
        <v>9305.625</v>
      </c>
      <c r="BC71" s="48">
        <f t="shared" si="21"/>
        <v>4254</v>
      </c>
      <c r="BD71" s="92">
        <f t="shared" si="22"/>
        <v>13559.625</v>
      </c>
      <c r="BE71" s="48"/>
      <c r="BF71" s="48"/>
      <c r="BG71" s="48"/>
      <c r="BH71" s="48"/>
      <c r="BI71" s="48"/>
      <c r="BJ71" s="48"/>
      <c r="BK71" s="48"/>
      <c r="BL71" s="48"/>
      <c r="BM71" s="48"/>
      <c r="BN71" s="48"/>
      <c r="BO71" s="48"/>
      <c r="BP71" s="48"/>
      <c r="BQ71" s="48"/>
      <c r="BR71" s="48"/>
      <c r="BS71" s="48"/>
      <c r="BT71" s="48"/>
      <c r="BU71" s="48"/>
      <c r="BV71" s="48"/>
      <c r="BW71" s="48"/>
      <c r="BX71" s="48"/>
    </row>
    <row r="72" ht="15.75" customHeight="1">
      <c r="A72" s="48" t="s">
        <v>200</v>
      </c>
      <c r="B72" s="48"/>
      <c r="C72" s="48"/>
      <c r="D72" s="48"/>
      <c r="E72" s="48"/>
      <c r="F72" s="48"/>
      <c r="G72" s="48"/>
      <c r="H72" s="48"/>
      <c r="I72" s="48">
        <v>255000.0</v>
      </c>
      <c r="J72" s="48">
        <v>240000.0</v>
      </c>
      <c r="K72" s="52" t="str">
        <f t="shared" si="1"/>
        <v>#DIV/0!</v>
      </c>
      <c r="L72" s="48">
        <v>350000.0</v>
      </c>
      <c r="M72" s="48"/>
      <c r="N72" s="54" t="str">
        <f t="shared" si="41"/>
        <v>#DIV/0!</v>
      </c>
      <c r="O72" s="55">
        <f t="shared" si="4"/>
        <v>110000</v>
      </c>
      <c r="P72" s="48">
        <v>50000.0</v>
      </c>
      <c r="Q72" s="56">
        <f t="shared" si="51"/>
        <v>24500</v>
      </c>
      <c r="R72" s="56">
        <f t="shared" si="52"/>
        <v>15725</v>
      </c>
      <c r="S72" s="56">
        <f t="shared" si="7"/>
        <v>314500</v>
      </c>
      <c r="T72" s="56">
        <f t="shared" si="8"/>
        <v>35500</v>
      </c>
      <c r="U72" s="56">
        <f t="shared" si="37"/>
        <v>19775</v>
      </c>
      <c r="V72" s="57">
        <f t="shared" si="10"/>
        <v>0.1128775835</v>
      </c>
      <c r="W72" s="56">
        <f t="shared" si="11"/>
        <v>212500</v>
      </c>
      <c r="X72" s="53">
        <f t="shared" si="12"/>
        <v>27500</v>
      </c>
      <c r="Y72" s="48"/>
      <c r="Z72" s="48"/>
      <c r="AA72" s="48"/>
      <c r="AB72" s="48"/>
      <c r="AC72" s="48"/>
      <c r="AD72" s="48"/>
      <c r="AE72" s="48"/>
      <c r="AF72" s="48"/>
      <c r="AG72" s="48"/>
      <c r="AH72" s="48"/>
      <c r="AI72" s="48"/>
      <c r="AJ72" s="48"/>
      <c r="AK72" s="48"/>
      <c r="AL72" s="48"/>
      <c r="AM72" s="48"/>
      <c r="AN72" s="48"/>
      <c r="AO72" s="48"/>
      <c r="AP72" s="48"/>
      <c r="AQ72" s="48"/>
      <c r="AR72" s="48"/>
      <c r="AS72" s="48"/>
      <c r="AT72" s="48"/>
      <c r="AU72" s="55">
        <v>0.9</v>
      </c>
      <c r="AV72" s="58">
        <f t="shared" si="18"/>
        <v>216000</v>
      </c>
      <c r="AW72" s="58">
        <f t="shared" si="40"/>
        <v>50000</v>
      </c>
      <c r="AX72" s="59">
        <v>0.0199999999999999</v>
      </c>
      <c r="AY72" s="57">
        <v>0.0875</v>
      </c>
      <c r="AZ72" s="56">
        <v>6.0</v>
      </c>
      <c r="BA72" s="60">
        <f t="shared" si="49"/>
        <v>1939.583333</v>
      </c>
      <c r="BB72" s="56">
        <f t="shared" si="20"/>
        <v>11637.5</v>
      </c>
      <c r="BC72" s="48">
        <f t="shared" si="21"/>
        <v>5320</v>
      </c>
      <c r="BD72" s="92">
        <f t="shared" si="22"/>
        <v>16957.5</v>
      </c>
      <c r="BE72" s="48"/>
      <c r="BF72" s="48"/>
      <c r="BG72" s="48"/>
      <c r="BH72" s="48"/>
      <c r="BI72" s="48"/>
      <c r="BJ72" s="48"/>
      <c r="BK72" s="48"/>
      <c r="BL72" s="48"/>
      <c r="BM72" s="48"/>
      <c r="BN72" s="48"/>
      <c r="BO72" s="48"/>
      <c r="BP72" s="48"/>
      <c r="BQ72" s="48"/>
      <c r="BR72" s="48"/>
      <c r="BS72" s="48"/>
      <c r="BT72" s="48"/>
      <c r="BU72" s="48"/>
      <c r="BV72" s="48"/>
      <c r="BW72" s="48"/>
      <c r="BX72" s="48"/>
    </row>
    <row r="73" ht="15.75" customHeight="1">
      <c r="A73" s="48" t="s">
        <v>201</v>
      </c>
      <c r="B73" s="48"/>
      <c r="C73" s="48"/>
      <c r="D73" s="48"/>
      <c r="E73" s="48"/>
      <c r="F73" s="48"/>
      <c r="G73" s="48"/>
      <c r="H73" s="48"/>
      <c r="I73" s="48">
        <v>370000.0</v>
      </c>
      <c r="J73" s="48">
        <v>300000.0</v>
      </c>
      <c r="K73" s="52" t="str">
        <f t="shared" si="1"/>
        <v>#DIV/0!</v>
      </c>
      <c r="L73" s="48">
        <v>400000.0</v>
      </c>
      <c r="M73" s="48"/>
      <c r="N73" s="54" t="str">
        <f t="shared" si="41"/>
        <v>#DIV/0!</v>
      </c>
      <c r="O73" s="55">
        <f t="shared" si="4"/>
        <v>100000</v>
      </c>
      <c r="P73" s="48">
        <v>30000.0</v>
      </c>
      <c r="Q73" s="56">
        <f t="shared" si="51"/>
        <v>28000</v>
      </c>
      <c r="R73" s="56">
        <f t="shared" si="52"/>
        <v>17900</v>
      </c>
      <c r="S73" s="56">
        <f t="shared" si="7"/>
        <v>358000</v>
      </c>
      <c r="T73" s="56">
        <f t="shared" si="8"/>
        <v>42000</v>
      </c>
      <c r="U73" s="56">
        <f t="shared" si="37"/>
        <v>24100</v>
      </c>
      <c r="V73" s="57">
        <f t="shared" si="10"/>
        <v>0.1173184358</v>
      </c>
      <c r="W73" s="56">
        <f t="shared" si="11"/>
        <v>270000</v>
      </c>
      <c r="X73" s="53">
        <f t="shared" si="12"/>
        <v>30000</v>
      </c>
      <c r="Y73" s="48"/>
      <c r="Z73" s="48"/>
      <c r="AA73" s="48"/>
      <c r="AB73" s="48"/>
      <c r="AC73" s="48"/>
      <c r="AD73" s="48"/>
      <c r="AE73" s="48"/>
      <c r="AF73" s="48"/>
      <c r="AG73" s="48"/>
      <c r="AH73" s="48"/>
      <c r="AI73" s="48"/>
      <c r="AJ73" s="48"/>
      <c r="AK73" s="48"/>
      <c r="AL73" s="48"/>
      <c r="AM73" s="48"/>
      <c r="AN73" s="48"/>
      <c r="AO73" s="48"/>
      <c r="AP73" s="48"/>
      <c r="AQ73" s="48"/>
      <c r="AR73" s="48"/>
      <c r="AS73" s="48"/>
      <c r="AT73" s="48"/>
      <c r="AU73" s="55">
        <v>0.9</v>
      </c>
      <c r="AV73" s="58">
        <f t="shared" si="18"/>
        <v>270000</v>
      </c>
      <c r="AW73" s="58">
        <f t="shared" si="40"/>
        <v>30000</v>
      </c>
      <c r="AX73" s="59">
        <v>0.0199999999999999</v>
      </c>
      <c r="AY73" s="57">
        <v>0.0875</v>
      </c>
      <c r="AZ73" s="56">
        <v>6.0</v>
      </c>
      <c r="BA73" s="60">
        <f t="shared" si="49"/>
        <v>2187.5</v>
      </c>
      <c r="BB73" s="56">
        <f t="shared" si="20"/>
        <v>13125</v>
      </c>
      <c r="BC73" s="48">
        <f t="shared" si="21"/>
        <v>6000</v>
      </c>
      <c r="BD73" s="92">
        <f t="shared" si="22"/>
        <v>19125</v>
      </c>
      <c r="BE73" s="48"/>
      <c r="BF73" s="48"/>
      <c r="BG73" s="48"/>
      <c r="BH73" s="48"/>
      <c r="BI73" s="48"/>
      <c r="BJ73" s="48"/>
      <c r="BK73" s="48"/>
      <c r="BL73" s="48"/>
      <c r="BM73" s="48"/>
      <c r="BN73" s="48"/>
      <c r="BO73" s="48"/>
      <c r="BP73" s="48"/>
      <c r="BQ73" s="48"/>
      <c r="BR73" s="48"/>
      <c r="BS73" s="48"/>
      <c r="BT73" s="48"/>
      <c r="BU73" s="48"/>
      <c r="BV73" s="48"/>
      <c r="BW73" s="48"/>
      <c r="BX73" s="48"/>
    </row>
    <row r="74" ht="15.75" customHeight="1">
      <c r="A74" s="48" t="s">
        <v>202</v>
      </c>
      <c r="B74" s="48" t="s">
        <v>203</v>
      </c>
      <c r="C74" s="49">
        <v>43057.0</v>
      </c>
      <c r="D74" s="48"/>
      <c r="E74" s="48"/>
      <c r="F74" s="48">
        <v>5.0</v>
      </c>
      <c r="G74" s="48">
        <v>3.0</v>
      </c>
      <c r="H74" s="48">
        <v>2567.0</v>
      </c>
      <c r="I74" s="48"/>
      <c r="J74" s="48">
        <v>405000.0</v>
      </c>
      <c r="K74" s="52">
        <f t="shared" si="1"/>
        <v>157.771718</v>
      </c>
      <c r="L74" s="48">
        <v>459000.0</v>
      </c>
      <c r="M74" s="48"/>
      <c r="N74" s="54" t="str">
        <f t="shared" si="41"/>
        <v>#DIV/0!</v>
      </c>
      <c r="O74" s="55">
        <f t="shared" si="4"/>
        <v>54000</v>
      </c>
      <c r="P74" s="48">
        <v>5000.0</v>
      </c>
      <c r="Q74" s="56">
        <f t="shared" si="51"/>
        <v>32130</v>
      </c>
      <c r="R74" s="56">
        <f t="shared" si="52"/>
        <v>22106.5</v>
      </c>
      <c r="S74" s="56">
        <f t="shared" si="7"/>
        <v>442130</v>
      </c>
      <c r="T74" s="56">
        <f t="shared" si="8"/>
        <v>16870</v>
      </c>
      <c r="U74" s="56">
        <f t="shared" si="37"/>
        <v>-5236.5</v>
      </c>
      <c r="V74" s="57">
        <f t="shared" si="10"/>
        <v>0.0381561984</v>
      </c>
      <c r="W74" s="56">
        <f t="shared" si="11"/>
        <v>339250</v>
      </c>
      <c r="X74" s="53">
        <f t="shared" si="12"/>
        <v>65750</v>
      </c>
      <c r="Y74" s="48"/>
      <c r="Z74" s="48"/>
      <c r="AA74" s="48"/>
      <c r="AB74" s="48"/>
      <c r="AC74" s="48"/>
      <c r="AD74" s="48"/>
      <c r="AE74" s="48"/>
      <c r="AF74" s="48"/>
      <c r="AG74" s="48"/>
      <c r="AH74" s="48"/>
      <c r="AI74" s="48"/>
      <c r="AJ74" s="48"/>
      <c r="AK74" s="48"/>
      <c r="AL74" s="48"/>
      <c r="AM74" s="48"/>
      <c r="AN74" s="48"/>
      <c r="AO74" s="48"/>
      <c r="AP74" s="48"/>
      <c r="AQ74" s="48"/>
      <c r="AR74" s="48"/>
      <c r="AS74" s="48"/>
      <c r="AT74" s="48"/>
      <c r="AU74" s="55">
        <v>0.9</v>
      </c>
      <c r="AV74" s="58">
        <f t="shared" si="18"/>
        <v>364500</v>
      </c>
      <c r="AW74" s="58">
        <f t="shared" si="40"/>
        <v>5000</v>
      </c>
      <c r="AX74" s="59">
        <v>0.0199999999999999</v>
      </c>
      <c r="AY74" s="57">
        <v>0.0875</v>
      </c>
      <c r="AZ74" s="56">
        <v>6.0</v>
      </c>
      <c r="BA74" s="60">
        <f t="shared" si="49"/>
        <v>2694.270833</v>
      </c>
      <c r="BB74" s="56">
        <f t="shared" si="20"/>
        <v>16165.625</v>
      </c>
      <c r="BC74" s="48">
        <f t="shared" si="21"/>
        <v>7390</v>
      </c>
      <c r="BD74" s="92">
        <f t="shared" si="22"/>
        <v>23555.625</v>
      </c>
      <c r="BE74" s="48"/>
      <c r="BF74" s="48"/>
      <c r="BG74" s="48"/>
      <c r="BH74" s="48"/>
      <c r="BI74" s="48"/>
      <c r="BJ74" s="48"/>
      <c r="BK74" s="48"/>
      <c r="BL74" s="48"/>
      <c r="BM74" s="48"/>
      <c r="BN74" s="48"/>
      <c r="BO74" s="48"/>
      <c r="BP74" s="48"/>
      <c r="BQ74" s="48"/>
      <c r="BR74" s="48"/>
      <c r="BS74" s="48"/>
      <c r="BT74" s="48"/>
      <c r="BU74" s="48"/>
      <c r="BV74" s="48"/>
      <c r="BW74" s="48"/>
      <c r="BX74" s="48"/>
    </row>
    <row r="75" ht="15.75" customHeight="1">
      <c r="A75" s="48" t="s">
        <v>204</v>
      </c>
      <c r="B75" s="48"/>
      <c r="C75" s="48"/>
      <c r="D75" s="48"/>
      <c r="E75" s="48"/>
      <c r="F75" s="48"/>
      <c r="G75" s="48"/>
      <c r="H75" s="48"/>
      <c r="I75" s="48"/>
      <c r="J75" s="48"/>
      <c r="K75" s="52" t="str">
        <f t="shared" si="1"/>
        <v>#DIV/0!</v>
      </c>
      <c r="L75" s="48"/>
      <c r="M75" s="48"/>
      <c r="N75" s="54" t="str">
        <f t="shared" si="41"/>
        <v>#DIV/0!</v>
      </c>
      <c r="O75" s="55">
        <f t="shared" si="4"/>
        <v>0</v>
      </c>
      <c r="P75" s="48"/>
      <c r="Q75" s="56">
        <f t="shared" si="51"/>
        <v>0</v>
      </c>
      <c r="R75" s="56">
        <f t="shared" si="52"/>
        <v>0</v>
      </c>
      <c r="S75" s="56">
        <f t="shared" si="7"/>
        <v>0</v>
      </c>
      <c r="T75" s="56">
        <f t="shared" si="8"/>
        <v>0</v>
      </c>
      <c r="U75" s="56">
        <f t="shared" si="37"/>
        <v>0</v>
      </c>
      <c r="V75" s="57" t="str">
        <f t="shared" si="10"/>
        <v>#DIV/0!</v>
      </c>
      <c r="W75" s="56">
        <f t="shared" si="11"/>
        <v>0</v>
      </c>
      <c r="X75" s="53">
        <f t="shared" si="12"/>
        <v>0</v>
      </c>
      <c r="Y75" s="48"/>
      <c r="Z75" s="48"/>
      <c r="AA75" s="48"/>
      <c r="AB75" s="48"/>
      <c r="AC75" s="48"/>
      <c r="AD75" s="48"/>
      <c r="AE75" s="48"/>
      <c r="AF75" s="48"/>
      <c r="AG75" s="48"/>
      <c r="AH75" s="48"/>
      <c r="AI75" s="48"/>
      <c r="AJ75" s="48"/>
      <c r="AK75" s="48"/>
      <c r="AL75" s="48"/>
      <c r="AM75" s="48"/>
      <c r="AN75" s="48"/>
      <c r="AO75" s="48"/>
      <c r="AP75" s="48"/>
      <c r="AQ75" s="48"/>
      <c r="AR75" s="48"/>
      <c r="AS75" s="48"/>
      <c r="AT75" s="48"/>
      <c r="AU75" s="55">
        <v>0.9</v>
      </c>
      <c r="AV75" s="58">
        <f t="shared" si="18"/>
        <v>0</v>
      </c>
      <c r="AW75" s="58" t="str">
        <f t="shared" si="40"/>
        <v/>
      </c>
      <c r="AX75" s="59">
        <v>0.0199999999999999</v>
      </c>
      <c r="AY75" s="57">
        <v>0.0875</v>
      </c>
      <c r="AZ75" s="56">
        <v>6.0</v>
      </c>
      <c r="BA75" s="60">
        <f t="shared" si="49"/>
        <v>0</v>
      </c>
      <c r="BB75" s="56">
        <f t="shared" si="20"/>
        <v>0</v>
      </c>
      <c r="BC75" s="48">
        <f t="shared" si="21"/>
        <v>0</v>
      </c>
      <c r="BD75" s="92">
        <f t="shared" si="22"/>
        <v>0</v>
      </c>
      <c r="BE75" s="48"/>
      <c r="BF75" s="48"/>
      <c r="BG75" s="48"/>
      <c r="BH75" s="48"/>
      <c r="BI75" s="48"/>
      <c r="BJ75" s="48"/>
      <c r="BK75" s="48"/>
      <c r="BL75" s="48"/>
      <c r="BM75" s="48"/>
      <c r="BN75" s="48"/>
      <c r="BO75" s="48"/>
      <c r="BP75" s="48"/>
      <c r="BQ75" s="48"/>
      <c r="BR75" s="48"/>
      <c r="BS75" s="48"/>
      <c r="BT75" s="48"/>
      <c r="BU75" s="48"/>
      <c r="BV75" s="48"/>
      <c r="BW75" s="48"/>
      <c r="BX75" s="48"/>
    </row>
    <row r="76" ht="15.75" customHeight="1">
      <c r="A76" s="48" t="s">
        <v>205</v>
      </c>
      <c r="B76" s="48"/>
      <c r="C76" s="48"/>
      <c r="D76" s="48"/>
      <c r="E76" s="48"/>
      <c r="F76" s="48"/>
      <c r="G76" s="48"/>
      <c r="H76" s="48"/>
      <c r="I76" s="48"/>
      <c r="J76" s="48">
        <v>130000.0</v>
      </c>
      <c r="K76" s="52" t="str">
        <f t="shared" si="1"/>
        <v>#DIV/0!</v>
      </c>
      <c r="L76" s="48">
        <v>250000.0</v>
      </c>
      <c r="M76" s="48"/>
      <c r="N76" s="54" t="str">
        <f t="shared" si="41"/>
        <v>#DIV/0!</v>
      </c>
      <c r="O76" s="55">
        <f t="shared" si="4"/>
        <v>120000</v>
      </c>
      <c r="P76" s="48">
        <v>65000.0</v>
      </c>
      <c r="Q76" s="56">
        <f t="shared" si="51"/>
        <v>17500</v>
      </c>
      <c r="R76" s="56">
        <f t="shared" si="52"/>
        <v>10625</v>
      </c>
      <c r="S76" s="56">
        <f t="shared" si="7"/>
        <v>212500</v>
      </c>
      <c r="T76" s="56">
        <f t="shared" si="8"/>
        <v>37500</v>
      </c>
      <c r="U76" s="56">
        <f t="shared" si="37"/>
        <v>26875</v>
      </c>
      <c r="V76" s="57">
        <f t="shared" si="10"/>
        <v>0.1764705882</v>
      </c>
      <c r="W76" s="56">
        <f t="shared" si="11"/>
        <v>122500</v>
      </c>
      <c r="X76" s="53">
        <f t="shared" si="12"/>
        <v>7500</v>
      </c>
      <c r="Y76" s="48"/>
      <c r="Z76" s="48"/>
      <c r="AA76" s="48"/>
      <c r="AB76" s="48"/>
      <c r="AC76" s="48"/>
      <c r="AD76" s="48"/>
      <c r="AE76" s="48"/>
      <c r="AF76" s="48"/>
      <c r="AG76" s="48"/>
      <c r="AH76" s="48"/>
      <c r="AI76" s="48"/>
      <c r="AJ76" s="48"/>
      <c r="AK76" s="48"/>
      <c r="AL76" s="48"/>
      <c r="AM76" s="48"/>
      <c r="AN76" s="48"/>
      <c r="AO76" s="48"/>
      <c r="AP76" s="48"/>
      <c r="AQ76" s="48"/>
      <c r="AR76" s="48"/>
      <c r="AS76" s="48"/>
      <c r="AT76" s="48"/>
      <c r="AU76" s="55">
        <v>0.9</v>
      </c>
      <c r="AV76" s="58">
        <f t="shared" si="18"/>
        <v>117000</v>
      </c>
      <c r="AW76" s="58">
        <f t="shared" si="40"/>
        <v>65000</v>
      </c>
      <c r="AX76" s="59">
        <v>0.0199999999999999</v>
      </c>
      <c r="AY76" s="57">
        <v>0.0875</v>
      </c>
      <c r="AZ76" s="56">
        <v>6.0</v>
      </c>
      <c r="BA76" s="60">
        <f t="shared" si="49"/>
        <v>1327.083333</v>
      </c>
      <c r="BB76" s="56">
        <f t="shared" si="20"/>
        <v>7962.5</v>
      </c>
      <c r="BC76" s="48">
        <f t="shared" si="21"/>
        <v>3640</v>
      </c>
      <c r="BD76" s="92">
        <f t="shared" si="22"/>
        <v>11602.5</v>
      </c>
      <c r="BE76" s="48"/>
      <c r="BF76" s="48"/>
      <c r="BG76" s="48"/>
      <c r="BH76" s="48"/>
      <c r="BI76" s="48"/>
      <c r="BJ76" s="48"/>
      <c r="BK76" s="48"/>
      <c r="BL76" s="48"/>
      <c r="BM76" s="48"/>
      <c r="BN76" s="48"/>
      <c r="BO76" s="48"/>
      <c r="BP76" s="48"/>
      <c r="BQ76" s="48"/>
      <c r="BR76" s="48"/>
      <c r="BS76" s="48"/>
      <c r="BT76" s="48"/>
      <c r="BU76" s="48"/>
      <c r="BV76" s="48"/>
      <c r="BW76" s="48"/>
      <c r="BX76" s="48"/>
    </row>
    <row r="77" ht="15.75" customHeight="1">
      <c r="A77" s="48" t="s">
        <v>206</v>
      </c>
      <c r="B77" s="48" t="s">
        <v>207</v>
      </c>
      <c r="C77" s="48"/>
      <c r="D77" s="48"/>
      <c r="E77" s="48"/>
      <c r="F77" s="48"/>
      <c r="G77" s="48"/>
      <c r="H77" s="48"/>
      <c r="I77" s="48"/>
      <c r="J77" s="48">
        <v>260000.0</v>
      </c>
      <c r="K77" s="52" t="str">
        <f t="shared" si="1"/>
        <v>#DIV/0!</v>
      </c>
      <c r="L77" s="48">
        <v>340000.0</v>
      </c>
      <c r="M77" s="48"/>
      <c r="N77" s="54" t="str">
        <f t="shared" si="41"/>
        <v>#DIV/0!</v>
      </c>
      <c r="O77" s="55">
        <f t="shared" si="4"/>
        <v>80000</v>
      </c>
      <c r="P77" s="48">
        <v>10000.0</v>
      </c>
      <c r="Q77" s="56">
        <f t="shared" si="51"/>
        <v>23800</v>
      </c>
      <c r="R77" s="56">
        <f t="shared" si="52"/>
        <v>14690</v>
      </c>
      <c r="S77" s="56">
        <f t="shared" si="7"/>
        <v>293800</v>
      </c>
      <c r="T77" s="56">
        <f t="shared" si="8"/>
        <v>46200</v>
      </c>
      <c r="U77" s="56">
        <f t="shared" si="37"/>
        <v>31510</v>
      </c>
      <c r="V77" s="57">
        <f t="shared" si="10"/>
        <v>0.1572498298</v>
      </c>
      <c r="W77" s="56">
        <f t="shared" si="11"/>
        <v>245000</v>
      </c>
      <c r="X77" s="53">
        <f t="shared" si="12"/>
        <v>15000</v>
      </c>
      <c r="Y77" s="48"/>
      <c r="Z77" s="48"/>
      <c r="AA77" s="48"/>
      <c r="AB77" s="48"/>
      <c r="AC77" s="48"/>
      <c r="AD77" s="48"/>
      <c r="AE77" s="48"/>
      <c r="AF77" s="48"/>
      <c r="AG77" s="48"/>
      <c r="AH77" s="48"/>
      <c r="AI77" s="48"/>
      <c r="AJ77" s="48"/>
      <c r="AK77" s="48"/>
      <c r="AL77" s="48"/>
      <c r="AM77" s="48"/>
      <c r="AN77" s="48"/>
      <c r="AO77" s="48"/>
      <c r="AP77" s="48"/>
      <c r="AQ77" s="48"/>
      <c r="AR77" s="48"/>
      <c r="AS77" s="48"/>
      <c r="AT77" s="48"/>
      <c r="AU77" s="55">
        <v>0.9</v>
      </c>
      <c r="AV77" s="58">
        <f t="shared" si="18"/>
        <v>234000</v>
      </c>
      <c r="AW77" s="58">
        <f t="shared" si="40"/>
        <v>10000</v>
      </c>
      <c r="AX77" s="59">
        <v>0.0199999999999999</v>
      </c>
      <c r="AY77" s="57">
        <v>0.0875</v>
      </c>
      <c r="AZ77" s="56">
        <v>6.0</v>
      </c>
      <c r="BA77" s="60">
        <f t="shared" si="49"/>
        <v>1779.166667</v>
      </c>
      <c r="BB77" s="56">
        <f t="shared" si="20"/>
        <v>10675</v>
      </c>
      <c r="BC77" s="48">
        <f t="shared" si="21"/>
        <v>4880</v>
      </c>
      <c r="BD77" s="92">
        <f t="shared" si="22"/>
        <v>15555</v>
      </c>
      <c r="BE77" s="48"/>
      <c r="BF77" s="48"/>
      <c r="BG77" s="48"/>
      <c r="BH77" s="48"/>
      <c r="BI77" s="48"/>
      <c r="BJ77" s="48"/>
      <c r="BK77" s="48"/>
      <c r="BL77" s="48"/>
      <c r="BM77" s="48"/>
      <c r="BN77" s="48"/>
      <c r="BO77" s="48"/>
      <c r="BP77" s="48"/>
      <c r="BQ77" s="48"/>
      <c r="BR77" s="48"/>
      <c r="BS77" s="48"/>
      <c r="BT77" s="48"/>
      <c r="BU77" s="48"/>
      <c r="BV77" s="48"/>
      <c r="BW77" s="48"/>
      <c r="BX77" s="48"/>
    </row>
    <row r="78" ht="15.75" customHeight="1">
      <c r="A78" s="48" t="s">
        <v>208</v>
      </c>
      <c r="B78" s="48"/>
      <c r="C78" s="48"/>
      <c r="D78" s="48"/>
      <c r="E78" s="48"/>
      <c r="F78" s="48"/>
      <c r="G78" s="48"/>
      <c r="H78" s="48"/>
      <c r="I78" s="48"/>
      <c r="J78" s="48">
        <v>89000.0</v>
      </c>
      <c r="K78" s="52" t="str">
        <f t="shared" si="1"/>
        <v>#DIV/0!</v>
      </c>
      <c r="L78" s="48">
        <v>135000.0</v>
      </c>
      <c r="M78" s="48"/>
      <c r="N78" s="54" t="str">
        <f t="shared" si="41"/>
        <v>#DIV/0!</v>
      </c>
      <c r="O78" s="55">
        <f t="shared" si="4"/>
        <v>46000</v>
      </c>
      <c r="P78" s="48">
        <v>20000.0</v>
      </c>
      <c r="Q78" s="56">
        <f t="shared" si="51"/>
        <v>9450</v>
      </c>
      <c r="R78" s="56">
        <f t="shared" si="52"/>
        <v>5922.5</v>
      </c>
      <c r="S78" s="56">
        <f t="shared" si="7"/>
        <v>118450</v>
      </c>
      <c r="T78" s="56">
        <f t="shared" si="8"/>
        <v>16550</v>
      </c>
      <c r="U78" s="56">
        <f t="shared" si="37"/>
        <v>10627.5</v>
      </c>
      <c r="V78" s="57">
        <f t="shared" si="10"/>
        <v>0.1397214014</v>
      </c>
      <c r="W78" s="56">
        <f t="shared" si="11"/>
        <v>81250</v>
      </c>
      <c r="X78" s="53">
        <f t="shared" si="12"/>
        <v>7750</v>
      </c>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96"/>
      <c r="AW78" s="96"/>
      <c r="AY78" s="97"/>
      <c r="AZ78" s="48"/>
      <c r="BA78" s="60" t="str">
        <f t="shared" si="49"/>
        <v>#DIV/0!</v>
      </c>
      <c r="BB78" s="48"/>
      <c r="BC78" s="48"/>
      <c r="BD78" s="48"/>
      <c r="BE78" s="48"/>
      <c r="BF78" s="48"/>
      <c r="BG78" s="48"/>
      <c r="BH78" s="48"/>
      <c r="BI78" s="48"/>
      <c r="BJ78" s="48"/>
      <c r="BK78" s="48"/>
      <c r="BL78" s="48"/>
      <c r="BM78" s="48"/>
      <c r="BN78" s="48"/>
      <c r="BO78" s="48"/>
      <c r="BP78" s="48"/>
      <c r="BQ78" s="48"/>
      <c r="BR78" s="48"/>
      <c r="BS78" s="48"/>
      <c r="BT78" s="48"/>
      <c r="BU78" s="48"/>
      <c r="BV78" s="48"/>
      <c r="BW78" s="48"/>
      <c r="BX78" s="48"/>
    </row>
    <row r="79" ht="15.75" customHeight="1">
      <c r="A79" s="48"/>
      <c r="B79" s="48"/>
      <c r="C79" s="48"/>
      <c r="D79" s="48"/>
      <c r="E79" s="48"/>
      <c r="F79" s="48"/>
      <c r="G79" s="48"/>
      <c r="H79" s="48"/>
      <c r="I79" s="48"/>
      <c r="J79" s="48"/>
      <c r="K79" s="52"/>
      <c r="L79" s="48"/>
      <c r="M79" s="48"/>
      <c r="N79" s="54"/>
      <c r="O79" s="55"/>
      <c r="P79" s="48"/>
      <c r="Q79" s="56"/>
      <c r="R79" s="56"/>
      <c r="S79" s="56"/>
      <c r="T79" s="56"/>
      <c r="U79" s="56"/>
      <c r="V79" s="57"/>
      <c r="W79" s="56"/>
      <c r="X79" s="53"/>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96"/>
      <c r="AW79" s="96"/>
      <c r="AY79" s="97"/>
      <c r="AZ79" s="48"/>
      <c r="BA79" s="60"/>
      <c r="BB79" s="48"/>
      <c r="BC79" s="48"/>
      <c r="BD79" s="48"/>
      <c r="BE79" s="48"/>
      <c r="BF79" s="48"/>
      <c r="BG79" s="48"/>
      <c r="BH79" s="48"/>
      <c r="BI79" s="48"/>
      <c r="BJ79" s="48"/>
      <c r="BK79" s="48"/>
      <c r="BL79" s="48"/>
      <c r="BM79" s="48"/>
      <c r="BN79" s="48"/>
      <c r="BO79" s="48"/>
      <c r="BP79" s="48"/>
      <c r="BQ79" s="48"/>
      <c r="BR79" s="48"/>
      <c r="BS79" s="48"/>
      <c r="BT79" s="48"/>
      <c r="BU79" s="48"/>
      <c r="BV79" s="48"/>
      <c r="BW79" s="48"/>
      <c r="BX79" s="48"/>
    </row>
    <row r="80" ht="15.75" customHeight="1">
      <c r="A80" s="48"/>
      <c r="B80" s="48"/>
      <c r="C80" s="48"/>
      <c r="D80" s="48"/>
      <c r="E80" s="48"/>
      <c r="F80" s="48"/>
      <c r="G80" s="48"/>
      <c r="H80" s="48"/>
      <c r="I80" s="48"/>
      <c r="J80" s="48"/>
      <c r="K80" s="52"/>
      <c r="L80" s="48"/>
      <c r="M80" s="48"/>
      <c r="N80" s="54"/>
      <c r="O80" s="55"/>
      <c r="P80" s="48"/>
      <c r="Q80" s="56"/>
      <c r="R80" s="56"/>
      <c r="S80" s="56"/>
      <c r="T80" s="56"/>
      <c r="U80" s="56"/>
      <c r="V80" s="57"/>
      <c r="W80" s="56"/>
      <c r="X80" s="53"/>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96"/>
      <c r="AW80" s="96"/>
      <c r="AY80" s="97"/>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row>
    <row r="81" ht="15.75" customHeight="1">
      <c r="A81" s="98" t="s">
        <v>58</v>
      </c>
      <c r="B81" s="48"/>
      <c r="C81" s="48"/>
      <c r="D81" s="48"/>
      <c r="E81" s="48"/>
      <c r="F81" s="48"/>
      <c r="G81" s="48"/>
      <c r="H81" s="48"/>
      <c r="I81" s="48"/>
      <c r="J81" s="48"/>
      <c r="K81" s="52"/>
      <c r="L81" s="48"/>
      <c r="M81" s="48"/>
      <c r="N81" s="54"/>
      <c r="O81" s="55"/>
      <c r="P81" s="48"/>
      <c r="Q81" s="56"/>
      <c r="R81" s="56"/>
      <c r="S81" s="56"/>
      <c r="T81" s="56"/>
      <c r="U81" s="56"/>
      <c r="V81" s="57"/>
      <c r="W81" s="56"/>
      <c r="X81" s="53"/>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96"/>
      <c r="AW81" s="96"/>
      <c r="AY81" s="97"/>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row>
    <row r="82" ht="15.75" customHeight="1">
      <c r="A82" s="48" t="s">
        <v>59</v>
      </c>
      <c r="B82" s="48"/>
      <c r="C82" s="48"/>
      <c r="D82" s="48"/>
      <c r="E82" s="48"/>
      <c r="F82" s="48">
        <v>3.0</v>
      </c>
      <c r="G82" s="48">
        <v>2.0</v>
      </c>
      <c r="H82" s="48">
        <v>1178.0</v>
      </c>
      <c r="I82" s="48">
        <v>325000.0</v>
      </c>
      <c r="J82" s="48">
        <v>300000.0</v>
      </c>
      <c r="K82" s="52">
        <f t="shared" ref="K82:K86" si="53">J82/H82</f>
        <v>254.6689304</v>
      </c>
      <c r="L82" s="48">
        <v>500000.0</v>
      </c>
      <c r="M82" s="48"/>
      <c r="N82" s="54" t="str">
        <f t="shared" ref="N82:N84" si="54">L82/M82</f>
        <v>#DIV/0!</v>
      </c>
      <c r="O82" s="55">
        <f t="shared" ref="O82:O84" si="55">L82-J82</f>
        <v>200000</v>
      </c>
      <c r="P82" s="48">
        <v>50000.0</v>
      </c>
      <c r="Q82" s="56">
        <f t="shared" ref="Q82:Q84" si="56">MULTIPLY(0.07,L82)</f>
        <v>35000</v>
      </c>
      <c r="R82" s="56">
        <f t="shared" ref="R82:R84" si="57">0.05*S82</f>
        <v>19250</v>
      </c>
      <c r="S82" s="56">
        <f t="shared" ref="S82:S84" si="58">SUM(J82,P82,Q82)</f>
        <v>385000</v>
      </c>
      <c r="T82" s="56">
        <f t="shared" ref="T82:T84" si="59">O82-P82-Q82</f>
        <v>115000</v>
      </c>
      <c r="U82" s="56">
        <f t="shared" ref="U82:U84" si="60">T82-R82</f>
        <v>95750</v>
      </c>
      <c r="V82" s="57">
        <f t="shared" ref="V82:V84" si="61">DIVIDE(T82,S82)</f>
        <v>0.2987012987</v>
      </c>
      <c r="W82" s="56">
        <f t="shared" ref="W82:W84" si="62">(L82*0.75)-P82</f>
        <v>325000</v>
      </c>
      <c r="X82" s="53">
        <f t="shared" ref="X82:X84" si="63">J82-W82</f>
        <v>-25000</v>
      </c>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96"/>
      <c r="AW82" s="96"/>
      <c r="AY82" s="97"/>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row>
    <row r="83" ht="15.75" customHeight="1">
      <c r="A83" s="48" t="s">
        <v>60</v>
      </c>
      <c r="B83" s="48"/>
      <c r="C83" s="49">
        <v>45457.0</v>
      </c>
      <c r="D83" s="48"/>
      <c r="E83" s="48"/>
      <c r="F83" s="48">
        <v>3.0</v>
      </c>
      <c r="G83" s="48">
        <v>3.0</v>
      </c>
      <c r="H83" s="48">
        <v>2752.0</v>
      </c>
      <c r="I83" s="48">
        <v>499000.0</v>
      </c>
      <c r="J83" s="48">
        <v>450000.0</v>
      </c>
      <c r="K83" s="52">
        <f t="shared" si="53"/>
        <v>163.5174419</v>
      </c>
      <c r="L83" s="48">
        <v>800000.0</v>
      </c>
      <c r="M83" s="48">
        <v>2752.0</v>
      </c>
      <c r="N83" s="54">
        <f t="shared" si="54"/>
        <v>290.6976744</v>
      </c>
      <c r="O83" s="55">
        <f t="shared" si="55"/>
        <v>350000</v>
      </c>
      <c r="P83" s="48">
        <v>150000.0</v>
      </c>
      <c r="Q83" s="56">
        <f t="shared" si="56"/>
        <v>56000</v>
      </c>
      <c r="R83" s="56">
        <f t="shared" si="57"/>
        <v>32800</v>
      </c>
      <c r="S83" s="56">
        <f t="shared" si="58"/>
        <v>656000</v>
      </c>
      <c r="T83" s="56">
        <f t="shared" si="59"/>
        <v>144000</v>
      </c>
      <c r="U83" s="56">
        <f t="shared" si="60"/>
        <v>111200</v>
      </c>
      <c r="V83" s="57">
        <f t="shared" si="61"/>
        <v>0.2195121951</v>
      </c>
      <c r="W83" s="56">
        <f t="shared" si="62"/>
        <v>450000</v>
      </c>
      <c r="X83" s="53">
        <f t="shared" si="63"/>
        <v>0</v>
      </c>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96"/>
      <c r="AW83" s="96"/>
      <c r="AY83" s="97"/>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row>
    <row r="84" ht="15.75" customHeight="1">
      <c r="A84" s="48"/>
      <c r="B84" s="48"/>
      <c r="C84" s="48"/>
      <c r="D84" s="48"/>
      <c r="E84" s="48"/>
      <c r="F84" s="48"/>
      <c r="G84" s="48"/>
      <c r="H84" s="48"/>
      <c r="I84" s="48"/>
      <c r="J84" s="48"/>
      <c r="K84" s="52" t="str">
        <f t="shared" si="53"/>
        <v>#DIV/0!</v>
      </c>
      <c r="L84" s="48"/>
      <c r="M84" s="48"/>
      <c r="N84" s="54" t="str">
        <f t="shared" si="54"/>
        <v>#DIV/0!</v>
      </c>
      <c r="O84" s="55">
        <f t="shared" si="55"/>
        <v>0</v>
      </c>
      <c r="P84" s="48">
        <v>20000.0</v>
      </c>
      <c r="Q84" s="56">
        <f t="shared" si="56"/>
        <v>0</v>
      </c>
      <c r="R84" s="56">
        <f t="shared" si="57"/>
        <v>1000</v>
      </c>
      <c r="S84" s="56">
        <f t="shared" si="58"/>
        <v>20000</v>
      </c>
      <c r="T84" s="56">
        <f t="shared" si="59"/>
        <v>-20000</v>
      </c>
      <c r="U84" s="56">
        <f t="shared" si="60"/>
        <v>-21000</v>
      </c>
      <c r="V84" s="57">
        <f t="shared" si="61"/>
        <v>-1</v>
      </c>
      <c r="W84" s="56">
        <f t="shared" si="62"/>
        <v>-20000</v>
      </c>
      <c r="X84" s="53">
        <f t="shared" si="63"/>
        <v>20000</v>
      </c>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96"/>
      <c r="AW84" s="96"/>
      <c r="AY84" s="97"/>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row>
    <row r="85" ht="15.75" customHeight="1">
      <c r="A85" s="48"/>
      <c r="B85" s="48"/>
      <c r="C85" s="48"/>
      <c r="D85" s="48"/>
      <c r="E85" s="48"/>
      <c r="F85" s="48"/>
      <c r="G85" s="48"/>
      <c r="H85" s="48"/>
      <c r="I85" s="48"/>
      <c r="J85" s="48"/>
      <c r="K85" s="52" t="str">
        <f t="shared" si="53"/>
        <v>#DIV/0!</v>
      </c>
      <c r="L85" s="48"/>
      <c r="M85" s="48"/>
      <c r="N85" s="48"/>
      <c r="O85" s="48"/>
      <c r="P85" s="48"/>
      <c r="Q85" s="48"/>
      <c r="R85" s="48"/>
      <c r="S85" s="48"/>
      <c r="T85" s="48"/>
      <c r="U85" s="92"/>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96"/>
      <c r="AW85" s="96"/>
      <c r="AY85" s="97"/>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row>
    <row r="86" ht="15.75" customHeight="1">
      <c r="A86" s="48"/>
      <c r="B86" s="48"/>
      <c r="C86" s="48"/>
      <c r="D86" s="48"/>
      <c r="E86" s="48"/>
      <c r="F86" s="48"/>
      <c r="G86" s="48"/>
      <c r="H86" s="48"/>
      <c r="I86" s="48"/>
      <c r="J86" s="48"/>
      <c r="K86" s="52" t="str">
        <f t="shared" si="53"/>
        <v>#DIV/0!</v>
      </c>
      <c r="L86" s="48"/>
      <c r="M86" s="48"/>
      <c r="N86" s="48"/>
      <c r="O86" s="48"/>
      <c r="P86" s="48"/>
      <c r="Q86" s="48"/>
      <c r="R86" s="48"/>
      <c r="S86" s="48"/>
      <c r="T86" s="48"/>
      <c r="U86" s="92"/>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96"/>
      <c r="AW86" s="96"/>
      <c r="AY86" s="97"/>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row>
    <row r="87" ht="15.75" customHeight="1">
      <c r="A87" s="48"/>
      <c r="B87" s="48"/>
      <c r="C87" s="48"/>
      <c r="D87" s="48"/>
      <c r="E87" s="48"/>
      <c r="F87" s="48"/>
      <c r="G87" s="48"/>
      <c r="H87" s="48"/>
      <c r="I87" s="48"/>
      <c r="J87" s="48"/>
      <c r="K87" s="48"/>
      <c r="L87" s="48"/>
      <c r="M87" s="48"/>
      <c r="N87" s="48"/>
      <c r="O87" s="48"/>
      <c r="P87" s="48"/>
      <c r="Q87" s="48"/>
      <c r="R87" s="48"/>
      <c r="S87" s="48"/>
      <c r="T87" s="48"/>
      <c r="U87" s="92"/>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96"/>
      <c r="AW87" s="96"/>
      <c r="AY87" s="97"/>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row>
    <row r="88" ht="15.75" customHeight="1">
      <c r="A88" s="48"/>
      <c r="B88" s="48"/>
      <c r="C88" s="48"/>
      <c r="D88" s="48"/>
      <c r="E88" s="48"/>
      <c r="F88" s="48"/>
      <c r="G88" s="48"/>
      <c r="H88" s="48"/>
      <c r="I88" s="48"/>
      <c r="J88" s="48"/>
      <c r="K88" s="48"/>
      <c r="L88" s="48"/>
      <c r="M88" s="48"/>
      <c r="N88" s="48"/>
      <c r="O88" s="48"/>
      <c r="P88" s="48"/>
      <c r="Q88" s="48"/>
      <c r="R88" s="48"/>
      <c r="S88" s="48"/>
      <c r="T88" s="48"/>
      <c r="U88" s="92"/>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96"/>
      <c r="AW88" s="96"/>
      <c r="AY88" s="97"/>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row>
    <row r="89" ht="15.75" customHeight="1">
      <c r="A89" s="48"/>
      <c r="B89" s="48"/>
      <c r="C89" s="48"/>
      <c r="D89" s="48"/>
      <c r="E89" s="48"/>
      <c r="F89" s="48"/>
      <c r="G89" s="48"/>
      <c r="H89" s="48"/>
      <c r="I89" s="48"/>
      <c r="J89" s="48"/>
      <c r="K89" s="48"/>
      <c r="L89" s="48"/>
      <c r="M89" s="48"/>
      <c r="N89" s="48"/>
      <c r="O89" s="48"/>
      <c r="P89" s="48"/>
      <c r="Q89" s="48"/>
      <c r="R89" s="48"/>
      <c r="S89" s="48"/>
      <c r="T89" s="48"/>
      <c r="U89" s="92"/>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96"/>
      <c r="AW89" s="96"/>
      <c r="AY89" s="97"/>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row>
    <row r="90" ht="15.75" customHeight="1">
      <c r="A90" s="48"/>
      <c r="B90" s="48"/>
      <c r="C90" s="48"/>
      <c r="D90" s="48"/>
      <c r="E90" s="48"/>
      <c r="F90" s="48"/>
      <c r="G90" s="48"/>
      <c r="H90" s="48"/>
      <c r="I90" s="48"/>
      <c r="J90" s="48"/>
      <c r="K90" s="48"/>
      <c r="L90" s="48"/>
      <c r="M90" s="48"/>
      <c r="N90" s="48"/>
      <c r="O90" s="48"/>
      <c r="P90" s="48"/>
      <c r="Q90" s="48"/>
      <c r="R90" s="48"/>
      <c r="S90" s="48"/>
      <c r="T90" s="48"/>
      <c r="U90" s="92"/>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96"/>
      <c r="AW90" s="96"/>
      <c r="AY90" s="97"/>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row>
    <row r="91" ht="15.75" customHeight="1">
      <c r="A91" s="48"/>
      <c r="B91" s="48"/>
      <c r="C91" s="48"/>
      <c r="D91" s="48"/>
      <c r="E91" s="48"/>
      <c r="F91" s="48"/>
      <c r="G91" s="48"/>
      <c r="H91" s="48"/>
      <c r="I91" s="48"/>
      <c r="J91" s="48"/>
      <c r="K91" s="48"/>
      <c r="L91" s="48"/>
      <c r="M91" s="48"/>
      <c r="N91" s="48"/>
      <c r="O91" s="48"/>
      <c r="P91" s="48"/>
      <c r="Q91" s="48"/>
      <c r="R91" s="48"/>
      <c r="S91" s="48"/>
      <c r="T91" s="48"/>
      <c r="U91" s="92"/>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96"/>
      <c r="AW91" s="96"/>
      <c r="AY91" s="97"/>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row>
    <row r="92" ht="15.75" customHeight="1">
      <c r="A92" s="48"/>
      <c r="B92" s="48"/>
      <c r="C92" s="48"/>
      <c r="D92" s="48"/>
      <c r="E92" s="48"/>
      <c r="F92" s="48"/>
      <c r="G92" s="48"/>
      <c r="H92" s="48"/>
      <c r="I92" s="48"/>
      <c r="J92" s="48"/>
      <c r="K92" s="48"/>
      <c r="L92" s="48"/>
      <c r="M92" s="48"/>
      <c r="N92" s="48"/>
      <c r="O92" s="48"/>
      <c r="P92" s="48"/>
      <c r="Q92" s="48"/>
      <c r="R92" s="48"/>
      <c r="S92" s="48"/>
      <c r="T92" s="48"/>
      <c r="U92" s="92"/>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96"/>
      <c r="AW92" s="96"/>
      <c r="AY92" s="97"/>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row>
    <row r="93" ht="15.75" customHeight="1">
      <c r="A93" s="48"/>
      <c r="B93" s="48"/>
      <c r="C93" s="48"/>
      <c r="D93" s="48"/>
      <c r="E93" s="48"/>
      <c r="F93" s="48"/>
      <c r="G93" s="48"/>
      <c r="H93" s="48"/>
      <c r="I93" s="48"/>
      <c r="J93" s="48"/>
      <c r="K93" s="48"/>
      <c r="L93" s="48"/>
      <c r="M93" s="48"/>
      <c r="N93" s="48"/>
      <c r="O93" s="48"/>
      <c r="P93" s="48"/>
      <c r="Q93" s="48"/>
      <c r="R93" s="48"/>
      <c r="S93" s="48"/>
      <c r="T93" s="48"/>
      <c r="U93" s="92"/>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96"/>
      <c r="AW93" s="96"/>
      <c r="AY93" s="97"/>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row>
    <row r="94" ht="15.75" customHeight="1">
      <c r="A94" s="48"/>
      <c r="B94" s="48"/>
      <c r="C94" s="48"/>
      <c r="D94" s="48"/>
      <c r="E94" s="48"/>
      <c r="F94" s="48"/>
      <c r="G94" s="48"/>
      <c r="H94" s="48"/>
      <c r="I94" s="48"/>
      <c r="J94" s="48"/>
      <c r="K94" s="48"/>
      <c r="L94" s="48"/>
      <c r="M94" s="48"/>
      <c r="N94" s="48"/>
      <c r="O94" s="48"/>
      <c r="P94" s="48"/>
      <c r="Q94" s="48"/>
      <c r="R94" s="48"/>
      <c r="S94" s="48"/>
      <c r="T94" s="48"/>
      <c r="U94" s="92"/>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96"/>
      <c r="AW94" s="96"/>
      <c r="AY94" s="97"/>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row>
    <row r="95" ht="15.75" customHeight="1">
      <c r="A95" s="48"/>
      <c r="B95" s="48"/>
      <c r="C95" s="48"/>
      <c r="D95" s="48"/>
      <c r="E95" s="48"/>
      <c r="F95" s="48"/>
      <c r="G95" s="48"/>
      <c r="H95" s="48"/>
      <c r="I95" s="48"/>
      <c r="J95" s="48"/>
      <c r="K95" s="48"/>
      <c r="L95" s="48"/>
      <c r="M95" s="48"/>
      <c r="N95" s="48"/>
      <c r="O95" s="48"/>
      <c r="P95" s="48"/>
      <c r="Q95" s="48"/>
      <c r="R95" s="48"/>
      <c r="S95" s="48"/>
      <c r="T95" s="48"/>
      <c r="U95" s="92"/>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96"/>
      <c r="AW95" s="96"/>
      <c r="AY95" s="97"/>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row>
    <row r="96" ht="15.75" customHeight="1">
      <c r="A96" s="48"/>
      <c r="B96" s="48"/>
      <c r="C96" s="48"/>
      <c r="D96" s="48"/>
      <c r="E96" s="48"/>
      <c r="F96" s="48"/>
      <c r="G96" s="48"/>
      <c r="H96" s="48"/>
      <c r="I96" s="48"/>
      <c r="J96" s="48"/>
      <c r="K96" s="48"/>
      <c r="L96" s="48"/>
      <c r="M96" s="48"/>
      <c r="N96" s="48"/>
      <c r="O96" s="48"/>
      <c r="P96" s="48"/>
      <c r="Q96" s="48"/>
      <c r="R96" s="48"/>
      <c r="S96" s="48"/>
      <c r="T96" s="48"/>
      <c r="U96" s="92"/>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96"/>
      <c r="AW96" s="96"/>
      <c r="AY96" s="97"/>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row>
    <row r="97" ht="15.75" customHeight="1">
      <c r="A97" s="48"/>
      <c r="B97" s="48"/>
      <c r="C97" s="48"/>
      <c r="D97" s="48"/>
      <c r="E97" s="48"/>
      <c r="F97" s="48"/>
      <c r="G97" s="48"/>
      <c r="H97" s="48"/>
      <c r="I97" s="48"/>
      <c r="J97" s="48"/>
      <c r="K97" s="48"/>
      <c r="L97" s="48"/>
      <c r="M97" s="48"/>
      <c r="N97" s="48"/>
      <c r="O97" s="48"/>
      <c r="P97" s="48"/>
      <c r="Q97" s="48"/>
      <c r="R97" s="48"/>
      <c r="S97" s="48"/>
      <c r="T97" s="48"/>
      <c r="U97" s="92"/>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96"/>
      <c r="AW97" s="96"/>
      <c r="AY97" s="97"/>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row>
    <row r="98" ht="15.75" customHeight="1">
      <c r="A98" s="48"/>
      <c r="B98" s="48"/>
      <c r="C98" s="48"/>
      <c r="D98" s="48"/>
      <c r="E98" s="48"/>
      <c r="F98" s="48"/>
      <c r="G98" s="48"/>
      <c r="H98" s="48"/>
      <c r="I98" s="48"/>
      <c r="J98" s="48"/>
      <c r="K98" s="48"/>
      <c r="L98" s="48"/>
      <c r="M98" s="48"/>
      <c r="N98" s="48"/>
      <c r="O98" s="48"/>
      <c r="P98" s="48"/>
      <c r="Q98" s="48"/>
      <c r="R98" s="48"/>
      <c r="S98" s="48"/>
      <c r="T98" s="48"/>
      <c r="U98" s="92"/>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96"/>
      <c r="AW98" s="96"/>
      <c r="AY98" s="97"/>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row>
    <row r="99" ht="15.75" customHeight="1">
      <c r="A99" s="48"/>
      <c r="B99" s="48"/>
      <c r="C99" s="48"/>
      <c r="D99" s="48"/>
      <c r="E99" s="48"/>
      <c r="F99" s="48"/>
      <c r="G99" s="48"/>
      <c r="H99" s="48"/>
      <c r="I99" s="48"/>
      <c r="J99" s="48"/>
      <c r="K99" s="48"/>
      <c r="L99" s="48"/>
      <c r="M99" s="48"/>
      <c r="N99" s="48"/>
      <c r="O99" s="48"/>
      <c r="P99" s="48"/>
      <c r="Q99" s="48"/>
      <c r="R99" s="48"/>
      <c r="S99" s="48"/>
      <c r="T99" s="48"/>
      <c r="U99" s="92"/>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96"/>
      <c r="AW99" s="96"/>
      <c r="AY99" s="97"/>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92"/>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96"/>
      <c r="AW100" s="96"/>
      <c r="AY100" s="97"/>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92"/>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96"/>
      <c r="AW101" s="96"/>
      <c r="AY101" s="97"/>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92"/>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96"/>
      <c r="AW102" s="96"/>
      <c r="AY102" s="97"/>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92"/>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96"/>
      <c r="AW103" s="96"/>
      <c r="AY103" s="97"/>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92"/>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96"/>
      <c r="AW104" s="96"/>
      <c r="AY104" s="97"/>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92"/>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96"/>
      <c r="AW105" s="96"/>
      <c r="AY105" s="97"/>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92"/>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96"/>
      <c r="AW106" s="96"/>
      <c r="AY106" s="97"/>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92"/>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96"/>
      <c r="AW107" s="96"/>
      <c r="AY107" s="97"/>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92"/>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96"/>
      <c r="AW108" s="96"/>
      <c r="AY108" s="97"/>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92"/>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96"/>
      <c r="AW109" s="96"/>
      <c r="AY109" s="97"/>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92"/>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96"/>
      <c r="AW110" s="96"/>
      <c r="AY110" s="97"/>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92"/>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96"/>
      <c r="AW111" s="96"/>
      <c r="AY111" s="97"/>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92"/>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96"/>
      <c r="AW112" s="96"/>
      <c r="AY112" s="97"/>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92"/>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96"/>
      <c r="AW113" s="96"/>
      <c r="AY113" s="97"/>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92"/>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96"/>
      <c r="AW114" s="96"/>
      <c r="AY114" s="97"/>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92"/>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96"/>
      <c r="AW115" s="96"/>
      <c r="AY115" s="97"/>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92"/>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96"/>
      <c r="AW116" s="96"/>
      <c r="AY116" s="97"/>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92"/>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96"/>
      <c r="AW117" s="96"/>
      <c r="AY117" s="97"/>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92"/>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96"/>
      <c r="AW118" s="96"/>
      <c r="AY118" s="97"/>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92"/>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96"/>
      <c r="AW119" s="96"/>
      <c r="AY119" s="97"/>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92"/>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96"/>
      <c r="AW120" s="96"/>
      <c r="AY120" s="97"/>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92"/>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96"/>
      <c r="AW121" s="96"/>
      <c r="AY121" s="97"/>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92"/>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96"/>
      <c r="AW122" s="96"/>
      <c r="AY122" s="97"/>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92"/>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96"/>
      <c r="AW123" s="96"/>
      <c r="AY123" s="97"/>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92"/>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96"/>
      <c r="AW124" s="96"/>
      <c r="AY124" s="97"/>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92"/>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96"/>
      <c r="AW125" s="96"/>
      <c r="AY125" s="97"/>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92"/>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96"/>
      <c r="AW126" s="96"/>
      <c r="AY126" s="97"/>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92"/>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96"/>
      <c r="AW127" s="96"/>
      <c r="AY127" s="97"/>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92"/>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96"/>
      <c r="AW128" s="96"/>
      <c r="AY128" s="97"/>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92"/>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96"/>
      <c r="AW129" s="96"/>
      <c r="AY129" s="97"/>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92"/>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96"/>
      <c r="AW130" s="96"/>
      <c r="AY130" s="97"/>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92"/>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96"/>
      <c r="AW131" s="96"/>
      <c r="AY131" s="97"/>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92"/>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96"/>
      <c r="AW132" s="96"/>
      <c r="AY132" s="97"/>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92"/>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96"/>
      <c r="AW133" s="96"/>
      <c r="AY133" s="97"/>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92"/>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96"/>
      <c r="AW134" s="96"/>
      <c r="AY134" s="97"/>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92"/>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96"/>
      <c r="AW135" s="96"/>
      <c r="AY135" s="97"/>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92"/>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96"/>
      <c r="AW136" s="96"/>
      <c r="AY136" s="97"/>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92"/>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96"/>
      <c r="AW137" s="96"/>
      <c r="AY137" s="97"/>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92"/>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96"/>
      <c r="AW138" s="96"/>
      <c r="AY138" s="97"/>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92"/>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96"/>
      <c r="AW139" s="96"/>
      <c r="AY139" s="97"/>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92"/>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96"/>
      <c r="AW140" s="96"/>
      <c r="AY140" s="97"/>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92"/>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96"/>
      <c r="AW141" s="96"/>
      <c r="AY141" s="97"/>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92"/>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96"/>
      <c r="AW142" s="96"/>
      <c r="AY142" s="97"/>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92"/>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96"/>
      <c r="AW143" s="96"/>
      <c r="AY143" s="97"/>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92"/>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96"/>
      <c r="AW144" s="96"/>
      <c r="AY144" s="97"/>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92"/>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96"/>
      <c r="AW145" s="96"/>
      <c r="AY145" s="97"/>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92"/>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96"/>
      <c r="AW146" s="96"/>
      <c r="AY146" s="97"/>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92"/>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96"/>
      <c r="AW147" s="96"/>
      <c r="AY147" s="97"/>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92"/>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96"/>
      <c r="AW148" s="96"/>
      <c r="AY148" s="97"/>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92"/>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96"/>
      <c r="AW149" s="96"/>
      <c r="AY149" s="97"/>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92"/>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96"/>
      <c r="AW150" s="96"/>
      <c r="AY150" s="97"/>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92"/>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96"/>
      <c r="AW151" s="96"/>
      <c r="AY151" s="97"/>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92"/>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96"/>
      <c r="AW152" s="96"/>
      <c r="AY152" s="97"/>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92"/>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96"/>
      <c r="AW153" s="96"/>
      <c r="AY153" s="97"/>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92"/>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96"/>
      <c r="AW154" s="96"/>
      <c r="AY154" s="97"/>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92"/>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96"/>
      <c r="AW155" s="96"/>
      <c r="AY155" s="97"/>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92"/>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96"/>
      <c r="AW156" s="96"/>
      <c r="AY156" s="97"/>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92"/>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96"/>
      <c r="AW157" s="96"/>
      <c r="AY157" s="97"/>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92"/>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96"/>
      <c r="AW158" s="96"/>
      <c r="AY158" s="97"/>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92"/>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96"/>
      <c r="AW159" s="96"/>
      <c r="AY159" s="97"/>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92"/>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96"/>
      <c r="AW160" s="96"/>
      <c r="AY160" s="97"/>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92"/>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96"/>
      <c r="AW161" s="96"/>
      <c r="AY161" s="97"/>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92"/>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96"/>
      <c r="AW162" s="96"/>
      <c r="AY162" s="97"/>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92"/>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96"/>
      <c r="AW163" s="96"/>
      <c r="AY163" s="97"/>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92"/>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96"/>
      <c r="AW164" s="96"/>
      <c r="AY164" s="97"/>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92"/>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96"/>
      <c r="AW165" s="96"/>
      <c r="AY165" s="97"/>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92"/>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96"/>
      <c r="AW166" s="96"/>
      <c r="AY166" s="97"/>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92"/>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96"/>
      <c r="AW167" s="96"/>
      <c r="AY167" s="97"/>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92"/>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96"/>
      <c r="AW168" s="96"/>
      <c r="AY168" s="97"/>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92"/>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96"/>
      <c r="AW169" s="96"/>
      <c r="AY169" s="97"/>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92"/>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96"/>
      <c r="AW170" s="96"/>
      <c r="AY170" s="97"/>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92"/>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96"/>
      <c r="AW171" s="96"/>
      <c r="AY171" s="97"/>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92"/>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96"/>
      <c r="AW172" s="96"/>
      <c r="AY172" s="97"/>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92"/>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96"/>
      <c r="AW173" s="96"/>
      <c r="AY173" s="97"/>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92"/>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96"/>
      <c r="AW174" s="96"/>
      <c r="AY174" s="97"/>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92"/>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96"/>
      <c r="AW175" s="96"/>
      <c r="AY175" s="97"/>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92"/>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96"/>
      <c r="AW176" s="96"/>
      <c r="AY176" s="97"/>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92"/>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96"/>
      <c r="AW177" s="96"/>
      <c r="AY177" s="97"/>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92"/>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96"/>
      <c r="AW178" s="96"/>
      <c r="AY178" s="97"/>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92"/>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96"/>
      <c r="AW179" s="96"/>
      <c r="AY179" s="97"/>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92"/>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96"/>
      <c r="AW180" s="96"/>
      <c r="AY180" s="97"/>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92"/>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96"/>
      <c r="AW181" s="96"/>
      <c r="AY181" s="97"/>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92"/>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96"/>
      <c r="AW182" s="96"/>
      <c r="AY182" s="97"/>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92"/>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96"/>
      <c r="AW183" s="96"/>
      <c r="AY183" s="97"/>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92"/>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96"/>
      <c r="AW184" s="96"/>
      <c r="AY184" s="97"/>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92"/>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96"/>
      <c r="AW185" s="96"/>
      <c r="AY185" s="97"/>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92"/>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96"/>
      <c r="AW186" s="96"/>
      <c r="AY186" s="97"/>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92"/>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96"/>
      <c r="AW187" s="96"/>
      <c r="AY187" s="97"/>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92"/>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96"/>
      <c r="AW188" s="96"/>
      <c r="AY188" s="97"/>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92"/>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96"/>
      <c r="AW189" s="96"/>
      <c r="AY189" s="97"/>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92"/>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96"/>
      <c r="AW190" s="96"/>
      <c r="AY190" s="97"/>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92"/>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96"/>
      <c r="AW191" s="96"/>
      <c r="AY191" s="97"/>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92"/>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96"/>
      <c r="AW192" s="96"/>
      <c r="AY192" s="97"/>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92"/>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96"/>
      <c r="AW193" s="96"/>
      <c r="AY193" s="97"/>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92"/>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96"/>
      <c r="AW194" s="96"/>
      <c r="AY194" s="97"/>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92"/>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96"/>
      <c r="AW195" s="96"/>
      <c r="AY195" s="97"/>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92"/>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96"/>
      <c r="AW196" s="96"/>
      <c r="AY196" s="97"/>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92"/>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96"/>
      <c r="AW197" s="96"/>
      <c r="AY197" s="97"/>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92"/>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96"/>
      <c r="AW198" s="96"/>
      <c r="AY198" s="97"/>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92"/>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96"/>
      <c r="AW199" s="96"/>
      <c r="AY199" s="97"/>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92"/>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96"/>
      <c r="AW200" s="96"/>
      <c r="AY200" s="97"/>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92"/>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96"/>
      <c r="AW201" s="96"/>
      <c r="AY201" s="97"/>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92"/>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96"/>
      <c r="AW202" s="96"/>
      <c r="AY202" s="97"/>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92"/>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96"/>
      <c r="AW203" s="96"/>
      <c r="AY203" s="97"/>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92"/>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96"/>
      <c r="AW204" s="96"/>
      <c r="AY204" s="97"/>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92"/>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96"/>
      <c r="AW205" s="96"/>
      <c r="AY205" s="97"/>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92"/>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96"/>
      <c r="AW206" s="96"/>
      <c r="AY206" s="97"/>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92"/>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96"/>
      <c r="AW207" s="96"/>
      <c r="AY207" s="97"/>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92"/>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96"/>
      <c r="AW208" s="96"/>
      <c r="AY208" s="97"/>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92"/>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96"/>
      <c r="AW209" s="96"/>
      <c r="AY209" s="97"/>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92"/>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96"/>
      <c r="AW210" s="96"/>
      <c r="AY210" s="97"/>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92"/>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96"/>
      <c r="AW211" s="96"/>
      <c r="AY211" s="97"/>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92"/>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96"/>
      <c r="AW212" s="96"/>
      <c r="AY212" s="97"/>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92"/>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96"/>
      <c r="AW213" s="96"/>
      <c r="AY213" s="97"/>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92"/>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96"/>
      <c r="AW214" s="96"/>
      <c r="AY214" s="97"/>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92"/>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96"/>
      <c r="AW215" s="96"/>
      <c r="AY215" s="97"/>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92"/>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96"/>
      <c r="AW216" s="96"/>
      <c r="AY216" s="97"/>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92"/>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96"/>
      <c r="AW217" s="96"/>
      <c r="AY217" s="97"/>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92"/>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96"/>
      <c r="AW218" s="96"/>
      <c r="AY218" s="97"/>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92"/>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96"/>
      <c r="AW219" s="96"/>
      <c r="AY219" s="97"/>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92"/>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96"/>
      <c r="AW220" s="96"/>
      <c r="AY220" s="97"/>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92"/>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96"/>
      <c r="AW221" s="96"/>
      <c r="AY221" s="97"/>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92"/>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96"/>
      <c r="AW222" s="96"/>
      <c r="AY222" s="97"/>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92"/>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96"/>
      <c r="AW223" s="96"/>
      <c r="AY223" s="97"/>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92"/>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96"/>
      <c r="AW224" s="96"/>
      <c r="AY224" s="97"/>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92"/>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96"/>
      <c r="AW225" s="96"/>
      <c r="AY225" s="97"/>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92"/>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96"/>
      <c r="AW226" s="96"/>
      <c r="AY226" s="97"/>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92"/>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96"/>
      <c r="AW227" s="96"/>
      <c r="AY227" s="97"/>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92"/>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96"/>
      <c r="AW228" s="96"/>
      <c r="AY228" s="97"/>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92"/>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96"/>
      <c r="AW229" s="96"/>
      <c r="AY229" s="97"/>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92"/>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96"/>
      <c r="AW230" s="96"/>
      <c r="AY230" s="97"/>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92"/>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96"/>
      <c r="AW231" s="96"/>
      <c r="AY231" s="97"/>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92"/>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96"/>
      <c r="AW232" s="96"/>
      <c r="AY232" s="97"/>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92"/>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96"/>
      <c r="AW233" s="96"/>
      <c r="AY233" s="97"/>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92"/>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96"/>
      <c r="AW234" s="96"/>
      <c r="AY234" s="97"/>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92"/>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96"/>
      <c r="AW235" s="96"/>
      <c r="AY235" s="97"/>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92"/>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96"/>
      <c r="AW236" s="96"/>
      <c r="AY236" s="97"/>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92"/>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96"/>
      <c r="AW237" s="96"/>
      <c r="AY237" s="97"/>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92"/>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96"/>
      <c r="AW238" s="96"/>
      <c r="AY238" s="97"/>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92"/>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96"/>
      <c r="AW239" s="96"/>
      <c r="AY239" s="97"/>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92"/>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96"/>
      <c r="AW240" s="96"/>
      <c r="AY240" s="97"/>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92"/>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96"/>
      <c r="AW241" s="96"/>
      <c r="AY241" s="97"/>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92"/>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96"/>
      <c r="AW242" s="96"/>
      <c r="AY242" s="97"/>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92"/>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96"/>
      <c r="AW243" s="96"/>
      <c r="AY243" s="97"/>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92"/>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96"/>
      <c r="AW244" s="96"/>
      <c r="AY244" s="97"/>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92"/>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96"/>
      <c r="AW245" s="96"/>
      <c r="AY245" s="97"/>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92"/>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96"/>
      <c r="AW246" s="96"/>
      <c r="AY246" s="97"/>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92"/>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96"/>
      <c r="AW247" s="96"/>
      <c r="AY247" s="97"/>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92"/>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96"/>
      <c r="AW248" s="96"/>
      <c r="AY248" s="97"/>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92"/>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96"/>
      <c r="AW249" s="96"/>
      <c r="AY249" s="97"/>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92"/>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96"/>
      <c r="AW250" s="96"/>
      <c r="AY250" s="97"/>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92"/>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96"/>
      <c r="AW251" s="96"/>
      <c r="AY251" s="97"/>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92"/>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96"/>
      <c r="AW252" s="96"/>
      <c r="AY252" s="97"/>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92"/>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96"/>
      <c r="AW253" s="96"/>
      <c r="AY253" s="97"/>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92"/>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96"/>
      <c r="AW254" s="96"/>
      <c r="AY254" s="97"/>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92"/>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96"/>
      <c r="AW255" s="96"/>
      <c r="AY255" s="97"/>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92"/>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96"/>
      <c r="AW256" s="96"/>
      <c r="AY256" s="97"/>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92"/>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96"/>
      <c r="AW257" s="96"/>
      <c r="AY257" s="97"/>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92"/>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96"/>
      <c r="AW258" s="96"/>
      <c r="AY258" s="97"/>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92"/>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96"/>
      <c r="AW259" s="96"/>
      <c r="AY259" s="97"/>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92"/>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96"/>
      <c r="AW260" s="96"/>
      <c r="AY260" s="97"/>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92"/>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96"/>
      <c r="AW261" s="96"/>
      <c r="AY261" s="97"/>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92"/>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96"/>
      <c r="AW262" s="96"/>
      <c r="AY262" s="97"/>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92"/>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96"/>
      <c r="AW263" s="96"/>
      <c r="AY263" s="97"/>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92"/>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96"/>
      <c r="AW264" s="96"/>
      <c r="AY264" s="97"/>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92"/>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96"/>
      <c r="AW265" s="96"/>
      <c r="AY265" s="97"/>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92"/>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96"/>
      <c r="AW266" s="96"/>
      <c r="AY266" s="97"/>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92"/>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96"/>
      <c r="AW267" s="96"/>
      <c r="AY267" s="97"/>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92"/>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96"/>
      <c r="AW268" s="96"/>
      <c r="AY268" s="97"/>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92"/>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96"/>
      <c r="AW269" s="96"/>
      <c r="AY269" s="97"/>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92"/>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96"/>
      <c r="AW270" s="96"/>
      <c r="AY270" s="97"/>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92"/>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96"/>
      <c r="AW271" s="96"/>
      <c r="AY271" s="97"/>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92"/>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96"/>
      <c r="AW272" s="96"/>
      <c r="AY272" s="97"/>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92"/>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96"/>
      <c r="AW273" s="96"/>
      <c r="AY273" s="97"/>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92"/>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96"/>
      <c r="AW274" s="96"/>
      <c r="AY274" s="97"/>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92"/>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96"/>
      <c r="AW275" s="96"/>
      <c r="AY275" s="97"/>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92"/>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96"/>
      <c r="AW276" s="96"/>
      <c r="AY276" s="97"/>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92"/>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96"/>
      <c r="AW277" s="96"/>
      <c r="AY277" s="97"/>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92"/>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96"/>
      <c r="AW278" s="96"/>
      <c r="AY278" s="97"/>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92"/>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96"/>
      <c r="AW279" s="96"/>
      <c r="AY279" s="97"/>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92"/>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96"/>
      <c r="AW280" s="96"/>
      <c r="AY280" s="97"/>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92"/>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96"/>
      <c r="AW281" s="96"/>
      <c r="AY281" s="97"/>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92"/>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96"/>
      <c r="AW282" s="96"/>
      <c r="AY282" s="97"/>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92"/>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96"/>
      <c r="AW283" s="96"/>
      <c r="AY283" s="97"/>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92"/>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96"/>
      <c r="AW284" s="96"/>
      <c r="AY284" s="97"/>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92"/>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96"/>
      <c r="AW285" s="96"/>
      <c r="AY285" s="97"/>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92"/>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96"/>
      <c r="AW286" s="96"/>
      <c r="AY286" s="97"/>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1:Q84">
    <cfRule type="expression" dxfId="0" priority="1">
      <formula>Multiply(0.06,M)</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5"/>
    <col customWidth="1" min="2" max="2" width="18.38"/>
    <col customWidth="1" min="3" max="4" width="8.13"/>
    <col customWidth="1" min="5" max="5" width="11.38"/>
    <col customWidth="1" min="6" max="6" width="3.75"/>
    <col customWidth="1" min="7" max="7" width="3.25"/>
    <col customWidth="1" min="8" max="9" width="6.75"/>
    <col customWidth="1" min="10" max="10" width="7.75"/>
    <col customWidth="1" min="11" max="11" width="8.13"/>
    <col customWidth="1" min="12" max="12" width="8.0"/>
    <col customWidth="1" min="13" max="13" width="7.0"/>
    <col customWidth="1" min="14" max="20" width="8.75"/>
    <col customWidth="1" min="21" max="21" width="7.38"/>
    <col customWidth="1" min="22" max="22" width="9.5"/>
    <col customWidth="1" min="23" max="23" width="8.75"/>
    <col customWidth="1" min="24" max="24" width="11.0"/>
    <col customWidth="1" min="26" max="26" width="6.38"/>
    <col customWidth="1" min="27" max="27" width="7.88"/>
    <col customWidth="1" min="33" max="33" width="9.25"/>
  </cols>
  <sheetData>
    <row r="1" ht="15.75" customHeight="1">
      <c r="A1" s="99" t="s">
        <v>0</v>
      </c>
      <c r="B1" s="99" t="s">
        <v>1</v>
      </c>
      <c r="C1" s="99" t="s">
        <v>2</v>
      </c>
      <c r="D1" s="99" t="s">
        <v>76</v>
      </c>
      <c r="E1" s="99" t="s">
        <v>4</v>
      </c>
      <c r="F1" s="100" t="s">
        <v>5</v>
      </c>
      <c r="G1" s="100" t="s">
        <v>6</v>
      </c>
      <c r="H1" s="99" t="s">
        <v>7</v>
      </c>
      <c r="I1" s="99" t="s">
        <v>8</v>
      </c>
      <c r="J1" s="99" t="s">
        <v>9</v>
      </c>
      <c r="K1" s="101" t="s">
        <v>10</v>
      </c>
      <c r="L1" s="99" t="s">
        <v>12</v>
      </c>
      <c r="M1" s="46" t="s">
        <v>13</v>
      </c>
      <c r="N1" s="101" t="s">
        <v>14</v>
      </c>
      <c r="O1" s="99" t="s">
        <v>15</v>
      </c>
      <c r="P1" s="99" t="s">
        <v>11</v>
      </c>
      <c r="Q1" s="46" t="s">
        <v>16</v>
      </c>
      <c r="R1" s="46" t="s">
        <v>209</v>
      </c>
      <c r="S1" s="46" t="s">
        <v>19</v>
      </c>
      <c r="T1" s="46" t="s">
        <v>20</v>
      </c>
      <c r="U1" s="100" t="s">
        <v>21</v>
      </c>
      <c r="V1" s="46" t="s">
        <v>22</v>
      </c>
      <c r="W1" s="46" t="s">
        <v>23</v>
      </c>
      <c r="X1" s="46" t="s">
        <v>24</v>
      </c>
      <c r="Y1" s="99" t="s">
        <v>25</v>
      </c>
      <c r="Z1" s="99" t="s">
        <v>26</v>
      </c>
      <c r="AA1" s="99"/>
      <c r="AB1" s="99" t="s">
        <v>27</v>
      </c>
      <c r="AC1" s="99" t="s">
        <v>28</v>
      </c>
      <c r="AD1" s="99" t="s">
        <v>29</v>
      </c>
      <c r="AE1" s="99" t="s">
        <v>30</v>
      </c>
      <c r="AF1" s="99" t="s">
        <v>31</v>
      </c>
      <c r="AG1" s="99" t="s">
        <v>32</v>
      </c>
      <c r="AH1" s="99" t="s">
        <v>33</v>
      </c>
      <c r="AI1" s="99" t="s">
        <v>34</v>
      </c>
      <c r="AJ1" s="102" t="s">
        <v>35</v>
      </c>
      <c r="AK1" s="102" t="s">
        <v>36</v>
      </c>
      <c r="AL1" s="102" t="s">
        <v>37</v>
      </c>
      <c r="AM1" s="102" t="s">
        <v>38</v>
      </c>
      <c r="AN1" s="102" t="s">
        <v>39</v>
      </c>
      <c r="AO1" s="102" t="s">
        <v>40</v>
      </c>
      <c r="AP1" s="102" t="s">
        <v>41</v>
      </c>
      <c r="AQ1" s="102" t="s">
        <v>42</v>
      </c>
      <c r="AR1" s="102" t="s">
        <v>43</v>
      </c>
      <c r="AS1" s="99"/>
      <c r="AT1" s="99"/>
      <c r="AU1" s="99"/>
      <c r="AV1" s="99"/>
      <c r="AW1" s="99"/>
      <c r="AX1" s="99"/>
      <c r="AY1" s="99"/>
      <c r="AZ1" s="99"/>
      <c r="BA1" s="99"/>
      <c r="BB1" s="99"/>
      <c r="BC1" s="99"/>
      <c r="BD1" s="99"/>
      <c r="BE1" s="99"/>
      <c r="BF1" s="99"/>
      <c r="BG1" s="99"/>
      <c r="BH1" s="99"/>
      <c r="BI1" s="99"/>
      <c r="BJ1" s="99"/>
      <c r="BK1" s="99"/>
      <c r="BL1" s="99"/>
    </row>
    <row r="2" ht="15.75" customHeight="1">
      <c r="A2" s="66" t="s">
        <v>210</v>
      </c>
      <c r="C2" s="103">
        <v>42390.0</v>
      </c>
      <c r="D2" s="104"/>
      <c r="E2" s="104" t="s">
        <v>154</v>
      </c>
      <c r="F2" s="105" t="s">
        <v>56</v>
      </c>
      <c r="G2" s="105" t="s">
        <v>56</v>
      </c>
      <c r="H2" s="104">
        <v>1788.0</v>
      </c>
      <c r="I2" s="104"/>
      <c r="J2" s="104">
        <v>450000.0</v>
      </c>
      <c r="K2" s="106">
        <f t="shared" ref="K2:K157" si="1">J2/H2</f>
        <v>251.6778523</v>
      </c>
      <c r="L2" s="104">
        <v>600000.0</v>
      </c>
      <c r="M2" s="107"/>
      <c r="N2" s="106">
        <f t="shared" ref="N2:N119" si="2">L2/H2</f>
        <v>335.5704698</v>
      </c>
      <c r="O2" s="104">
        <f t="shared" ref="O2:O167" si="3">L2-J2</f>
        <v>150000</v>
      </c>
      <c r="P2" s="104">
        <v>70000.0</v>
      </c>
      <c r="Q2" s="107">
        <f t="shared" ref="Q2:Q89" si="4">MULTIPLY(0.06,L2)</f>
        <v>36000</v>
      </c>
      <c r="R2" s="60">
        <f t="shared" ref="R2:R202" si="5">0.05*S2</f>
        <v>27800</v>
      </c>
      <c r="S2" s="107">
        <f t="shared" ref="S2:S179" si="6">SUM(J2,P2,Q2)</f>
        <v>556000</v>
      </c>
      <c r="T2" s="107">
        <f t="shared" ref="T2:T50" si="7">O2-P2-Q2</f>
        <v>44000</v>
      </c>
      <c r="U2" s="108">
        <f t="shared" ref="U2:U179" si="8">T2-R2</f>
        <v>16200</v>
      </c>
      <c r="V2" s="109">
        <f t="shared" ref="V2:V179" si="9">DIVIDE(T2,S2)</f>
        <v>0.07913669065</v>
      </c>
      <c r="W2" s="107">
        <f t="shared" ref="W2:W179" si="10">(L2*0.75)-P2</f>
        <v>380000</v>
      </c>
      <c r="X2" s="107">
        <f t="shared" ref="X2:X93" si="11">W2-J2</f>
        <v>-70000</v>
      </c>
      <c r="Y2" s="66" t="s">
        <v>211</v>
      </c>
      <c r="AB2" s="61">
        <f t="shared" ref="AB2:AB157" si="12">SUM(AC2:AP2)</f>
        <v>16000</v>
      </c>
      <c r="AC2" s="66">
        <v>8000.0</v>
      </c>
      <c r="AD2" s="66">
        <f t="shared" ref="AD2:AD157" si="13">2000*G2</f>
        <v>6000</v>
      </c>
      <c r="AE2" s="61">
        <f t="shared" ref="AE2:AE157" si="14">2*M2</f>
        <v>0</v>
      </c>
      <c r="AF2" s="61">
        <f t="shared" ref="AF2:AF157" si="15">2*M2</f>
        <v>0</v>
      </c>
      <c r="AG2" s="61">
        <f t="shared" ref="AG2:AG157" si="16">3*M2</f>
        <v>0</v>
      </c>
      <c r="AI2" s="66">
        <v>2000.0</v>
      </c>
    </row>
    <row r="3" ht="15.75" customHeight="1">
      <c r="A3" s="66" t="s">
        <v>212</v>
      </c>
      <c r="C3" s="103">
        <v>42418.0</v>
      </c>
      <c r="E3" s="104" t="s">
        <v>117</v>
      </c>
      <c r="F3" s="105"/>
      <c r="G3" s="105"/>
      <c r="H3" s="104">
        <v>2000.0</v>
      </c>
      <c r="I3" s="104"/>
      <c r="J3" s="104">
        <v>470000.0</v>
      </c>
      <c r="K3" s="106">
        <f t="shared" si="1"/>
        <v>235</v>
      </c>
      <c r="L3" s="104">
        <v>630000.0</v>
      </c>
      <c r="M3" s="107"/>
      <c r="N3" s="106">
        <f t="shared" si="2"/>
        <v>315</v>
      </c>
      <c r="O3" s="104">
        <f t="shared" si="3"/>
        <v>160000</v>
      </c>
      <c r="P3" s="104">
        <v>30000.0</v>
      </c>
      <c r="Q3" s="107">
        <f t="shared" si="4"/>
        <v>37800</v>
      </c>
      <c r="R3" s="60">
        <f t="shared" si="5"/>
        <v>26890</v>
      </c>
      <c r="S3" s="107">
        <f t="shared" si="6"/>
        <v>537800</v>
      </c>
      <c r="T3" s="107">
        <f t="shared" si="7"/>
        <v>92200</v>
      </c>
      <c r="U3" s="108">
        <f t="shared" si="8"/>
        <v>65310</v>
      </c>
      <c r="V3" s="109">
        <f t="shared" si="9"/>
        <v>0.1714391967</v>
      </c>
      <c r="W3" s="107">
        <f t="shared" si="10"/>
        <v>442500</v>
      </c>
      <c r="X3" s="107">
        <f t="shared" si="11"/>
        <v>-27500</v>
      </c>
      <c r="Y3" s="66" t="s">
        <v>213</v>
      </c>
      <c r="AB3" s="61">
        <f t="shared" si="12"/>
        <v>10000</v>
      </c>
      <c r="AC3" s="66">
        <v>8000.0</v>
      </c>
      <c r="AD3" s="66">
        <f t="shared" si="13"/>
        <v>0</v>
      </c>
      <c r="AE3" s="61">
        <f t="shared" si="14"/>
        <v>0</v>
      </c>
      <c r="AF3" s="61">
        <f t="shared" si="15"/>
        <v>0</v>
      </c>
      <c r="AG3" s="61">
        <f t="shared" si="16"/>
        <v>0</v>
      </c>
      <c r="AI3" s="66">
        <v>2000.0</v>
      </c>
    </row>
    <row r="4" ht="15.75" customHeight="1">
      <c r="A4" s="66" t="s">
        <v>214</v>
      </c>
      <c r="B4" s="66" t="s">
        <v>116</v>
      </c>
      <c r="C4" s="103">
        <v>42418.0</v>
      </c>
      <c r="E4" s="104"/>
      <c r="F4" s="105"/>
      <c r="G4" s="105"/>
      <c r="H4" s="104">
        <v>2200.0</v>
      </c>
      <c r="I4" s="104"/>
      <c r="J4" s="104">
        <v>260000.0</v>
      </c>
      <c r="K4" s="106">
        <f t="shared" si="1"/>
        <v>118.1818182</v>
      </c>
      <c r="L4" s="104">
        <v>450000.0</v>
      </c>
      <c r="M4" s="107"/>
      <c r="N4" s="106">
        <f t="shared" si="2"/>
        <v>204.5454545</v>
      </c>
      <c r="O4" s="104">
        <f t="shared" si="3"/>
        <v>190000</v>
      </c>
      <c r="P4" s="104">
        <v>100000.0</v>
      </c>
      <c r="Q4" s="107">
        <f t="shared" si="4"/>
        <v>27000</v>
      </c>
      <c r="R4" s="60">
        <f t="shared" si="5"/>
        <v>19350</v>
      </c>
      <c r="S4" s="107">
        <f t="shared" si="6"/>
        <v>387000</v>
      </c>
      <c r="T4" s="107">
        <f t="shared" si="7"/>
        <v>63000</v>
      </c>
      <c r="U4" s="108">
        <f t="shared" si="8"/>
        <v>43650</v>
      </c>
      <c r="V4" s="109">
        <f t="shared" si="9"/>
        <v>0.1627906977</v>
      </c>
      <c r="W4" s="107">
        <f t="shared" si="10"/>
        <v>237500</v>
      </c>
      <c r="X4" s="107">
        <f t="shared" si="11"/>
        <v>-22500</v>
      </c>
      <c r="Y4" s="66" t="s">
        <v>211</v>
      </c>
      <c r="AB4" s="61">
        <f t="shared" si="12"/>
        <v>10000</v>
      </c>
      <c r="AC4" s="66">
        <v>8000.0</v>
      </c>
      <c r="AD4" s="66">
        <f t="shared" si="13"/>
        <v>0</v>
      </c>
      <c r="AE4" s="61">
        <f t="shared" si="14"/>
        <v>0</v>
      </c>
      <c r="AF4" s="61">
        <f t="shared" si="15"/>
        <v>0</v>
      </c>
      <c r="AG4" s="61">
        <f t="shared" si="16"/>
        <v>0</v>
      </c>
      <c r="AI4" s="66">
        <v>2000.0</v>
      </c>
    </row>
    <row r="5" ht="15.75" customHeight="1">
      <c r="A5" s="66" t="s">
        <v>215</v>
      </c>
      <c r="C5" s="103">
        <v>42420.0</v>
      </c>
      <c r="E5" s="104"/>
      <c r="F5" s="105"/>
      <c r="G5" s="105"/>
      <c r="H5" s="104"/>
      <c r="I5" s="104"/>
      <c r="J5" s="104"/>
      <c r="K5" s="106" t="str">
        <f t="shared" si="1"/>
        <v>#DIV/0!</v>
      </c>
      <c r="L5" s="104"/>
      <c r="M5" s="107"/>
      <c r="N5" s="106" t="str">
        <f t="shared" si="2"/>
        <v>#DIV/0!</v>
      </c>
      <c r="O5" s="104">
        <f t="shared" si="3"/>
        <v>0</v>
      </c>
      <c r="P5" s="104"/>
      <c r="Q5" s="107">
        <f t="shared" si="4"/>
        <v>0</v>
      </c>
      <c r="R5" s="60">
        <f t="shared" si="5"/>
        <v>0</v>
      </c>
      <c r="S5" s="107">
        <f t="shared" si="6"/>
        <v>0</v>
      </c>
      <c r="T5" s="107">
        <f t="shared" si="7"/>
        <v>0</v>
      </c>
      <c r="U5" s="108">
        <f t="shared" si="8"/>
        <v>0</v>
      </c>
      <c r="V5" s="109" t="str">
        <f t="shared" si="9"/>
        <v>#DIV/0!</v>
      </c>
      <c r="W5" s="107">
        <f t="shared" si="10"/>
        <v>0</v>
      </c>
      <c r="X5" s="107">
        <f t="shared" si="11"/>
        <v>0</v>
      </c>
      <c r="AB5" s="61">
        <f t="shared" si="12"/>
        <v>10000</v>
      </c>
      <c r="AC5" s="66">
        <v>8000.0</v>
      </c>
      <c r="AD5" s="66">
        <f t="shared" si="13"/>
        <v>0</v>
      </c>
      <c r="AE5" s="61">
        <f t="shared" si="14"/>
        <v>0</v>
      </c>
      <c r="AF5" s="61">
        <f t="shared" si="15"/>
        <v>0</v>
      </c>
      <c r="AG5" s="61">
        <f t="shared" si="16"/>
        <v>0</v>
      </c>
      <c r="AI5" s="66">
        <v>2000.0</v>
      </c>
    </row>
    <row r="6" ht="15.75" customHeight="1">
      <c r="A6" s="66" t="s">
        <v>216</v>
      </c>
      <c r="B6" s="66" t="s">
        <v>217</v>
      </c>
      <c r="C6" s="103">
        <v>42421.0</v>
      </c>
      <c r="E6" s="104"/>
      <c r="F6" s="105"/>
      <c r="G6" s="105"/>
      <c r="H6" s="104">
        <v>1176.0</v>
      </c>
      <c r="I6" s="104"/>
      <c r="J6" s="104">
        <v>150000.0</v>
      </c>
      <c r="K6" s="106">
        <f t="shared" si="1"/>
        <v>127.5510204</v>
      </c>
      <c r="L6" s="104">
        <v>235000.0</v>
      </c>
      <c r="M6" s="107"/>
      <c r="N6" s="106">
        <f t="shared" si="2"/>
        <v>199.829932</v>
      </c>
      <c r="O6" s="104">
        <f t="shared" si="3"/>
        <v>85000</v>
      </c>
      <c r="P6" s="104">
        <v>30000.0</v>
      </c>
      <c r="Q6" s="107">
        <f t="shared" si="4"/>
        <v>14100</v>
      </c>
      <c r="R6" s="60">
        <f t="shared" si="5"/>
        <v>9705</v>
      </c>
      <c r="S6" s="107">
        <f t="shared" si="6"/>
        <v>194100</v>
      </c>
      <c r="T6" s="107">
        <f t="shared" si="7"/>
        <v>40900</v>
      </c>
      <c r="U6" s="108">
        <f t="shared" si="8"/>
        <v>31195</v>
      </c>
      <c r="V6" s="109">
        <f t="shared" si="9"/>
        <v>0.2107161257</v>
      </c>
      <c r="W6" s="107">
        <f t="shared" si="10"/>
        <v>146250</v>
      </c>
      <c r="X6" s="107">
        <f t="shared" si="11"/>
        <v>-3750</v>
      </c>
      <c r="Y6" s="66" t="s">
        <v>218</v>
      </c>
      <c r="AB6" s="61">
        <f t="shared" si="12"/>
        <v>10000</v>
      </c>
      <c r="AC6" s="66">
        <v>8000.0</v>
      </c>
      <c r="AD6" s="66">
        <f t="shared" si="13"/>
        <v>0</v>
      </c>
      <c r="AE6" s="61">
        <f t="shared" si="14"/>
        <v>0</v>
      </c>
      <c r="AF6" s="61">
        <f t="shared" si="15"/>
        <v>0</v>
      </c>
      <c r="AG6" s="61">
        <f t="shared" si="16"/>
        <v>0</v>
      </c>
      <c r="AI6" s="66">
        <v>2000.0</v>
      </c>
    </row>
    <row r="7" ht="15.75" customHeight="1">
      <c r="A7" s="66" t="s">
        <v>219</v>
      </c>
      <c r="B7" s="66" t="s">
        <v>220</v>
      </c>
      <c r="C7" s="103">
        <v>42431.0</v>
      </c>
      <c r="E7" s="104"/>
      <c r="F7" s="105" t="s">
        <v>221</v>
      </c>
      <c r="G7" s="105" t="s">
        <v>222</v>
      </c>
      <c r="H7" s="104">
        <v>1720.0</v>
      </c>
      <c r="I7" s="104"/>
      <c r="J7" s="104">
        <v>265000.0</v>
      </c>
      <c r="K7" s="106">
        <f t="shared" si="1"/>
        <v>154.0697674</v>
      </c>
      <c r="L7" s="104">
        <v>400000.0</v>
      </c>
      <c r="M7" s="107"/>
      <c r="N7" s="106">
        <f t="shared" si="2"/>
        <v>232.5581395</v>
      </c>
      <c r="O7" s="104">
        <f t="shared" si="3"/>
        <v>135000</v>
      </c>
      <c r="P7" s="104">
        <v>50000.0</v>
      </c>
      <c r="Q7" s="107">
        <f t="shared" si="4"/>
        <v>24000</v>
      </c>
      <c r="R7" s="60">
        <f t="shared" si="5"/>
        <v>16950</v>
      </c>
      <c r="S7" s="107">
        <f t="shared" si="6"/>
        <v>339000</v>
      </c>
      <c r="T7" s="107">
        <f t="shared" si="7"/>
        <v>61000</v>
      </c>
      <c r="U7" s="108">
        <f t="shared" si="8"/>
        <v>44050</v>
      </c>
      <c r="V7" s="109">
        <f t="shared" si="9"/>
        <v>0.1799410029</v>
      </c>
      <c r="W7" s="107">
        <f t="shared" si="10"/>
        <v>250000</v>
      </c>
      <c r="X7" s="107">
        <f t="shared" si="11"/>
        <v>-15000</v>
      </c>
      <c r="Y7" s="66" t="s">
        <v>223</v>
      </c>
      <c r="AB7" s="61" t="str">
        <f t="shared" si="12"/>
        <v>#VALUE!</v>
      </c>
      <c r="AC7" s="66">
        <v>8000.0</v>
      </c>
      <c r="AD7" s="66" t="str">
        <f t="shared" si="13"/>
        <v>#VALUE!</v>
      </c>
      <c r="AE7" s="61">
        <f t="shared" si="14"/>
        <v>0</v>
      </c>
      <c r="AF7" s="61">
        <f t="shared" si="15"/>
        <v>0</v>
      </c>
      <c r="AG7" s="61">
        <f t="shared" si="16"/>
        <v>0</v>
      </c>
      <c r="AI7" s="66">
        <v>2000.0</v>
      </c>
    </row>
    <row r="8" ht="15.75" customHeight="1">
      <c r="A8" s="66" t="s">
        <v>224</v>
      </c>
      <c r="B8" s="66" t="s">
        <v>225</v>
      </c>
      <c r="C8" s="103">
        <v>42431.0</v>
      </c>
      <c r="E8" s="104"/>
      <c r="F8" s="105" t="s">
        <v>221</v>
      </c>
      <c r="G8" s="105" t="s">
        <v>226</v>
      </c>
      <c r="H8" s="104">
        <v>1516.0</v>
      </c>
      <c r="I8" s="104"/>
      <c r="J8" s="104">
        <v>70000.0</v>
      </c>
      <c r="K8" s="106">
        <f t="shared" si="1"/>
        <v>46.17414248</v>
      </c>
      <c r="L8" s="104">
        <v>200000.0</v>
      </c>
      <c r="M8" s="107"/>
      <c r="N8" s="106">
        <f t="shared" si="2"/>
        <v>131.9261214</v>
      </c>
      <c r="O8" s="104">
        <f t="shared" si="3"/>
        <v>130000</v>
      </c>
      <c r="P8" s="104">
        <v>80000.0</v>
      </c>
      <c r="Q8" s="107">
        <f t="shared" si="4"/>
        <v>12000</v>
      </c>
      <c r="R8" s="60">
        <f t="shared" si="5"/>
        <v>8100</v>
      </c>
      <c r="S8" s="107">
        <f t="shared" si="6"/>
        <v>162000</v>
      </c>
      <c r="T8" s="107">
        <f t="shared" si="7"/>
        <v>38000</v>
      </c>
      <c r="U8" s="108">
        <f t="shared" si="8"/>
        <v>29900</v>
      </c>
      <c r="V8" s="109">
        <f t="shared" si="9"/>
        <v>0.2345679012</v>
      </c>
      <c r="W8" s="107">
        <f t="shared" si="10"/>
        <v>70000</v>
      </c>
      <c r="X8" s="107">
        <f t="shared" si="11"/>
        <v>0</v>
      </c>
      <c r="Y8" s="66" t="s">
        <v>223</v>
      </c>
      <c r="AB8" s="61" t="str">
        <f t="shared" si="12"/>
        <v>#VALUE!</v>
      </c>
      <c r="AC8" s="66">
        <v>8000.0</v>
      </c>
      <c r="AD8" s="66" t="str">
        <f t="shared" si="13"/>
        <v>#VALUE!</v>
      </c>
      <c r="AE8" s="61">
        <f t="shared" si="14"/>
        <v>0</v>
      </c>
      <c r="AF8" s="61">
        <f t="shared" si="15"/>
        <v>0</v>
      </c>
      <c r="AG8" s="61">
        <f t="shared" si="16"/>
        <v>0</v>
      </c>
      <c r="AI8" s="66">
        <v>2000.0</v>
      </c>
    </row>
    <row r="9" ht="15.75" customHeight="1">
      <c r="A9" s="66" t="s">
        <v>227</v>
      </c>
      <c r="B9" s="66" t="s">
        <v>228</v>
      </c>
      <c r="C9" s="103">
        <v>42432.0</v>
      </c>
      <c r="E9" s="104" t="s">
        <v>119</v>
      </c>
      <c r="F9" s="105" t="s">
        <v>229</v>
      </c>
      <c r="G9" s="105" t="s">
        <v>230</v>
      </c>
      <c r="H9" s="104">
        <v>2105.0</v>
      </c>
      <c r="I9" s="104"/>
      <c r="J9" s="104">
        <v>300000.0</v>
      </c>
      <c r="K9" s="106">
        <f t="shared" si="1"/>
        <v>142.5178147</v>
      </c>
      <c r="L9" s="104">
        <v>440000.0</v>
      </c>
      <c r="M9" s="107"/>
      <c r="N9" s="106">
        <f t="shared" si="2"/>
        <v>209.0261283</v>
      </c>
      <c r="O9" s="104">
        <f t="shared" si="3"/>
        <v>140000</v>
      </c>
      <c r="P9" s="104">
        <v>50000.0</v>
      </c>
      <c r="Q9" s="107">
        <f t="shared" si="4"/>
        <v>26400</v>
      </c>
      <c r="R9" s="60">
        <f t="shared" si="5"/>
        <v>18820</v>
      </c>
      <c r="S9" s="107">
        <f t="shared" si="6"/>
        <v>376400</v>
      </c>
      <c r="T9" s="107">
        <f t="shared" si="7"/>
        <v>63600</v>
      </c>
      <c r="U9" s="108">
        <f t="shared" si="8"/>
        <v>44780</v>
      </c>
      <c r="V9" s="109">
        <f t="shared" si="9"/>
        <v>0.1689691817</v>
      </c>
      <c r="W9" s="107">
        <f t="shared" si="10"/>
        <v>280000</v>
      </c>
      <c r="X9" s="107">
        <f t="shared" si="11"/>
        <v>-20000</v>
      </c>
      <c r="Y9" s="66" t="s">
        <v>231</v>
      </c>
      <c r="AB9" s="61" t="str">
        <f t="shared" si="12"/>
        <v>#VALUE!</v>
      </c>
      <c r="AC9" s="66">
        <v>8000.0</v>
      </c>
      <c r="AD9" s="66" t="str">
        <f t="shared" si="13"/>
        <v>#VALUE!</v>
      </c>
      <c r="AE9" s="61">
        <f t="shared" si="14"/>
        <v>0</v>
      </c>
      <c r="AF9" s="61">
        <f t="shared" si="15"/>
        <v>0</v>
      </c>
      <c r="AG9" s="61">
        <f t="shared" si="16"/>
        <v>0</v>
      </c>
      <c r="AI9" s="66">
        <v>2000.0</v>
      </c>
    </row>
    <row r="10" ht="15.75" customHeight="1">
      <c r="A10" s="66" t="s">
        <v>232</v>
      </c>
      <c r="B10" s="66" t="s">
        <v>233</v>
      </c>
      <c r="C10" s="103">
        <v>42432.0</v>
      </c>
      <c r="D10" s="66">
        <v>1.6012382E7</v>
      </c>
      <c r="E10" s="104" t="s">
        <v>119</v>
      </c>
      <c r="F10" s="105" t="s">
        <v>229</v>
      </c>
      <c r="G10" s="105" t="s">
        <v>234</v>
      </c>
      <c r="H10" s="104">
        <v>1678.0</v>
      </c>
      <c r="I10" s="104"/>
      <c r="J10" s="104">
        <v>320000.0</v>
      </c>
      <c r="K10" s="106">
        <f t="shared" si="1"/>
        <v>190.7032181</v>
      </c>
      <c r="L10" s="104">
        <v>348872.0</v>
      </c>
      <c r="M10" s="107"/>
      <c r="N10" s="106">
        <f t="shared" si="2"/>
        <v>207.909416</v>
      </c>
      <c r="O10" s="104">
        <f t="shared" si="3"/>
        <v>28872</v>
      </c>
      <c r="P10" s="104">
        <v>50000.0</v>
      </c>
      <c r="Q10" s="107">
        <f t="shared" si="4"/>
        <v>20932.32</v>
      </c>
      <c r="R10" s="60">
        <f t="shared" si="5"/>
        <v>19546.616</v>
      </c>
      <c r="S10" s="107">
        <f t="shared" si="6"/>
        <v>390932.32</v>
      </c>
      <c r="T10" s="107">
        <f t="shared" si="7"/>
        <v>-42060.32</v>
      </c>
      <c r="U10" s="108">
        <f t="shared" si="8"/>
        <v>-61606.936</v>
      </c>
      <c r="V10" s="109">
        <f t="shared" si="9"/>
        <v>-0.1075897741</v>
      </c>
      <c r="W10" s="107">
        <f t="shared" si="10"/>
        <v>211654</v>
      </c>
      <c r="X10" s="107">
        <f t="shared" si="11"/>
        <v>-108346</v>
      </c>
      <c r="Y10" s="66" t="s">
        <v>231</v>
      </c>
      <c r="AB10" s="61" t="str">
        <f t="shared" si="12"/>
        <v>#VALUE!</v>
      </c>
      <c r="AC10" s="66">
        <v>8000.0</v>
      </c>
      <c r="AD10" s="66" t="str">
        <f t="shared" si="13"/>
        <v>#VALUE!</v>
      </c>
      <c r="AE10" s="61">
        <f t="shared" si="14"/>
        <v>0</v>
      </c>
      <c r="AF10" s="61">
        <f t="shared" si="15"/>
        <v>0</v>
      </c>
      <c r="AG10" s="61">
        <f t="shared" si="16"/>
        <v>0</v>
      </c>
      <c r="AI10" s="66">
        <v>2000.0</v>
      </c>
    </row>
    <row r="11" ht="15.75" customHeight="1">
      <c r="A11" s="66" t="s">
        <v>235</v>
      </c>
      <c r="B11" s="66" t="s">
        <v>236</v>
      </c>
      <c r="C11" s="103">
        <v>42433.0</v>
      </c>
      <c r="E11" s="104"/>
      <c r="F11" s="105" t="s">
        <v>56</v>
      </c>
      <c r="G11" s="105" t="s">
        <v>237</v>
      </c>
      <c r="H11" s="104">
        <v>1900.0</v>
      </c>
      <c r="I11" s="104"/>
      <c r="J11" s="104">
        <v>350000.0</v>
      </c>
      <c r="K11" s="106">
        <f t="shared" si="1"/>
        <v>184.2105263</v>
      </c>
      <c r="L11" s="104">
        <v>500000.0</v>
      </c>
      <c r="M11" s="107"/>
      <c r="N11" s="106">
        <f t="shared" si="2"/>
        <v>263.1578947</v>
      </c>
      <c r="O11" s="104">
        <f t="shared" si="3"/>
        <v>150000</v>
      </c>
      <c r="P11" s="104">
        <v>50000.0</v>
      </c>
      <c r="Q11" s="107">
        <f t="shared" si="4"/>
        <v>30000</v>
      </c>
      <c r="R11" s="60">
        <f t="shared" si="5"/>
        <v>21500</v>
      </c>
      <c r="S11" s="107">
        <f t="shared" si="6"/>
        <v>430000</v>
      </c>
      <c r="T11" s="107">
        <f t="shared" si="7"/>
        <v>70000</v>
      </c>
      <c r="U11" s="108">
        <f t="shared" si="8"/>
        <v>48500</v>
      </c>
      <c r="V11" s="109">
        <f t="shared" si="9"/>
        <v>0.1627906977</v>
      </c>
      <c r="W11" s="107">
        <f t="shared" si="10"/>
        <v>325000</v>
      </c>
      <c r="X11" s="107">
        <f t="shared" si="11"/>
        <v>-25000</v>
      </c>
      <c r="Y11" s="66" t="s">
        <v>223</v>
      </c>
      <c r="AB11" s="61">
        <f t="shared" si="12"/>
        <v>15000</v>
      </c>
      <c r="AC11" s="66">
        <v>8000.0</v>
      </c>
      <c r="AD11" s="66">
        <f t="shared" si="13"/>
        <v>5000</v>
      </c>
      <c r="AE11" s="61">
        <f t="shared" si="14"/>
        <v>0</v>
      </c>
      <c r="AF11" s="61">
        <f t="shared" si="15"/>
        <v>0</v>
      </c>
      <c r="AG11" s="61">
        <f t="shared" si="16"/>
        <v>0</v>
      </c>
      <c r="AI11" s="66">
        <v>2000.0</v>
      </c>
    </row>
    <row r="12" ht="15.75" customHeight="1">
      <c r="A12" s="66" t="s">
        <v>238</v>
      </c>
      <c r="C12" s="103">
        <v>42438.0</v>
      </c>
      <c r="D12" s="66"/>
      <c r="E12" s="104" t="s">
        <v>119</v>
      </c>
      <c r="F12" s="105"/>
      <c r="G12" s="105"/>
      <c r="H12" s="104">
        <v>1366.0</v>
      </c>
      <c r="I12" s="104"/>
      <c r="J12" s="104">
        <v>260000.0</v>
      </c>
      <c r="K12" s="106">
        <f t="shared" si="1"/>
        <v>190.3367496</v>
      </c>
      <c r="L12" s="104">
        <v>365000.0</v>
      </c>
      <c r="M12" s="107"/>
      <c r="N12" s="106">
        <f t="shared" si="2"/>
        <v>267.2035139</v>
      </c>
      <c r="O12" s="104">
        <f t="shared" si="3"/>
        <v>105000</v>
      </c>
      <c r="P12" s="104">
        <v>50000.0</v>
      </c>
      <c r="Q12" s="107">
        <f t="shared" si="4"/>
        <v>21900</v>
      </c>
      <c r="R12" s="60">
        <f t="shared" si="5"/>
        <v>16595</v>
      </c>
      <c r="S12" s="107">
        <f t="shared" si="6"/>
        <v>331900</v>
      </c>
      <c r="T12" s="107">
        <f t="shared" si="7"/>
        <v>33100</v>
      </c>
      <c r="U12" s="108">
        <f t="shared" si="8"/>
        <v>16505</v>
      </c>
      <c r="V12" s="109">
        <f t="shared" si="9"/>
        <v>0.09972883399</v>
      </c>
      <c r="W12" s="107">
        <f t="shared" si="10"/>
        <v>223750</v>
      </c>
      <c r="X12" s="107">
        <f t="shared" si="11"/>
        <v>-36250</v>
      </c>
      <c r="Y12" s="66" t="s">
        <v>223</v>
      </c>
      <c r="AB12" s="61">
        <f t="shared" si="12"/>
        <v>10000</v>
      </c>
      <c r="AC12" s="66">
        <v>8000.0</v>
      </c>
      <c r="AD12" s="66">
        <f t="shared" si="13"/>
        <v>0</v>
      </c>
      <c r="AE12" s="61">
        <f t="shared" si="14"/>
        <v>0</v>
      </c>
      <c r="AF12" s="61">
        <f t="shared" si="15"/>
        <v>0</v>
      </c>
      <c r="AG12" s="61">
        <f t="shared" si="16"/>
        <v>0</v>
      </c>
      <c r="AI12" s="66">
        <v>2000.0</v>
      </c>
    </row>
    <row r="13" ht="15.75" customHeight="1">
      <c r="A13" s="66" t="s">
        <v>239</v>
      </c>
      <c r="B13" s="66" t="s">
        <v>240</v>
      </c>
      <c r="C13" s="103">
        <v>42438.0</v>
      </c>
      <c r="E13" s="104"/>
      <c r="F13" s="105"/>
      <c r="G13" s="105"/>
      <c r="H13" s="104">
        <v>1900.0</v>
      </c>
      <c r="I13" s="104"/>
      <c r="J13" s="104">
        <v>240000.0</v>
      </c>
      <c r="K13" s="106">
        <f t="shared" si="1"/>
        <v>126.3157895</v>
      </c>
      <c r="L13" s="104">
        <v>270000.0</v>
      </c>
      <c r="M13" s="107"/>
      <c r="N13" s="106">
        <f t="shared" si="2"/>
        <v>142.1052632</v>
      </c>
      <c r="O13" s="104">
        <f t="shared" si="3"/>
        <v>30000</v>
      </c>
      <c r="P13" s="104">
        <v>0.0</v>
      </c>
      <c r="Q13" s="107">
        <f t="shared" si="4"/>
        <v>16200</v>
      </c>
      <c r="R13" s="60">
        <f t="shared" si="5"/>
        <v>12810</v>
      </c>
      <c r="S13" s="107">
        <f t="shared" si="6"/>
        <v>256200</v>
      </c>
      <c r="T13" s="107">
        <f t="shared" si="7"/>
        <v>13800</v>
      </c>
      <c r="U13" s="108">
        <f t="shared" si="8"/>
        <v>990</v>
      </c>
      <c r="V13" s="109">
        <f t="shared" si="9"/>
        <v>0.05386416862</v>
      </c>
      <c r="W13" s="107">
        <f t="shared" si="10"/>
        <v>202500</v>
      </c>
      <c r="X13" s="107">
        <f t="shared" si="11"/>
        <v>-37500</v>
      </c>
      <c r="Y13" s="66" t="s">
        <v>241</v>
      </c>
      <c r="AB13" s="61">
        <f t="shared" si="12"/>
        <v>10000</v>
      </c>
      <c r="AC13" s="66">
        <v>8000.0</v>
      </c>
      <c r="AD13" s="66">
        <f t="shared" si="13"/>
        <v>0</v>
      </c>
      <c r="AE13" s="61">
        <f t="shared" si="14"/>
        <v>0</v>
      </c>
      <c r="AF13" s="61">
        <f t="shared" si="15"/>
        <v>0</v>
      </c>
      <c r="AG13" s="61">
        <f t="shared" si="16"/>
        <v>0</v>
      </c>
      <c r="AI13" s="66">
        <v>2000.0</v>
      </c>
    </row>
    <row r="14" ht="15.75" customHeight="1">
      <c r="A14" s="66" t="s">
        <v>242</v>
      </c>
      <c r="C14" s="103">
        <v>42439.0</v>
      </c>
      <c r="D14" s="66">
        <v>1.6011023E7</v>
      </c>
      <c r="E14" s="104"/>
      <c r="F14" s="105" t="s">
        <v>243</v>
      </c>
      <c r="G14" s="105"/>
      <c r="H14" s="104">
        <v>1248.0</v>
      </c>
      <c r="I14" s="104"/>
      <c r="J14" s="104">
        <v>145000.0</v>
      </c>
      <c r="K14" s="106">
        <f t="shared" si="1"/>
        <v>116.1858974</v>
      </c>
      <c r="L14" s="104">
        <v>220000.0</v>
      </c>
      <c r="M14" s="107"/>
      <c r="N14" s="106">
        <f t="shared" si="2"/>
        <v>176.2820513</v>
      </c>
      <c r="O14" s="104">
        <f t="shared" si="3"/>
        <v>75000</v>
      </c>
      <c r="P14" s="104">
        <v>30000.0</v>
      </c>
      <c r="Q14" s="107">
        <f t="shared" si="4"/>
        <v>13200</v>
      </c>
      <c r="R14" s="60">
        <f t="shared" si="5"/>
        <v>9410</v>
      </c>
      <c r="S14" s="107">
        <f t="shared" si="6"/>
        <v>188200</v>
      </c>
      <c r="T14" s="107">
        <f t="shared" si="7"/>
        <v>31800</v>
      </c>
      <c r="U14" s="108">
        <f t="shared" si="8"/>
        <v>22390</v>
      </c>
      <c r="V14" s="109">
        <f t="shared" si="9"/>
        <v>0.1689691817</v>
      </c>
      <c r="W14" s="107">
        <f t="shared" si="10"/>
        <v>135000</v>
      </c>
      <c r="X14" s="107">
        <f t="shared" si="11"/>
        <v>-10000</v>
      </c>
      <c r="Y14" s="66" t="s">
        <v>244</v>
      </c>
      <c r="AB14" s="61">
        <f t="shared" si="12"/>
        <v>10000</v>
      </c>
      <c r="AC14" s="66">
        <v>8000.0</v>
      </c>
      <c r="AD14" s="66">
        <f t="shared" si="13"/>
        <v>0</v>
      </c>
      <c r="AE14" s="61">
        <f t="shared" si="14"/>
        <v>0</v>
      </c>
      <c r="AF14" s="61">
        <f t="shared" si="15"/>
        <v>0</v>
      </c>
      <c r="AG14" s="61">
        <f t="shared" si="16"/>
        <v>0</v>
      </c>
      <c r="AI14" s="66">
        <v>2000.0</v>
      </c>
    </row>
    <row r="15" ht="15.75" customHeight="1">
      <c r="A15" s="66" t="s">
        <v>245</v>
      </c>
      <c r="C15" s="103">
        <v>42439.0</v>
      </c>
      <c r="E15" s="104"/>
      <c r="F15" s="105" t="s">
        <v>56</v>
      </c>
      <c r="G15" s="105" t="s">
        <v>237</v>
      </c>
      <c r="H15" s="104">
        <v>1453.0</v>
      </c>
      <c r="I15" s="104"/>
      <c r="J15" s="104">
        <v>200000.0</v>
      </c>
      <c r="K15" s="106">
        <f t="shared" si="1"/>
        <v>137.6462491</v>
      </c>
      <c r="L15" s="104">
        <v>300000.0</v>
      </c>
      <c r="M15" s="107"/>
      <c r="N15" s="106">
        <f t="shared" si="2"/>
        <v>206.4693737</v>
      </c>
      <c r="O15" s="104">
        <f t="shared" si="3"/>
        <v>100000</v>
      </c>
      <c r="P15" s="104">
        <v>50000.0</v>
      </c>
      <c r="Q15" s="107">
        <f t="shared" si="4"/>
        <v>18000</v>
      </c>
      <c r="R15" s="60">
        <f t="shared" si="5"/>
        <v>13400</v>
      </c>
      <c r="S15" s="107">
        <f t="shared" si="6"/>
        <v>268000</v>
      </c>
      <c r="T15" s="107">
        <f t="shared" si="7"/>
        <v>32000</v>
      </c>
      <c r="U15" s="108">
        <f t="shared" si="8"/>
        <v>18600</v>
      </c>
      <c r="V15" s="109">
        <f t="shared" si="9"/>
        <v>0.1194029851</v>
      </c>
      <c r="W15" s="107">
        <f t="shared" si="10"/>
        <v>175000</v>
      </c>
      <c r="X15" s="107">
        <f t="shared" si="11"/>
        <v>-25000</v>
      </c>
      <c r="Y15" s="66" t="s">
        <v>223</v>
      </c>
      <c r="AB15" s="61">
        <f t="shared" si="12"/>
        <v>15000</v>
      </c>
      <c r="AC15" s="66">
        <v>8000.0</v>
      </c>
      <c r="AD15" s="66">
        <f t="shared" si="13"/>
        <v>5000</v>
      </c>
      <c r="AE15" s="61">
        <f t="shared" si="14"/>
        <v>0</v>
      </c>
      <c r="AF15" s="61">
        <f t="shared" si="15"/>
        <v>0</v>
      </c>
      <c r="AG15" s="61">
        <f t="shared" si="16"/>
        <v>0</v>
      </c>
      <c r="AI15" s="66">
        <v>2000.0</v>
      </c>
    </row>
    <row r="16" ht="15.75" customHeight="1">
      <c r="A16" s="66" t="s">
        <v>246</v>
      </c>
      <c r="B16" s="66" t="s">
        <v>247</v>
      </c>
      <c r="C16" s="103">
        <v>42439.0</v>
      </c>
      <c r="D16" s="66">
        <v>1.6014003E7</v>
      </c>
      <c r="E16" s="104"/>
      <c r="F16" s="105" t="s">
        <v>56</v>
      </c>
      <c r="G16" s="105" t="s">
        <v>57</v>
      </c>
      <c r="H16" s="104">
        <v>1328.0</v>
      </c>
      <c r="I16" s="104"/>
      <c r="J16" s="104">
        <v>200000.0</v>
      </c>
      <c r="K16" s="106">
        <f t="shared" si="1"/>
        <v>150.6024096</v>
      </c>
      <c r="L16" s="104">
        <v>305000.0</v>
      </c>
      <c r="M16" s="107"/>
      <c r="N16" s="106">
        <f t="shared" si="2"/>
        <v>229.6686747</v>
      </c>
      <c r="O16" s="104">
        <f t="shared" si="3"/>
        <v>105000</v>
      </c>
      <c r="P16" s="104">
        <v>40000.0</v>
      </c>
      <c r="Q16" s="107">
        <f t="shared" si="4"/>
        <v>18300</v>
      </c>
      <c r="R16" s="60">
        <f t="shared" si="5"/>
        <v>12915</v>
      </c>
      <c r="S16" s="107">
        <f t="shared" si="6"/>
        <v>258300</v>
      </c>
      <c r="T16" s="107">
        <f t="shared" si="7"/>
        <v>46700</v>
      </c>
      <c r="U16" s="108">
        <f t="shared" si="8"/>
        <v>33785</v>
      </c>
      <c r="V16" s="109">
        <f t="shared" si="9"/>
        <v>0.1807975223</v>
      </c>
      <c r="W16" s="107">
        <f t="shared" si="10"/>
        <v>188750</v>
      </c>
      <c r="X16" s="107">
        <f t="shared" si="11"/>
        <v>-11250</v>
      </c>
      <c r="Y16" s="66" t="s">
        <v>223</v>
      </c>
      <c r="AB16" s="61">
        <f t="shared" si="12"/>
        <v>14000</v>
      </c>
      <c r="AC16" s="66">
        <v>8000.0</v>
      </c>
      <c r="AD16" s="66">
        <f t="shared" si="13"/>
        <v>4000</v>
      </c>
      <c r="AE16" s="61">
        <f t="shared" si="14"/>
        <v>0</v>
      </c>
      <c r="AF16" s="61">
        <f t="shared" si="15"/>
        <v>0</v>
      </c>
      <c r="AG16" s="61">
        <f t="shared" si="16"/>
        <v>0</v>
      </c>
      <c r="AI16" s="66">
        <v>2000.0</v>
      </c>
    </row>
    <row r="17" ht="15.75" customHeight="1">
      <c r="A17" s="66" t="s">
        <v>248</v>
      </c>
      <c r="B17" s="66" t="s">
        <v>249</v>
      </c>
      <c r="C17" s="103">
        <v>42440.0</v>
      </c>
      <c r="E17" s="104" t="s">
        <v>250</v>
      </c>
      <c r="F17" s="105" t="s">
        <v>56</v>
      </c>
      <c r="G17" s="105" t="s">
        <v>57</v>
      </c>
      <c r="H17" s="104">
        <v>1560.0</v>
      </c>
      <c r="I17" s="104"/>
      <c r="J17" s="104">
        <v>270000.0</v>
      </c>
      <c r="K17" s="106">
        <f t="shared" si="1"/>
        <v>173.0769231</v>
      </c>
      <c r="L17" s="104">
        <v>450000.0</v>
      </c>
      <c r="M17" s="107"/>
      <c r="N17" s="106">
        <f t="shared" si="2"/>
        <v>288.4615385</v>
      </c>
      <c r="O17" s="104">
        <f t="shared" si="3"/>
        <v>180000</v>
      </c>
      <c r="P17" s="104">
        <v>70000.0</v>
      </c>
      <c r="Q17" s="107">
        <f t="shared" si="4"/>
        <v>27000</v>
      </c>
      <c r="R17" s="60">
        <f t="shared" si="5"/>
        <v>18350</v>
      </c>
      <c r="S17" s="107">
        <f t="shared" si="6"/>
        <v>367000</v>
      </c>
      <c r="T17" s="107">
        <f t="shared" si="7"/>
        <v>83000</v>
      </c>
      <c r="U17" s="108">
        <f t="shared" si="8"/>
        <v>64650</v>
      </c>
      <c r="V17" s="109">
        <f t="shared" si="9"/>
        <v>0.2261580381</v>
      </c>
      <c r="W17" s="107">
        <f t="shared" si="10"/>
        <v>267500</v>
      </c>
      <c r="X17" s="107">
        <f t="shared" si="11"/>
        <v>-2500</v>
      </c>
      <c r="Y17" s="66" t="s">
        <v>223</v>
      </c>
      <c r="AB17" s="61">
        <f t="shared" si="12"/>
        <v>14000</v>
      </c>
      <c r="AC17" s="66">
        <v>8000.0</v>
      </c>
      <c r="AD17" s="66">
        <f t="shared" si="13"/>
        <v>4000</v>
      </c>
      <c r="AE17" s="61">
        <f t="shared" si="14"/>
        <v>0</v>
      </c>
      <c r="AF17" s="61">
        <f t="shared" si="15"/>
        <v>0</v>
      </c>
      <c r="AG17" s="61">
        <f t="shared" si="16"/>
        <v>0</v>
      </c>
      <c r="AI17" s="66">
        <v>2000.0</v>
      </c>
    </row>
    <row r="18" ht="15.75" customHeight="1">
      <c r="A18" s="66" t="s">
        <v>251</v>
      </c>
      <c r="C18" s="103">
        <v>42442.0</v>
      </c>
      <c r="E18" s="104"/>
      <c r="F18" s="105" t="s">
        <v>56</v>
      </c>
      <c r="G18" s="105" t="s">
        <v>57</v>
      </c>
      <c r="H18" s="104">
        <v>1395.0</v>
      </c>
      <c r="I18" s="104"/>
      <c r="J18" s="104">
        <v>240000.0</v>
      </c>
      <c r="K18" s="106">
        <f t="shared" si="1"/>
        <v>172.0430108</v>
      </c>
      <c r="L18" s="104">
        <v>300000.0</v>
      </c>
      <c r="M18" s="107"/>
      <c r="N18" s="106">
        <f t="shared" si="2"/>
        <v>215.0537634</v>
      </c>
      <c r="O18" s="104">
        <f t="shared" si="3"/>
        <v>60000</v>
      </c>
      <c r="P18" s="104">
        <v>30000.0</v>
      </c>
      <c r="Q18" s="107">
        <f t="shared" si="4"/>
        <v>18000</v>
      </c>
      <c r="R18" s="60">
        <f t="shared" si="5"/>
        <v>14400</v>
      </c>
      <c r="S18" s="107">
        <f t="shared" si="6"/>
        <v>288000</v>
      </c>
      <c r="T18" s="107">
        <f t="shared" si="7"/>
        <v>12000</v>
      </c>
      <c r="U18" s="108">
        <f t="shared" si="8"/>
        <v>-2400</v>
      </c>
      <c r="V18" s="109">
        <f t="shared" si="9"/>
        <v>0.04166666667</v>
      </c>
      <c r="W18" s="107">
        <f t="shared" si="10"/>
        <v>195000</v>
      </c>
      <c r="X18" s="107">
        <f t="shared" si="11"/>
        <v>-45000</v>
      </c>
      <c r="Y18" s="66" t="s">
        <v>252</v>
      </c>
      <c r="AB18" s="61">
        <f t="shared" si="12"/>
        <v>14000</v>
      </c>
      <c r="AC18" s="66">
        <v>8000.0</v>
      </c>
      <c r="AD18" s="66">
        <f t="shared" si="13"/>
        <v>4000</v>
      </c>
      <c r="AE18" s="61">
        <f t="shared" si="14"/>
        <v>0</v>
      </c>
      <c r="AF18" s="61">
        <f t="shared" si="15"/>
        <v>0</v>
      </c>
      <c r="AG18" s="61">
        <f t="shared" si="16"/>
        <v>0</v>
      </c>
      <c r="AI18" s="66">
        <v>2000.0</v>
      </c>
    </row>
    <row r="19" ht="15.75" customHeight="1">
      <c r="A19" s="66" t="s">
        <v>253</v>
      </c>
      <c r="B19" s="66" t="s">
        <v>254</v>
      </c>
      <c r="C19" s="103">
        <v>42442.0</v>
      </c>
      <c r="E19" s="104"/>
      <c r="F19" s="105" t="s">
        <v>56</v>
      </c>
      <c r="G19" s="105" t="s">
        <v>237</v>
      </c>
      <c r="H19" s="104">
        <v>1336.0</v>
      </c>
      <c r="I19" s="104"/>
      <c r="J19" s="104">
        <v>175000.0</v>
      </c>
      <c r="K19" s="106">
        <f t="shared" si="1"/>
        <v>130.988024</v>
      </c>
      <c r="L19" s="104">
        <v>250000.0</v>
      </c>
      <c r="M19" s="107"/>
      <c r="N19" s="106">
        <f t="shared" si="2"/>
        <v>187.1257485</v>
      </c>
      <c r="O19" s="104">
        <f t="shared" si="3"/>
        <v>75000</v>
      </c>
      <c r="P19" s="104">
        <v>30000.0</v>
      </c>
      <c r="Q19" s="107">
        <f t="shared" si="4"/>
        <v>15000</v>
      </c>
      <c r="R19" s="60">
        <f t="shared" si="5"/>
        <v>11000</v>
      </c>
      <c r="S19" s="107">
        <f t="shared" si="6"/>
        <v>220000</v>
      </c>
      <c r="T19" s="107">
        <f t="shared" si="7"/>
        <v>30000</v>
      </c>
      <c r="U19" s="108">
        <f t="shared" si="8"/>
        <v>19000</v>
      </c>
      <c r="V19" s="109">
        <f t="shared" si="9"/>
        <v>0.1363636364</v>
      </c>
      <c r="W19" s="107">
        <f t="shared" si="10"/>
        <v>157500</v>
      </c>
      <c r="X19" s="107">
        <f t="shared" si="11"/>
        <v>-17500</v>
      </c>
      <c r="Y19" s="66" t="s">
        <v>252</v>
      </c>
      <c r="AB19" s="61">
        <f t="shared" si="12"/>
        <v>15000</v>
      </c>
      <c r="AC19" s="66">
        <v>8000.0</v>
      </c>
      <c r="AD19" s="66">
        <f t="shared" si="13"/>
        <v>5000</v>
      </c>
      <c r="AE19" s="61">
        <f t="shared" si="14"/>
        <v>0</v>
      </c>
      <c r="AF19" s="61">
        <f t="shared" si="15"/>
        <v>0</v>
      </c>
      <c r="AG19" s="61">
        <f t="shared" si="16"/>
        <v>0</v>
      </c>
      <c r="AI19" s="66">
        <v>2000.0</v>
      </c>
    </row>
    <row r="20" ht="15.75" customHeight="1">
      <c r="A20" s="66" t="s">
        <v>255</v>
      </c>
      <c r="C20" s="103">
        <v>42444.0</v>
      </c>
      <c r="D20" s="66">
        <v>1.6005105E7</v>
      </c>
      <c r="E20" s="104"/>
      <c r="F20" s="105" t="s">
        <v>93</v>
      </c>
      <c r="G20" s="105" t="s">
        <v>256</v>
      </c>
      <c r="H20" s="104">
        <v>3400.0</v>
      </c>
      <c r="I20" s="104"/>
      <c r="J20" s="104">
        <v>85000.0</v>
      </c>
      <c r="K20" s="106">
        <f t="shared" si="1"/>
        <v>25</v>
      </c>
      <c r="L20" s="104">
        <v>250000.0</v>
      </c>
      <c r="M20" s="107"/>
      <c r="N20" s="106">
        <f t="shared" si="2"/>
        <v>73.52941176</v>
      </c>
      <c r="O20" s="104">
        <f t="shared" si="3"/>
        <v>165000</v>
      </c>
      <c r="P20" s="104">
        <v>102000.0</v>
      </c>
      <c r="Q20" s="107">
        <f t="shared" si="4"/>
        <v>15000</v>
      </c>
      <c r="R20" s="60">
        <f t="shared" si="5"/>
        <v>10100</v>
      </c>
      <c r="S20" s="107">
        <f t="shared" si="6"/>
        <v>202000</v>
      </c>
      <c r="T20" s="107">
        <f t="shared" si="7"/>
        <v>48000</v>
      </c>
      <c r="U20" s="108">
        <f t="shared" si="8"/>
        <v>37900</v>
      </c>
      <c r="V20" s="109">
        <f t="shared" si="9"/>
        <v>0.2376237624</v>
      </c>
      <c r="W20" s="107">
        <f t="shared" si="10"/>
        <v>85500</v>
      </c>
      <c r="X20" s="107">
        <f t="shared" si="11"/>
        <v>500</v>
      </c>
      <c r="AB20" s="61">
        <f t="shared" si="12"/>
        <v>17000</v>
      </c>
      <c r="AC20" s="66">
        <v>8000.0</v>
      </c>
      <c r="AD20" s="66">
        <f t="shared" si="13"/>
        <v>7000</v>
      </c>
      <c r="AE20" s="61">
        <f t="shared" si="14"/>
        <v>0</v>
      </c>
      <c r="AF20" s="61">
        <f t="shared" si="15"/>
        <v>0</v>
      </c>
      <c r="AG20" s="61">
        <f t="shared" si="16"/>
        <v>0</v>
      </c>
      <c r="AI20" s="66">
        <v>2000.0</v>
      </c>
    </row>
    <row r="21" ht="15.75" customHeight="1">
      <c r="A21" s="66" t="s">
        <v>257</v>
      </c>
      <c r="C21" s="103">
        <v>42445.0</v>
      </c>
      <c r="E21" s="104"/>
      <c r="F21" s="105" t="s">
        <v>56</v>
      </c>
      <c r="G21" s="105" t="s">
        <v>57</v>
      </c>
      <c r="H21" s="104">
        <v>1336.0</v>
      </c>
      <c r="I21" s="104"/>
      <c r="J21" s="104">
        <v>195000.0</v>
      </c>
      <c r="K21" s="106">
        <f t="shared" si="1"/>
        <v>145.9580838</v>
      </c>
      <c r="L21" s="104">
        <v>256000.0</v>
      </c>
      <c r="M21" s="107"/>
      <c r="N21" s="106">
        <f t="shared" si="2"/>
        <v>191.6167665</v>
      </c>
      <c r="O21" s="104">
        <f t="shared" si="3"/>
        <v>61000</v>
      </c>
      <c r="P21" s="104">
        <v>15000.0</v>
      </c>
      <c r="Q21" s="107">
        <f t="shared" si="4"/>
        <v>15360</v>
      </c>
      <c r="R21" s="60">
        <f t="shared" si="5"/>
        <v>11268</v>
      </c>
      <c r="S21" s="107">
        <f t="shared" si="6"/>
        <v>225360</v>
      </c>
      <c r="T21" s="107">
        <f t="shared" si="7"/>
        <v>30640</v>
      </c>
      <c r="U21" s="108">
        <f t="shared" si="8"/>
        <v>19372</v>
      </c>
      <c r="V21" s="109">
        <f t="shared" si="9"/>
        <v>0.1359602414</v>
      </c>
      <c r="W21" s="107">
        <f t="shared" si="10"/>
        <v>177000</v>
      </c>
      <c r="X21" s="107">
        <f t="shared" si="11"/>
        <v>-18000</v>
      </c>
      <c r="Y21" s="66" t="s">
        <v>258</v>
      </c>
      <c r="AB21" s="61">
        <f t="shared" si="12"/>
        <v>14000</v>
      </c>
      <c r="AC21" s="66">
        <v>8000.0</v>
      </c>
      <c r="AD21" s="66">
        <f t="shared" si="13"/>
        <v>4000</v>
      </c>
      <c r="AE21" s="61">
        <f t="shared" si="14"/>
        <v>0</v>
      </c>
      <c r="AF21" s="61">
        <f t="shared" si="15"/>
        <v>0</v>
      </c>
      <c r="AG21" s="61">
        <f t="shared" si="16"/>
        <v>0</v>
      </c>
      <c r="AI21" s="66">
        <v>2000.0</v>
      </c>
    </row>
    <row r="22" ht="15.75" customHeight="1">
      <c r="A22" s="66" t="s">
        <v>259</v>
      </c>
      <c r="C22" s="103">
        <v>42446.0</v>
      </c>
      <c r="E22" s="104" t="s">
        <v>119</v>
      </c>
      <c r="F22" s="105" t="s">
        <v>93</v>
      </c>
      <c r="G22" s="105" t="s">
        <v>57</v>
      </c>
      <c r="H22" s="104">
        <v>1300.0</v>
      </c>
      <c r="I22" s="104"/>
      <c r="J22" s="104">
        <v>240000.0</v>
      </c>
      <c r="K22" s="106">
        <f t="shared" si="1"/>
        <v>184.6153846</v>
      </c>
      <c r="L22" s="104">
        <v>315000.0</v>
      </c>
      <c r="M22" s="107"/>
      <c r="N22" s="106">
        <f t="shared" si="2"/>
        <v>242.3076923</v>
      </c>
      <c r="O22" s="104">
        <f t="shared" si="3"/>
        <v>75000</v>
      </c>
      <c r="P22" s="104">
        <v>20000.0</v>
      </c>
      <c r="Q22" s="107">
        <f t="shared" si="4"/>
        <v>18900</v>
      </c>
      <c r="R22" s="60">
        <f t="shared" si="5"/>
        <v>13945</v>
      </c>
      <c r="S22" s="107">
        <f t="shared" si="6"/>
        <v>278900</v>
      </c>
      <c r="T22" s="107">
        <f t="shared" si="7"/>
        <v>36100</v>
      </c>
      <c r="U22" s="108">
        <f t="shared" si="8"/>
        <v>22155</v>
      </c>
      <c r="V22" s="109">
        <f t="shared" si="9"/>
        <v>0.1294370742</v>
      </c>
      <c r="W22" s="107">
        <f t="shared" si="10"/>
        <v>216250</v>
      </c>
      <c r="X22" s="107">
        <f t="shared" si="11"/>
        <v>-23750</v>
      </c>
      <c r="Y22" s="66" t="s">
        <v>252</v>
      </c>
      <c r="AB22" s="61">
        <f t="shared" si="12"/>
        <v>14000</v>
      </c>
      <c r="AC22" s="66">
        <v>8000.0</v>
      </c>
      <c r="AD22" s="66">
        <f t="shared" si="13"/>
        <v>4000</v>
      </c>
      <c r="AE22" s="61">
        <f t="shared" si="14"/>
        <v>0</v>
      </c>
      <c r="AF22" s="61">
        <f t="shared" si="15"/>
        <v>0</v>
      </c>
      <c r="AG22" s="61">
        <f t="shared" si="16"/>
        <v>0</v>
      </c>
      <c r="AI22" s="66">
        <v>2000.0</v>
      </c>
    </row>
    <row r="23" ht="15.75" customHeight="1">
      <c r="A23" s="66" t="s">
        <v>260</v>
      </c>
      <c r="B23" s="66" t="s">
        <v>261</v>
      </c>
      <c r="C23" s="103">
        <v>42453.0</v>
      </c>
      <c r="E23" s="104" t="s">
        <v>117</v>
      </c>
      <c r="F23" s="105" t="s">
        <v>56</v>
      </c>
      <c r="G23" s="105" t="s">
        <v>57</v>
      </c>
      <c r="H23" s="104">
        <v>1414.0</v>
      </c>
      <c r="I23" s="104"/>
      <c r="J23" s="104">
        <v>250000.0</v>
      </c>
      <c r="K23" s="106">
        <f t="shared" si="1"/>
        <v>176.8033946</v>
      </c>
      <c r="L23" s="104">
        <v>300000.0</v>
      </c>
      <c r="M23" s="107"/>
      <c r="N23" s="106">
        <f t="shared" si="2"/>
        <v>212.1640736</v>
      </c>
      <c r="O23" s="104">
        <f t="shared" si="3"/>
        <v>50000</v>
      </c>
      <c r="P23" s="104">
        <v>8000.0</v>
      </c>
      <c r="Q23" s="107">
        <f t="shared" si="4"/>
        <v>18000</v>
      </c>
      <c r="R23" s="60">
        <f t="shared" si="5"/>
        <v>13800</v>
      </c>
      <c r="S23" s="107">
        <f t="shared" si="6"/>
        <v>276000</v>
      </c>
      <c r="T23" s="107">
        <f t="shared" si="7"/>
        <v>24000</v>
      </c>
      <c r="U23" s="108">
        <f t="shared" si="8"/>
        <v>10200</v>
      </c>
      <c r="V23" s="109">
        <f t="shared" si="9"/>
        <v>0.08695652174</v>
      </c>
      <c r="W23" s="107">
        <f t="shared" si="10"/>
        <v>217000</v>
      </c>
      <c r="X23" s="107">
        <f t="shared" si="11"/>
        <v>-33000</v>
      </c>
      <c r="Y23" s="66" t="s">
        <v>188</v>
      </c>
      <c r="AB23" s="61">
        <f t="shared" si="12"/>
        <v>14000</v>
      </c>
      <c r="AC23" s="66">
        <v>8000.0</v>
      </c>
      <c r="AD23" s="66">
        <f t="shared" si="13"/>
        <v>4000</v>
      </c>
      <c r="AE23" s="61">
        <f t="shared" si="14"/>
        <v>0</v>
      </c>
      <c r="AF23" s="61">
        <f t="shared" si="15"/>
        <v>0</v>
      </c>
      <c r="AG23" s="61">
        <f t="shared" si="16"/>
        <v>0</v>
      </c>
      <c r="AI23" s="66">
        <v>2000.0</v>
      </c>
    </row>
    <row r="24" ht="15.75" customHeight="1">
      <c r="A24" s="66" t="s">
        <v>262</v>
      </c>
      <c r="B24" s="66" t="s">
        <v>263</v>
      </c>
      <c r="C24" s="103">
        <v>42454.0</v>
      </c>
      <c r="E24" s="104" t="s">
        <v>119</v>
      </c>
      <c r="F24" s="105"/>
      <c r="G24" s="105"/>
      <c r="H24" s="104"/>
      <c r="I24" s="104"/>
      <c r="J24" s="104">
        <v>175000.0</v>
      </c>
      <c r="K24" s="106" t="str">
        <f t="shared" si="1"/>
        <v>#DIV/0!</v>
      </c>
      <c r="L24" s="104">
        <v>625000.0</v>
      </c>
      <c r="M24" s="107"/>
      <c r="N24" s="106" t="str">
        <f t="shared" si="2"/>
        <v>#DIV/0!</v>
      </c>
      <c r="O24" s="104">
        <f t="shared" si="3"/>
        <v>450000</v>
      </c>
      <c r="P24" s="104">
        <v>300000.0</v>
      </c>
      <c r="Q24" s="107">
        <f t="shared" si="4"/>
        <v>37500</v>
      </c>
      <c r="R24" s="60">
        <f t="shared" si="5"/>
        <v>25625</v>
      </c>
      <c r="S24" s="107">
        <f t="shared" si="6"/>
        <v>512500</v>
      </c>
      <c r="T24" s="107">
        <f t="shared" si="7"/>
        <v>112500</v>
      </c>
      <c r="U24" s="108">
        <f t="shared" si="8"/>
        <v>86875</v>
      </c>
      <c r="V24" s="109">
        <f t="shared" si="9"/>
        <v>0.2195121951</v>
      </c>
      <c r="W24" s="107">
        <f t="shared" si="10"/>
        <v>168750</v>
      </c>
      <c r="X24" s="107">
        <f t="shared" si="11"/>
        <v>-6250</v>
      </c>
      <c r="Y24" s="66" t="s">
        <v>264</v>
      </c>
      <c r="AB24" s="61">
        <f t="shared" si="12"/>
        <v>10000</v>
      </c>
      <c r="AC24" s="66">
        <v>8000.0</v>
      </c>
      <c r="AD24" s="66">
        <f t="shared" si="13"/>
        <v>0</v>
      </c>
      <c r="AE24" s="61">
        <f t="shared" si="14"/>
        <v>0</v>
      </c>
      <c r="AF24" s="61">
        <f t="shared" si="15"/>
        <v>0</v>
      </c>
      <c r="AG24" s="61">
        <f t="shared" si="16"/>
        <v>0</v>
      </c>
      <c r="AI24" s="66">
        <v>2000.0</v>
      </c>
    </row>
    <row r="25" ht="15.75" customHeight="1">
      <c r="A25" s="66" t="s">
        <v>265</v>
      </c>
      <c r="C25" s="103">
        <v>42454.0</v>
      </c>
      <c r="E25" s="104" t="s">
        <v>117</v>
      </c>
      <c r="F25" s="105" t="s">
        <v>56</v>
      </c>
      <c r="G25" s="105" t="s">
        <v>81</v>
      </c>
      <c r="H25" s="104">
        <v>962.0</v>
      </c>
      <c r="I25" s="104"/>
      <c r="J25" s="104">
        <v>50000.0</v>
      </c>
      <c r="K25" s="106">
        <f t="shared" si="1"/>
        <v>51.97505198</v>
      </c>
      <c r="L25" s="104">
        <v>150000.0</v>
      </c>
      <c r="M25" s="107"/>
      <c r="N25" s="106">
        <f t="shared" si="2"/>
        <v>155.9251559</v>
      </c>
      <c r="O25" s="104">
        <f t="shared" si="3"/>
        <v>100000</v>
      </c>
      <c r="P25" s="104">
        <v>50000.0</v>
      </c>
      <c r="Q25" s="107">
        <f t="shared" si="4"/>
        <v>9000</v>
      </c>
      <c r="R25" s="60">
        <f t="shared" si="5"/>
        <v>5450</v>
      </c>
      <c r="S25" s="107">
        <f t="shared" si="6"/>
        <v>109000</v>
      </c>
      <c r="T25" s="107">
        <f t="shared" si="7"/>
        <v>41000</v>
      </c>
      <c r="U25" s="108">
        <f t="shared" si="8"/>
        <v>35550</v>
      </c>
      <c r="V25" s="109">
        <f t="shared" si="9"/>
        <v>0.376146789</v>
      </c>
      <c r="W25" s="107">
        <f t="shared" si="10"/>
        <v>62500</v>
      </c>
      <c r="X25" s="107">
        <f t="shared" si="11"/>
        <v>12500</v>
      </c>
      <c r="Y25" s="66" t="s">
        <v>266</v>
      </c>
      <c r="AB25" s="61">
        <f t="shared" si="12"/>
        <v>12000</v>
      </c>
      <c r="AC25" s="66">
        <v>8000.0</v>
      </c>
      <c r="AD25" s="66">
        <f t="shared" si="13"/>
        <v>2000</v>
      </c>
      <c r="AE25" s="61">
        <f t="shared" si="14"/>
        <v>0</v>
      </c>
      <c r="AF25" s="61">
        <f t="shared" si="15"/>
        <v>0</v>
      </c>
      <c r="AG25" s="61">
        <f t="shared" si="16"/>
        <v>0</v>
      </c>
      <c r="AI25" s="66">
        <v>2000.0</v>
      </c>
    </row>
    <row r="26" ht="15.75" customHeight="1">
      <c r="A26" s="66" t="s">
        <v>267</v>
      </c>
      <c r="B26" s="66" t="s">
        <v>268</v>
      </c>
      <c r="C26" s="103">
        <v>42457.0</v>
      </c>
      <c r="D26" s="66">
        <v>1.5043602E7</v>
      </c>
      <c r="E26" s="104" t="s">
        <v>119</v>
      </c>
      <c r="F26" s="105" t="s">
        <v>56</v>
      </c>
      <c r="G26" s="105" t="s">
        <v>237</v>
      </c>
      <c r="H26" s="104">
        <v>2116.0</v>
      </c>
      <c r="I26" s="104"/>
      <c r="J26" s="104">
        <v>260000.0</v>
      </c>
      <c r="K26" s="106">
        <f t="shared" si="1"/>
        <v>122.8733459</v>
      </c>
      <c r="L26" s="104">
        <v>335000.0</v>
      </c>
      <c r="M26" s="107"/>
      <c r="N26" s="106">
        <f t="shared" si="2"/>
        <v>158.3175803</v>
      </c>
      <c r="O26" s="104">
        <f t="shared" si="3"/>
        <v>75000</v>
      </c>
      <c r="P26" s="104">
        <v>25000.0</v>
      </c>
      <c r="Q26" s="107">
        <f t="shared" si="4"/>
        <v>20100</v>
      </c>
      <c r="R26" s="60">
        <f t="shared" si="5"/>
        <v>15255</v>
      </c>
      <c r="S26" s="107">
        <f t="shared" si="6"/>
        <v>305100</v>
      </c>
      <c r="T26" s="107">
        <f t="shared" si="7"/>
        <v>29900</v>
      </c>
      <c r="U26" s="108">
        <f t="shared" si="8"/>
        <v>14645</v>
      </c>
      <c r="V26" s="109">
        <f t="shared" si="9"/>
        <v>0.09800065552</v>
      </c>
      <c r="W26" s="107">
        <f t="shared" si="10"/>
        <v>226250</v>
      </c>
      <c r="X26" s="107">
        <f t="shared" si="11"/>
        <v>-33750</v>
      </c>
      <c r="AB26" s="61">
        <f t="shared" si="12"/>
        <v>15000</v>
      </c>
      <c r="AC26" s="66">
        <v>8000.0</v>
      </c>
      <c r="AD26" s="66">
        <f t="shared" si="13"/>
        <v>5000</v>
      </c>
      <c r="AE26" s="61">
        <f t="shared" si="14"/>
        <v>0</v>
      </c>
      <c r="AF26" s="61">
        <f t="shared" si="15"/>
        <v>0</v>
      </c>
      <c r="AG26" s="61">
        <f t="shared" si="16"/>
        <v>0</v>
      </c>
      <c r="AI26" s="66">
        <v>2000.0</v>
      </c>
    </row>
    <row r="27" ht="15.75" customHeight="1">
      <c r="A27" s="66" t="s">
        <v>269</v>
      </c>
      <c r="B27" s="66" t="s">
        <v>270</v>
      </c>
      <c r="E27" s="104"/>
      <c r="F27" s="105"/>
      <c r="G27" s="105"/>
      <c r="H27" s="104">
        <v>1500.0</v>
      </c>
      <c r="I27" s="104"/>
      <c r="J27" s="104">
        <v>260000.0</v>
      </c>
      <c r="K27" s="106">
        <f t="shared" si="1"/>
        <v>173.3333333</v>
      </c>
      <c r="L27" s="104">
        <v>450000.0</v>
      </c>
      <c r="M27" s="107"/>
      <c r="N27" s="106">
        <f t="shared" si="2"/>
        <v>300</v>
      </c>
      <c r="O27" s="104">
        <f t="shared" si="3"/>
        <v>190000</v>
      </c>
      <c r="P27" s="104">
        <v>100000.0</v>
      </c>
      <c r="Q27" s="107">
        <f t="shared" si="4"/>
        <v>27000</v>
      </c>
      <c r="R27" s="60">
        <f t="shared" si="5"/>
        <v>19350</v>
      </c>
      <c r="S27" s="107">
        <f t="shared" si="6"/>
        <v>387000</v>
      </c>
      <c r="T27" s="107">
        <f t="shared" si="7"/>
        <v>63000</v>
      </c>
      <c r="U27" s="108">
        <f t="shared" si="8"/>
        <v>43650</v>
      </c>
      <c r="V27" s="109">
        <f t="shared" si="9"/>
        <v>0.1627906977</v>
      </c>
      <c r="W27" s="107">
        <f t="shared" si="10"/>
        <v>237500</v>
      </c>
      <c r="X27" s="107">
        <f t="shared" si="11"/>
        <v>-22500</v>
      </c>
      <c r="AB27" s="61">
        <f t="shared" si="12"/>
        <v>10000</v>
      </c>
      <c r="AC27" s="66">
        <v>8000.0</v>
      </c>
      <c r="AD27" s="66">
        <f t="shared" si="13"/>
        <v>0</v>
      </c>
      <c r="AE27" s="61">
        <f t="shared" si="14"/>
        <v>0</v>
      </c>
      <c r="AF27" s="61">
        <f t="shared" si="15"/>
        <v>0</v>
      </c>
      <c r="AG27" s="61">
        <f t="shared" si="16"/>
        <v>0</v>
      </c>
      <c r="AI27" s="66">
        <v>2000.0</v>
      </c>
    </row>
    <row r="28" ht="15.75" customHeight="1">
      <c r="A28" s="66" t="s">
        <v>271</v>
      </c>
      <c r="B28" s="66" t="s">
        <v>270</v>
      </c>
      <c r="E28" s="104"/>
      <c r="F28" s="105"/>
      <c r="G28" s="105"/>
      <c r="H28" s="104">
        <v>1700.0</v>
      </c>
      <c r="I28" s="104"/>
      <c r="J28" s="104">
        <v>215000.0</v>
      </c>
      <c r="K28" s="106">
        <f t="shared" si="1"/>
        <v>126.4705882</v>
      </c>
      <c r="L28" s="104">
        <v>625000.0</v>
      </c>
      <c r="M28" s="107"/>
      <c r="N28" s="106">
        <f t="shared" si="2"/>
        <v>367.6470588</v>
      </c>
      <c r="O28" s="104">
        <f t="shared" si="3"/>
        <v>410000</v>
      </c>
      <c r="P28" s="104">
        <v>255000.0</v>
      </c>
      <c r="Q28" s="107">
        <f t="shared" si="4"/>
        <v>37500</v>
      </c>
      <c r="R28" s="60">
        <f t="shared" si="5"/>
        <v>25375</v>
      </c>
      <c r="S28" s="107">
        <f t="shared" si="6"/>
        <v>507500</v>
      </c>
      <c r="T28" s="107">
        <f t="shared" si="7"/>
        <v>117500</v>
      </c>
      <c r="U28" s="108">
        <f t="shared" si="8"/>
        <v>92125</v>
      </c>
      <c r="V28" s="109">
        <f t="shared" si="9"/>
        <v>0.2315270936</v>
      </c>
      <c r="W28" s="107">
        <f t="shared" si="10"/>
        <v>213750</v>
      </c>
      <c r="X28" s="107">
        <f t="shared" si="11"/>
        <v>-1250</v>
      </c>
      <c r="AB28" s="61">
        <f t="shared" si="12"/>
        <v>10000</v>
      </c>
      <c r="AC28" s="66">
        <v>8000.0</v>
      </c>
      <c r="AD28" s="66">
        <f t="shared" si="13"/>
        <v>0</v>
      </c>
      <c r="AE28" s="61">
        <f t="shared" si="14"/>
        <v>0</v>
      </c>
      <c r="AF28" s="61">
        <f t="shared" si="15"/>
        <v>0</v>
      </c>
      <c r="AG28" s="61">
        <f t="shared" si="16"/>
        <v>0</v>
      </c>
      <c r="AI28" s="66">
        <v>2000.0</v>
      </c>
    </row>
    <row r="29" ht="15.75" customHeight="1">
      <c r="A29" s="66" t="s">
        <v>272</v>
      </c>
      <c r="B29" s="66" t="s">
        <v>273</v>
      </c>
      <c r="E29" s="104"/>
      <c r="F29" s="105"/>
      <c r="G29" s="105"/>
      <c r="H29" s="104"/>
      <c r="I29" s="104"/>
      <c r="J29" s="104">
        <v>299000.0</v>
      </c>
      <c r="K29" s="106" t="str">
        <f t="shared" si="1"/>
        <v>#DIV/0!</v>
      </c>
      <c r="L29" s="104">
        <v>700000.0</v>
      </c>
      <c r="M29" s="107"/>
      <c r="N29" s="106" t="str">
        <f t="shared" si="2"/>
        <v>#DIV/0!</v>
      </c>
      <c r="O29" s="104">
        <f t="shared" si="3"/>
        <v>401000</v>
      </c>
      <c r="P29" s="104">
        <v>300000.0</v>
      </c>
      <c r="Q29" s="107">
        <f t="shared" si="4"/>
        <v>42000</v>
      </c>
      <c r="R29" s="60">
        <f t="shared" si="5"/>
        <v>32050</v>
      </c>
      <c r="S29" s="107">
        <f t="shared" si="6"/>
        <v>641000</v>
      </c>
      <c r="T29" s="107">
        <f t="shared" si="7"/>
        <v>59000</v>
      </c>
      <c r="U29" s="108">
        <f t="shared" si="8"/>
        <v>26950</v>
      </c>
      <c r="V29" s="109">
        <f t="shared" si="9"/>
        <v>0.09204368175</v>
      </c>
      <c r="W29" s="107">
        <f t="shared" si="10"/>
        <v>225000</v>
      </c>
      <c r="X29" s="107">
        <f t="shared" si="11"/>
        <v>-74000</v>
      </c>
      <c r="AB29" s="61">
        <f t="shared" si="12"/>
        <v>10000</v>
      </c>
      <c r="AC29" s="66">
        <v>8000.0</v>
      </c>
      <c r="AD29" s="66">
        <f t="shared" si="13"/>
        <v>0</v>
      </c>
      <c r="AE29" s="61">
        <f t="shared" si="14"/>
        <v>0</v>
      </c>
      <c r="AF29" s="61">
        <f t="shared" si="15"/>
        <v>0</v>
      </c>
      <c r="AG29" s="61">
        <f t="shared" si="16"/>
        <v>0</v>
      </c>
      <c r="AI29" s="66">
        <v>2000.0</v>
      </c>
    </row>
    <row r="30" ht="15.75" customHeight="1">
      <c r="A30" s="66" t="s">
        <v>274</v>
      </c>
      <c r="B30" s="66" t="s">
        <v>275</v>
      </c>
      <c r="C30" s="110">
        <v>42461.0</v>
      </c>
      <c r="E30" s="104"/>
      <c r="F30" s="105"/>
      <c r="G30" s="105"/>
      <c r="H30" s="104">
        <v>1513.0</v>
      </c>
      <c r="I30" s="104"/>
      <c r="J30" s="104">
        <v>245000.0</v>
      </c>
      <c r="K30" s="106">
        <f t="shared" si="1"/>
        <v>161.9299405</v>
      </c>
      <c r="L30" s="104">
        <v>275000.0</v>
      </c>
      <c r="M30" s="107"/>
      <c r="N30" s="106">
        <f t="shared" si="2"/>
        <v>181.7580965</v>
      </c>
      <c r="O30" s="104">
        <f t="shared" si="3"/>
        <v>30000</v>
      </c>
      <c r="P30" s="104">
        <v>20000.0</v>
      </c>
      <c r="Q30" s="107">
        <f t="shared" si="4"/>
        <v>16500</v>
      </c>
      <c r="R30" s="60">
        <f t="shared" si="5"/>
        <v>14075</v>
      </c>
      <c r="S30" s="107">
        <f t="shared" si="6"/>
        <v>281500</v>
      </c>
      <c r="T30" s="107">
        <f t="shared" si="7"/>
        <v>-6500</v>
      </c>
      <c r="U30" s="108">
        <f t="shared" si="8"/>
        <v>-20575</v>
      </c>
      <c r="V30" s="109">
        <f t="shared" si="9"/>
        <v>-0.02309058615</v>
      </c>
      <c r="W30" s="107">
        <f t="shared" si="10"/>
        <v>186250</v>
      </c>
      <c r="X30" s="107">
        <f t="shared" si="11"/>
        <v>-58750</v>
      </c>
      <c r="AB30" s="61">
        <f t="shared" si="12"/>
        <v>10000</v>
      </c>
      <c r="AC30" s="66">
        <v>8000.0</v>
      </c>
      <c r="AD30" s="66">
        <f t="shared" si="13"/>
        <v>0</v>
      </c>
      <c r="AE30" s="61">
        <f t="shared" si="14"/>
        <v>0</v>
      </c>
      <c r="AF30" s="61">
        <f t="shared" si="15"/>
        <v>0</v>
      </c>
      <c r="AG30" s="61">
        <f t="shared" si="16"/>
        <v>0</v>
      </c>
      <c r="AI30" s="66">
        <v>2000.0</v>
      </c>
    </row>
    <row r="31" ht="15.75" customHeight="1">
      <c r="A31" s="66" t="s">
        <v>276</v>
      </c>
      <c r="C31" s="103">
        <v>42472.0</v>
      </c>
      <c r="E31" s="104" t="s">
        <v>119</v>
      </c>
      <c r="F31" s="105"/>
      <c r="G31" s="105"/>
      <c r="H31" s="104">
        <v>826.0</v>
      </c>
      <c r="I31" s="104"/>
      <c r="J31" s="104">
        <v>65000.0</v>
      </c>
      <c r="K31" s="106">
        <f t="shared" si="1"/>
        <v>78.69249395</v>
      </c>
      <c r="L31" s="104">
        <v>81000.0</v>
      </c>
      <c r="M31" s="107"/>
      <c r="N31" s="106">
        <f t="shared" si="2"/>
        <v>98.062954</v>
      </c>
      <c r="O31" s="104">
        <f t="shared" si="3"/>
        <v>16000</v>
      </c>
      <c r="P31" s="104">
        <v>10000.0</v>
      </c>
      <c r="Q31" s="107">
        <f t="shared" si="4"/>
        <v>4860</v>
      </c>
      <c r="R31" s="60">
        <f t="shared" si="5"/>
        <v>3993</v>
      </c>
      <c r="S31" s="107">
        <f t="shared" si="6"/>
        <v>79860</v>
      </c>
      <c r="T31" s="107">
        <f t="shared" si="7"/>
        <v>1140</v>
      </c>
      <c r="U31" s="108">
        <f t="shared" si="8"/>
        <v>-2853</v>
      </c>
      <c r="V31" s="109">
        <f t="shared" si="9"/>
        <v>0.01427498122</v>
      </c>
      <c r="W31" s="107">
        <f t="shared" si="10"/>
        <v>50750</v>
      </c>
      <c r="X31" s="107">
        <f t="shared" si="11"/>
        <v>-14250</v>
      </c>
      <c r="Y31" s="66" t="s">
        <v>277</v>
      </c>
      <c r="AB31" s="61">
        <f t="shared" si="12"/>
        <v>10000</v>
      </c>
      <c r="AC31" s="66">
        <v>8000.0</v>
      </c>
      <c r="AD31" s="66">
        <f t="shared" si="13"/>
        <v>0</v>
      </c>
      <c r="AE31" s="61">
        <f t="shared" si="14"/>
        <v>0</v>
      </c>
      <c r="AF31" s="61">
        <f t="shared" si="15"/>
        <v>0</v>
      </c>
      <c r="AG31" s="61">
        <f t="shared" si="16"/>
        <v>0</v>
      </c>
      <c r="AI31" s="66">
        <v>2000.0</v>
      </c>
    </row>
    <row r="32" ht="15.75" customHeight="1">
      <c r="A32" s="66" t="s">
        <v>278</v>
      </c>
      <c r="E32" s="104"/>
      <c r="F32" s="105"/>
      <c r="G32" s="105"/>
      <c r="H32" s="104"/>
      <c r="I32" s="104"/>
      <c r="J32" s="104">
        <v>130000.0</v>
      </c>
      <c r="K32" s="106" t="str">
        <f t="shared" si="1"/>
        <v>#DIV/0!</v>
      </c>
      <c r="L32" s="104">
        <v>513000.0</v>
      </c>
      <c r="M32" s="107"/>
      <c r="N32" s="106" t="str">
        <f t="shared" si="2"/>
        <v>#DIV/0!</v>
      </c>
      <c r="O32" s="104">
        <f t="shared" si="3"/>
        <v>383000</v>
      </c>
      <c r="P32" s="104">
        <v>240000.0</v>
      </c>
      <c r="Q32" s="107">
        <f t="shared" si="4"/>
        <v>30780</v>
      </c>
      <c r="R32" s="60">
        <f t="shared" si="5"/>
        <v>20039</v>
      </c>
      <c r="S32" s="107">
        <f t="shared" si="6"/>
        <v>400780</v>
      </c>
      <c r="T32" s="107">
        <f t="shared" si="7"/>
        <v>112220</v>
      </c>
      <c r="U32" s="108">
        <f t="shared" si="8"/>
        <v>92181</v>
      </c>
      <c r="V32" s="109">
        <f t="shared" si="9"/>
        <v>0.2800039922</v>
      </c>
      <c r="W32" s="107">
        <f t="shared" si="10"/>
        <v>144750</v>
      </c>
      <c r="X32" s="107">
        <f t="shared" si="11"/>
        <v>14750</v>
      </c>
      <c r="AB32" s="61">
        <f t="shared" si="12"/>
        <v>10000</v>
      </c>
      <c r="AC32" s="66">
        <v>8000.0</v>
      </c>
      <c r="AD32" s="66">
        <f t="shared" si="13"/>
        <v>0</v>
      </c>
      <c r="AE32" s="61">
        <f t="shared" si="14"/>
        <v>0</v>
      </c>
      <c r="AF32" s="61">
        <f t="shared" si="15"/>
        <v>0</v>
      </c>
      <c r="AG32" s="61">
        <f t="shared" si="16"/>
        <v>0</v>
      </c>
      <c r="AI32" s="66">
        <v>2000.0</v>
      </c>
    </row>
    <row r="33" ht="15.75" customHeight="1">
      <c r="A33" s="66" t="s">
        <v>279</v>
      </c>
      <c r="E33" s="104"/>
      <c r="F33" s="105"/>
      <c r="G33" s="105"/>
      <c r="H33" s="104">
        <v>714.0</v>
      </c>
      <c r="I33" s="104"/>
      <c r="J33" s="104">
        <v>180000.0</v>
      </c>
      <c r="K33" s="106">
        <f t="shared" si="1"/>
        <v>252.1008403</v>
      </c>
      <c r="L33" s="104">
        <v>285000.0</v>
      </c>
      <c r="M33" s="107"/>
      <c r="N33" s="106">
        <f t="shared" si="2"/>
        <v>399.1596639</v>
      </c>
      <c r="O33" s="104">
        <f t="shared" si="3"/>
        <v>105000</v>
      </c>
      <c r="P33" s="104">
        <v>30000.0</v>
      </c>
      <c r="Q33" s="107">
        <f t="shared" si="4"/>
        <v>17100</v>
      </c>
      <c r="R33" s="60">
        <f t="shared" si="5"/>
        <v>11355</v>
      </c>
      <c r="S33" s="107">
        <f t="shared" si="6"/>
        <v>227100</v>
      </c>
      <c r="T33" s="107">
        <f t="shared" si="7"/>
        <v>57900</v>
      </c>
      <c r="U33" s="108">
        <f t="shared" si="8"/>
        <v>46545</v>
      </c>
      <c r="V33" s="109">
        <f t="shared" si="9"/>
        <v>0.2549537649</v>
      </c>
      <c r="W33" s="107">
        <f t="shared" si="10"/>
        <v>183750</v>
      </c>
      <c r="X33" s="107">
        <f t="shared" si="11"/>
        <v>3750</v>
      </c>
      <c r="Y33" s="66" t="s">
        <v>277</v>
      </c>
      <c r="AB33" s="61">
        <f t="shared" si="12"/>
        <v>10000</v>
      </c>
      <c r="AC33" s="66">
        <v>8000.0</v>
      </c>
      <c r="AD33" s="66">
        <f t="shared" si="13"/>
        <v>0</v>
      </c>
      <c r="AE33" s="61">
        <f t="shared" si="14"/>
        <v>0</v>
      </c>
      <c r="AF33" s="61">
        <f t="shared" si="15"/>
        <v>0</v>
      </c>
      <c r="AG33" s="61">
        <f t="shared" si="16"/>
        <v>0</v>
      </c>
      <c r="AI33" s="66">
        <v>2000.0</v>
      </c>
    </row>
    <row r="34" ht="15.75" customHeight="1">
      <c r="A34" s="66" t="s">
        <v>280</v>
      </c>
      <c r="C34" s="110">
        <v>42475.0</v>
      </c>
      <c r="E34" s="104"/>
      <c r="F34" s="105"/>
      <c r="G34" s="105"/>
      <c r="H34" s="104">
        <v>1600.0</v>
      </c>
      <c r="I34" s="104"/>
      <c r="J34" s="104">
        <v>118000.0</v>
      </c>
      <c r="K34" s="106">
        <f t="shared" si="1"/>
        <v>73.75</v>
      </c>
      <c r="L34" s="104">
        <v>225000.0</v>
      </c>
      <c r="M34" s="107">
        <v>1600.0</v>
      </c>
      <c r="N34" s="106">
        <f t="shared" si="2"/>
        <v>140.625</v>
      </c>
      <c r="O34" s="104">
        <f t="shared" si="3"/>
        <v>107000</v>
      </c>
      <c r="P34" s="104">
        <v>50000.0</v>
      </c>
      <c r="Q34" s="107">
        <f t="shared" si="4"/>
        <v>13500</v>
      </c>
      <c r="R34" s="60">
        <f t="shared" si="5"/>
        <v>9075</v>
      </c>
      <c r="S34" s="107">
        <f t="shared" si="6"/>
        <v>181500</v>
      </c>
      <c r="T34" s="107">
        <f t="shared" si="7"/>
        <v>43500</v>
      </c>
      <c r="U34" s="108">
        <f t="shared" si="8"/>
        <v>34425</v>
      </c>
      <c r="V34" s="109">
        <f t="shared" si="9"/>
        <v>0.2396694215</v>
      </c>
      <c r="W34" s="107">
        <f t="shared" si="10"/>
        <v>118750</v>
      </c>
      <c r="X34" s="107">
        <f t="shared" si="11"/>
        <v>750</v>
      </c>
      <c r="AB34" s="61">
        <f t="shared" si="12"/>
        <v>21200</v>
      </c>
      <c r="AC34" s="66">
        <v>8000.0</v>
      </c>
      <c r="AD34" s="66">
        <f t="shared" si="13"/>
        <v>0</v>
      </c>
      <c r="AE34" s="61">
        <f t="shared" si="14"/>
        <v>3200</v>
      </c>
      <c r="AF34" s="61">
        <f t="shared" si="15"/>
        <v>3200</v>
      </c>
      <c r="AG34" s="61">
        <f t="shared" si="16"/>
        <v>4800</v>
      </c>
      <c r="AI34" s="66">
        <v>2000.0</v>
      </c>
    </row>
    <row r="35" ht="15.75" customHeight="1">
      <c r="A35" s="66" t="s">
        <v>281</v>
      </c>
      <c r="E35" s="104"/>
      <c r="F35" s="105"/>
      <c r="G35" s="105"/>
      <c r="H35" s="104"/>
      <c r="I35" s="104"/>
      <c r="J35" s="104">
        <v>275000.0</v>
      </c>
      <c r="K35" s="106" t="str">
        <f t="shared" si="1"/>
        <v>#DIV/0!</v>
      </c>
      <c r="L35" s="104">
        <v>550000.0</v>
      </c>
      <c r="M35" s="107"/>
      <c r="N35" s="106" t="str">
        <f t="shared" si="2"/>
        <v>#DIV/0!</v>
      </c>
      <c r="O35" s="104">
        <f t="shared" si="3"/>
        <v>275000</v>
      </c>
      <c r="P35" s="104">
        <v>200000.0</v>
      </c>
      <c r="Q35" s="107">
        <f t="shared" si="4"/>
        <v>33000</v>
      </c>
      <c r="R35" s="60">
        <f t="shared" si="5"/>
        <v>25400</v>
      </c>
      <c r="S35" s="107">
        <f t="shared" si="6"/>
        <v>508000</v>
      </c>
      <c r="T35" s="107">
        <f t="shared" si="7"/>
        <v>42000</v>
      </c>
      <c r="U35" s="108">
        <f t="shared" si="8"/>
        <v>16600</v>
      </c>
      <c r="V35" s="109">
        <f t="shared" si="9"/>
        <v>0.08267716535</v>
      </c>
      <c r="W35" s="107">
        <f t="shared" si="10"/>
        <v>212500</v>
      </c>
      <c r="X35" s="107">
        <f t="shared" si="11"/>
        <v>-62500</v>
      </c>
      <c r="AB35" s="61">
        <f t="shared" si="12"/>
        <v>10000</v>
      </c>
      <c r="AC35" s="66">
        <v>8000.0</v>
      </c>
      <c r="AD35" s="66">
        <f t="shared" si="13"/>
        <v>0</v>
      </c>
      <c r="AE35" s="61">
        <f t="shared" si="14"/>
        <v>0</v>
      </c>
      <c r="AF35" s="61">
        <f t="shared" si="15"/>
        <v>0</v>
      </c>
      <c r="AG35" s="61">
        <f t="shared" si="16"/>
        <v>0</v>
      </c>
      <c r="AI35" s="66">
        <v>2000.0</v>
      </c>
    </row>
    <row r="36" ht="15.75" customHeight="1">
      <c r="A36" s="66"/>
      <c r="E36" s="104"/>
      <c r="F36" s="105"/>
      <c r="G36" s="105"/>
      <c r="H36" s="104"/>
      <c r="I36" s="104"/>
      <c r="J36" s="104">
        <v>750000.0</v>
      </c>
      <c r="K36" s="106" t="str">
        <f t="shared" si="1"/>
        <v>#DIV/0!</v>
      </c>
      <c r="L36" s="104">
        <v>1000000.0</v>
      </c>
      <c r="M36" s="107"/>
      <c r="N36" s="106" t="str">
        <f t="shared" si="2"/>
        <v>#DIV/0!</v>
      </c>
      <c r="O36" s="104">
        <f t="shared" si="3"/>
        <v>250000</v>
      </c>
      <c r="P36" s="104">
        <v>50000.0</v>
      </c>
      <c r="Q36" s="107">
        <f t="shared" si="4"/>
        <v>60000</v>
      </c>
      <c r="R36" s="60">
        <f t="shared" si="5"/>
        <v>43000</v>
      </c>
      <c r="S36" s="107">
        <f t="shared" si="6"/>
        <v>860000</v>
      </c>
      <c r="T36" s="107">
        <f t="shared" si="7"/>
        <v>140000</v>
      </c>
      <c r="U36" s="108">
        <f t="shared" si="8"/>
        <v>97000</v>
      </c>
      <c r="V36" s="109">
        <f t="shared" si="9"/>
        <v>0.1627906977</v>
      </c>
      <c r="W36" s="107">
        <f t="shared" si="10"/>
        <v>700000</v>
      </c>
      <c r="X36" s="107">
        <f t="shared" si="11"/>
        <v>-50000</v>
      </c>
      <c r="AB36" s="61">
        <f t="shared" si="12"/>
        <v>10000</v>
      </c>
      <c r="AC36" s="66">
        <v>8000.0</v>
      </c>
      <c r="AD36" s="66">
        <f t="shared" si="13"/>
        <v>0</v>
      </c>
      <c r="AE36" s="61">
        <f t="shared" si="14"/>
        <v>0</v>
      </c>
      <c r="AF36" s="61">
        <f t="shared" si="15"/>
        <v>0</v>
      </c>
      <c r="AG36" s="61">
        <f t="shared" si="16"/>
        <v>0</v>
      </c>
      <c r="AI36" s="66">
        <v>2000.0</v>
      </c>
    </row>
    <row r="37" ht="15.75" customHeight="1">
      <c r="A37" s="66" t="s">
        <v>282</v>
      </c>
      <c r="E37" s="104"/>
      <c r="F37" s="105"/>
      <c r="G37" s="105"/>
      <c r="H37" s="104"/>
      <c r="I37" s="104"/>
      <c r="J37" s="104">
        <v>315000.0</v>
      </c>
      <c r="K37" s="106" t="str">
        <f t="shared" si="1"/>
        <v>#DIV/0!</v>
      </c>
      <c r="L37" s="104">
        <v>360000.0</v>
      </c>
      <c r="M37" s="107"/>
      <c r="N37" s="106" t="str">
        <f t="shared" si="2"/>
        <v>#DIV/0!</v>
      </c>
      <c r="O37" s="104">
        <f t="shared" si="3"/>
        <v>45000</v>
      </c>
      <c r="P37" s="104">
        <v>10000.0</v>
      </c>
      <c r="Q37" s="107">
        <f t="shared" si="4"/>
        <v>21600</v>
      </c>
      <c r="R37" s="60">
        <f t="shared" si="5"/>
        <v>17330</v>
      </c>
      <c r="S37" s="107">
        <f t="shared" si="6"/>
        <v>346600</v>
      </c>
      <c r="T37" s="107">
        <f t="shared" si="7"/>
        <v>13400</v>
      </c>
      <c r="U37" s="108">
        <f t="shared" si="8"/>
        <v>-3930</v>
      </c>
      <c r="V37" s="109">
        <f t="shared" si="9"/>
        <v>0.03866128102</v>
      </c>
      <c r="W37" s="107">
        <f t="shared" si="10"/>
        <v>260000</v>
      </c>
      <c r="X37" s="107">
        <f t="shared" si="11"/>
        <v>-55000</v>
      </c>
      <c r="AB37" s="61">
        <f t="shared" si="12"/>
        <v>10000</v>
      </c>
      <c r="AC37" s="66">
        <v>8000.0</v>
      </c>
      <c r="AD37" s="66">
        <f t="shared" si="13"/>
        <v>0</v>
      </c>
      <c r="AE37" s="61">
        <f t="shared" si="14"/>
        <v>0</v>
      </c>
      <c r="AF37" s="61">
        <f t="shared" si="15"/>
        <v>0</v>
      </c>
      <c r="AG37" s="61">
        <f t="shared" si="16"/>
        <v>0</v>
      </c>
      <c r="AI37" s="66">
        <v>2000.0</v>
      </c>
    </row>
    <row r="38" ht="15.75" customHeight="1">
      <c r="A38" s="66" t="s">
        <v>283</v>
      </c>
      <c r="E38" s="104"/>
      <c r="F38" s="105"/>
      <c r="G38" s="105"/>
      <c r="H38" s="104">
        <v>924.0</v>
      </c>
      <c r="I38" s="104"/>
      <c r="J38" s="104">
        <v>145000.0</v>
      </c>
      <c r="K38" s="106">
        <f t="shared" si="1"/>
        <v>156.9264069</v>
      </c>
      <c r="L38" s="104">
        <v>240000.0</v>
      </c>
      <c r="M38" s="107"/>
      <c r="N38" s="106">
        <f t="shared" si="2"/>
        <v>259.7402597</v>
      </c>
      <c r="O38" s="104">
        <f t="shared" si="3"/>
        <v>95000</v>
      </c>
      <c r="P38" s="104">
        <v>50000.0</v>
      </c>
      <c r="Q38" s="107">
        <f t="shared" si="4"/>
        <v>14400</v>
      </c>
      <c r="R38" s="60">
        <f t="shared" si="5"/>
        <v>10470</v>
      </c>
      <c r="S38" s="107">
        <f t="shared" si="6"/>
        <v>209400</v>
      </c>
      <c r="T38" s="107">
        <f t="shared" si="7"/>
        <v>30600</v>
      </c>
      <c r="U38" s="108">
        <f t="shared" si="8"/>
        <v>20130</v>
      </c>
      <c r="V38" s="109">
        <f t="shared" si="9"/>
        <v>0.1461318052</v>
      </c>
      <c r="W38" s="107">
        <f t="shared" si="10"/>
        <v>130000</v>
      </c>
      <c r="X38" s="107">
        <f t="shared" si="11"/>
        <v>-15000</v>
      </c>
      <c r="AB38" s="61">
        <f t="shared" si="12"/>
        <v>10000</v>
      </c>
      <c r="AC38" s="66">
        <v>8000.0</v>
      </c>
      <c r="AD38" s="66">
        <f t="shared" si="13"/>
        <v>0</v>
      </c>
      <c r="AE38" s="61">
        <f t="shared" si="14"/>
        <v>0</v>
      </c>
      <c r="AF38" s="61">
        <f t="shared" si="15"/>
        <v>0</v>
      </c>
      <c r="AG38" s="61">
        <f t="shared" si="16"/>
        <v>0</v>
      </c>
      <c r="AI38" s="66">
        <v>2000.0</v>
      </c>
    </row>
    <row r="39" ht="15.75" customHeight="1">
      <c r="A39" s="66" t="s">
        <v>284</v>
      </c>
      <c r="E39" s="104"/>
      <c r="F39" s="105"/>
      <c r="G39" s="105"/>
      <c r="H39" s="104"/>
      <c r="I39" s="104"/>
      <c r="J39" s="104">
        <v>95000.0</v>
      </c>
      <c r="K39" s="106" t="str">
        <f t="shared" si="1"/>
        <v>#DIV/0!</v>
      </c>
      <c r="L39" s="104">
        <v>180000.0</v>
      </c>
      <c r="M39" s="107"/>
      <c r="N39" s="106" t="str">
        <f t="shared" si="2"/>
        <v>#DIV/0!</v>
      </c>
      <c r="O39" s="104">
        <f t="shared" si="3"/>
        <v>85000</v>
      </c>
      <c r="P39" s="104">
        <v>40000.0</v>
      </c>
      <c r="Q39" s="107">
        <f t="shared" si="4"/>
        <v>10800</v>
      </c>
      <c r="R39" s="60">
        <f t="shared" si="5"/>
        <v>7290</v>
      </c>
      <c r="S39" s="107">
        <f t="shared" si="6"/>
        <v>145800</v>
      </c>
      <c r="T39" s="107">
        <f t="shared" si="7"/>
        <v>34200</v>
      </c>
      <c r="U39" s="108">
        <f t="shared" si="8"/>
        <v>26910</v>
      </c>
      <c r="V39" s="109">
        <f t="shared" si="9"/>
        <v>0.2345679012</v>
      </c>
      <c r="W39" s="107">
        <f t="shared" si="10"/>
        <v>95000</v>
      </c>
      <c r="X39" s="107">
        <f t="shared" si="11"/>
        <v>0</v>
      </c>
      <c r="AB39" s="61">
        <f t="shared" si="12"/>
        <v>10000</v>
      </c>
      <c r="AC39" s="66">
        <v>8000.0</v>
      </c>
      <c r="AD39" s="66">
        <f t="shared" si="13"/>
        <v>0</v>
      </c>
      <c r="AE39" s="61">
        <f t="shared" si="14"/>
        <v>0</v>
      </c>
      <c r="AF39" s="61">
        <f t="shared" si="15"/>
        <v>0</v>
      </c>
      <c r="AG39" s="61">
        <f t="shared" si="16"/>
        <v>0</v>
      </c>
      <c r="AI39" s="66">
        <v>2000.0</v>
      </c>
    </row>
    <row r="40" ht="15.75" customHeight="1">
      <c r="A40" s="66" t="s">
        <v>285</v>
      </c>
      <c r="E40" s="104"/>
      <c r="F40" s="105"/>
      <c r="G40" s="105"/>
      <c r="H40" s="104">
        <v>3745.0</v>
      </c>
      <c r="I40" s="104"/>
      <c r="J40" s="104">
        <v>450000.0</v>
      </c>
      <c r="K40" s="106">
        <f t="shared" si="1"/>
        <v>120.1602136</v>
      </c>
      <c r="L40" s="104">
        <v>750000.0</v>
      </c>
      <c r="M40" s="107"/>
      <c r="N40" s="106">
        <f t="shared" si="2"/>
        <v>200.2670227</v>
      </c>
      <c r="O40" s="104">
        <f t="shared" si="3"/>
        <v>300000</v>
      </c>
      <c r="P40" s="104">
        <v>125000.0</v>
      </c>
      <c r="Q40" s="107">
        <f t="shared" si="4"/>
        <v>45000</v>
      </c>
      <c r="R40" s="60">
        <f t="shared" si="5"/>
        <v>31000</v>
      </c>
      <c r="S40" s="107">
        <f t="shared" si="6"/>
        <v>620000</v>
      </c>
      <c r="T40" s="107">
        <f t="shared" si="7"/>
        <v>130000</v>
      </c>
      <c r="U40" s="108">
        <f t="shared" si="8"/>
        <v>99000</v>
      </c>
      <c r="V40" s="109">
        <f t="shared" si="9"/>
        <v>0.2096774194</v>
      </c>
      <c r="W40" s="107">
        <f t="shared" si="10"/>
        <v>437500</v>
      </c>
      <c r="X40" s="107">
        <f t="shared" si="11"/>
        <v>-12500</v>
      </c>
      <c r="AB40" s="61">
        <f t="shared" si="12"/>
        <v>10000</v>
      </c>
      <c r="AC40" s="66">
        <v>8000.0</v>
      </c>
      <c r="AD40" s="66">
        <f t="shared" si="13"/>
        <v>0</v>
      </c>
      <c r="AE40" s="61">
        <f t="shared" si="14"/>
        <v>0</v>
      </c>
      <c r="AF40" s="61">
        <f t="shared" si="15"/>
        <v>0</v>
      </c>
      <c r="AG40" s="61">
        <f t="shared" si="16"/>
        <v>0</v>
      </c>
      <c r="AI40" s="66">
        <v>2000.0</v>
      </c>
    </row>
    <row r="41" ht="15.75" customHeight="1">
      <c r="A41" s="66" t="s">
        <v>286</v>
      </c>
      <c r="D41" s="66">
        <v>1.6021862E7</v>
      </c>
      <c r="E41" s="104"/>
      <c r="F41" s="105"/>
      <c r="G41" s="105"/>
      <c r="H41" s="104">
        <v>1304.0</v>
      </c>
      <c r="I41" s="104"/>
      <c r="J41" s="104">
        <v>375000.0</v>
      </c>
      <c r="K41" s="106">
        <f t="shared" si="1"/>
        <v>287.5766871</v>
      </c>
      <c r="L41" s="104">
        <v>600000.0</v>
      </c>
      <c r="M41" s="107"/>
      <c r="N41" s="106">
        <f t="shared" si="2"/>
        <v>460.1226994</v>
      </c>
      <c r="O41" s="104">
        <f t="shared" si="3"/>
        <v>225000</v>
      </c>
      <c r="P41" s="104">
        <v>80000.0</v>
      </c>
      <c r="Q41" s="107">
        <f t="shared" si="4"/>
        <v>36000</v>
      </c>
      <c r="R41" s="60">
        <f t="shared" si="5"/>
        <v>24550</v>
      </c>
      <c r="S41" s="107">
        <f t="shared" si="6"/>
        <v>491000</v>
      </c>
      <c r="T41" s="107">
        <f t="shared" si="7"/>
        <v>109000</v>
      </c>
      <c r="U41" s="108">
        <f t="shared" si="8"/>
        <v>84450</v>
      </c>
      <c r="V41" s="109">
        <f t="shared" si="9"/>
        <v>0.2219959267</v>
      </c>
      <c r="W41" s="107">
        <f t="shared" si="10"/>
        <v>370000</v>
      </c>
      <c r="X41" s="107">
        <f t="shared" si="11"/>
        <v>-5000</v>
      </c>
      <c r="AB41" s="61">
        <f t="shared" si="12"/>
        <v>10000</v>
      </c>
      <c r="AC41" s="66">
        <v>8000.0</v>
      </c>
      <c r="AD41" s="66">
        <f t="shared" si="13"/>
        <v>0</v>
      </c>
      <c r="AE41" s="61">
        <f t="shared" si="14"/>
        <v>0</v>
      </c>
      <c r="AF41" s="61">
        <f t="shared" si="15"/>
        <v>0</v>
      </c>
      <c r="AG41" s="61">
        <f t="shared" si="16"/>
        <v>0</v>
      </c>
      <c r="AI41" s="66">
        <v>2000.0</v>
      </c>
    </row>
    <row r="42" ht="15.75" customHeight="1">
      <c r="A42" s="66" t="s">
        <v>287</v>
      </c>
      <c r="C42" s="110">
        <v>42491.0</v>
      </c>
      <c r="E42" s="104"/>
      <c r="F42" s="105"/>
      <c r="G42" s="105"/>
      <c r="H42" s="104">
        <v>2500.0</v>
      </c>
      <c r="I42" s="104"/>
      <c r="J42" s="104">
        <v>180000.0</v>
      </c>
      <c r="K42" s="106">
        <f t="shared" si="1"/>
        <v>72</v>
      </c>
      <c r="L42" s="104">
        <v>420000.0</v>
      </c>
      <c r="M42" s="107"/>
      <c r="N42" s="106">
        <f t="shared" si="2"/>
        <v>168</v>
      </c>
      <c r="O42" s="104">
        <f t="shared" si="3"/>
        <v>240000</v>
      </c>
      <c r="P42" s="104">
        <v>150000.0</v>
      </c>
      <c r="Q42" s="107">
        <f t="shared" si="4"/>
        <v>25200</v>
      </c>
      <c r="R42" s="60">
        <f t="shared" si="5"/>
        <v>17760</v>
      </c>
      <c r="S42" s="107">
        <f t="shared" si="6"/>
        <v>355200</v>
      </c>
      <c r="T42" s="107">
        <f t="shared" si="7"/>
        <v>64800</v>
      </c>
      <c r="U42" s="108">
        <f t="shared" si="8"/>
        <v>47040</v>
      </c>
      <c r="V42" s="109">
        <f t="shared" si="9"/>
        <v>0.1824324324</v>
      </c>
      <c r="W42" s="107">
        <f t="shared" si="10"/>
        <v>165000</v>
      </c>
      <c r="X42" s="107">
        <f t="shared" si="11"/>
        <v>-15000</v>
      </c>
      <c r="AB42" s="61">
        <f t="shared" si="12"/>
        <v>10000</v>
      </c>
      <c r="AC42" s="66">
        <v>8000.0</v>
      </c>
      <c r="AD42" s="66">
        <f t="shared" si="13"/>
        <v>0</v>
      </c>
      <c r="AE42" s="61">
        <f t="shared" si="14"/>
        <v>0</v>
      </c>
      <c r="AF42" s="61">
        <f t="shared" si="15"/>
        <v>0</v>
      </c>
      <c r="AG42" s="61">
        <f t="shared" si="16"/>
        <v>0</v>
      </c>
      <c r="AI42" s="66">
        <v>2000.0</v>
      </c>
    </row>
    <row r="43" ht="15.75" customHeight="1">
      <c r="A43" s="66" t="s">
        <v>288</v>
      </c>
      <c r="E43" s="104"/>
      <c r="F43" s="105" t="s">
        <v>92</v>
      </c>
      <c r="G43" s="105" t="s">
        <v>237</v>
      </c>
      <c r="H43" s="104">
        <v>1694.0</v>
      </c>
      <c r="I43" s="104"/>
      <c r="J43" s="104">
        <v>305000.0</v>
      </c>
      <c r="K43" s="106">
        <f t="shared" si="1"/>
        <v>180.0472255</v>
      </c>
      <c r="L43" s="104">
        <v>410000.0</v>
      </c>
      <c r="M43" s="107"/>
      <c r="N43" s="106">
        <f t="shared" si="2"/>
        <v>242.0306966</v>
      </c>
      <c r="O43" s="104">
        <f t="shared" si="3"/>
        <v>105000</v>
      </c>
      <c r="P43" s="104">
        <v>40000.0</v>
      </c>
      <c r="Q43" s="107">
        <f t="shared" si="4"/>
        <v>24600</v>
      </c>
      <c r="R43" s="60">
        <f t="shared" si="5"/>
        <v>18480</v>
      </c>
      <c r="S43" s="107">
        <f t="shared" si="6"/>
        <v>369600</v>
      </c>
      <c r="T43" s="107">
        <f t="shared" si="7"/>
        <v>40400</v>
      </c>
      <c r="U43" s="108">
        <f t="shared" si="8"/>
        <v>21920</v>
      </c>
      <c r="V43" s="109">
        <f t="shared" si="9"/>
        <v>0.1093073593</v>
      </c>
      <c r="W43" s="107">
        <f t="shared" si="10"/>
        <v>267500</v>
      </c>
      <c r="X43" s="107">
        <f t="shared" si="11"/>
        <v>-37500</v>
      </c>
      <c r="AB43" s="61">
        <f t="shared" si="12"/>
        <v>15000</v>
      </c>
      <c r="AC43" s="66">
        <v>8000.0</v>
      </c>
      <c r="AD43" s="66">
        <f t="shared" si="13"/>
        <v>5000</v>
      </c>
      <c r="AE43" s="61">
        <f t="shared" si="14"/>
        <v>0</v>
      </c>
      <c r="AF43" s="61">
        <f t="shared" si="15"/>
        <v>0</v>
      </c>
      <c r="AG43" s="61">
        <f t="shared" si="16"/>
        <v>0</v>
      </c>
      <c r="AI43" s="66">
        <v>2000.0</v>
      </c>
    </row>
    <row r="44" ht="15.75" customHeight="1">
      <c r="A44" s="66" t="s">
        <v>289</v>
      </c>
      <c r="C44" s="103">
        <v>42499.0</v>
      </c>
      <c r="E44" s="104"/>
      <c r="F44" s="105"/>
      <c r="G44" s="105"/>
      <c r="H44" s="104">
        <v>1800.0</v>
      </c>
      <c r="I44" s="104"/>
      <c r="J44" s="104">
        <v>325000.0</v>
      </c>
      <c r="K44" s="106">
        <f t="shared" si="1"/>
        <v>180.5555556</v>
      </c>
      <c r="L44" s="104">
        <v>684000.0</v>
      </c>
      <c r="M44" s="107"/>
      <c r="N44" s="106">
        <f t="shared" si="2"/>
        <v>380</v>
      </c>
      <c r="O44" s="104">
        <f t="shared" si="3"/>
        <v>359000</v>
      </c>
      <c r="P44" s="104">
        <v>200000.0</v>
      </c>
      <c r="Q44" s="107">
        <f t="shared" si="4"/>
        <v>41040</v>
      </c>
      <c r="R44" s="60">
        <f t="shared" si="5"/>
        <v>28302</v>
      </c>
      <c r="S44" s="107">
        <f t="shared" si="6"/>
        <v>566040</v>
      </c>
      <c r="T44" s="107">
        <f t="shared" si="7"/>
        <v>117960</v>
      </c>
      <c r="U44" s="108">
        <f t="shared" si="8"/>
        <v>89658</v>
      </c>
      <c r="V44" s="109">
        <f t="shared" si="9"/>
        <v>0.2083951664</v>
      </c>
      <c r="W44" s="107">
        <f t="shared" si="10"/>
        <v>313000</v>
      </c>
      <c r="X44" s="107">
        <f t="shared" si="11"/>
        <v>-12000</v>
      </c>
      <c r="AB44" s="61">
        <f t="shared" si="12"/>
        <v>10000</v>
      </c>
      <c r="AC44" s="66">
        <v>8000.0</v>
      </c>
      <c r="AD44" s="66">
        <f t="shared" si="13"/>
        <v>0</v>
      </c>
      <c r="AE44" s="61">
        <f t="shared" si="14"/>
        <v>0</v>
      </c>
      <c r="AF44" s="61">
        <f t="shared" si="15"/>
        <v>0</v>
      </c>
      <c r="AG44" s="61">
        <f t="shared" si="16"/>
        <v>0</v>
      </c>
      <c r="AI44" s="66">
        <v>2000.0</v>
      </c>
    </row>
    <row r="45" ht="15.75" customHeight="1">
      <c r="A45" s="66" t="s">
        <v>290</v>
      </c>
      <c r="E45" s="104"/>
      <c r="F45" s="105"/>
      <c r="G45" s="105"/>
      <c r="H45" s="104">
        <v>1462.0</v>
      </c>
      <c r="I45" s="104"/>
      <c r="J45" s="104">
        <v>365000.0</v>
      </c>
      <c r="K45" s="106">
        <f t="shared" si="1"/>
        <v>249.6580027</v>
      </c>
      <c r="L45" s="104">
        <v>475000.0</v>
      </c>
      <c r="M45" s="107"/>
      <c r="N45" s="106">
        <f t="shared" si="2"/>
        <v>324.8974008</v>
      </c>
      <c r="O45" s="104">
        <f t="shared" si="3"/>
        <v>110000</v>
      </c>
      <c r="P45" s="104">
        <v>50000.0</v>
      </c>
      <c r="Q45" s="107">
        <f t="shared" si="4"/>
        <v>28500</v>
      </c>
      <c r="R45" s="60">
        <f t="shared" si="5"/>
        <v>22175</v>
      </c>
      <c r="S45" s="107">
        <f t="shared" si="6"/>
        <v>443500</v>
      </c>
      <c r="T45" s="107">
        <f t="shared" si="7"/>
        <v>31500</v>
      </c>
      <c r="U45" s="108">
        <f t="shared" si="8"/>
        <v>9325</v>
      </c>
      <c r="V45" s="109">
        <f t="shared" si="9"/>
        <v>0.0710259301</v>
      </c>
      <c r="W45" s="107">
        <f t="shared" si="10"/>
        <v>306250</v>
      </c>
      <c r="X45" s="107">
        <f t="shared" si="11"/>
        <v>-58750</v>
      </c>
      <c r="AB45" s="61">
        <f t="shared" si="12"/>
        <v>10000</v>
      </c>
      <c r="AC45" s="66">
        <v>8000.0</v>
      </c>
      <c r="AD45" s="66">
        <f t="shared" si="13"/>
        <v>0</v>
      </c>
      <c r="AE45" s="61">
        <f t="shared" si="14"/>
        <v>0</v>
      </c>
      <c r="AF45" s="61">
        <f t="shared" si="15"/>
        <v>0</v>
      </c>
      <c r="AG45" s="61">
        <f t="shared" si="16"/>
        <v>0</v>
      </c>
      <c r="AI45" s="66">
        <v>2000.0</v>
      </c>
    </row>
    <row r="46" ht="15.75" customHeight="1">
      <c r="A46" s="66" t="s">
        <v>291</v>
      </c>
      <c r="E46" s="104"/>
      <c r="F46" s="105"/>
      <c r="G46" s="105"/>
      <c r="H46" s="104">
        <v>2675.0</v>
      </c>
      <c r="I46" s="104"/>
      <c r="J46" s="104">
        <v>250000.0</v>
      </c>
      <c r="K46" s="106">
        <f t="shared" si="1"/>
        <v>93.45794393</v>
      </c>
      <c r="L46" s="104">
        <v>375000.0</v>
      </c>
      <c r="M46" s="107"/>
      <c r="N46" s="106">
        <f t="shared" si="2"/>
        <v>140.1869159</v>
      </c>
      <c r="O46" s="104">
        <f t="shared" si="3"/>
        <v>125000</v>
      </c>
      <c r="P46" s="104">
        <v>50000.0</v>
      </c>
      <c r="Q46" s="107">
        <f t="shared" si="4"/>
        <v>22500</v>
      </c>
      <c r="R46" s="60">
        <f t="shared" si="5"/>
        <v>16125</v>
      </c>
      <c r="S46" s="107">
        <f t="shared" si="6"/>
        <v>322500</v>
      </c>
      <c r="T46" s="107">
        <f t="shared" si="7"/>
        <v>52500</v>
      </c>
      <c r="U46" s="108">
        <f t="shared" si="8"/>
        <v>36375</v>
      </c>
      <c r="V46" s="109">
        <f t="shared" si="9"/>
        <v>0.1627906977</v>
      </c>
      <c r="W46" s="107">
        <f t="shared" si="10"/>
        <v>231250</v>
      </c>
      <c r="X46" s="107">
        <f t="shared" si="11"/>
        <v>-18750</v>
      </c>
      <c r="AB46" s="61">
        <f t="shared" si="12"/>
        <v>10000</v>
      </c>
      <c r="AC46" s="66">
        <v>8000.0</v>
      </c>
      <c r="AD46" s="66">
        <f t="shared" si="13"/>
        <v>0</v>
      </c>
      <c r="AE46" s="61">
        <f t="shared" si="14"/>
        <v>0</v>
      </c>
      <c r="AF46" s="61">
        <f t="shared" si="15"/>
        <v>0</v>
      </c>
      <c r="AG46" s="61">
        <f t="shared" si="16"/>
        <v>0</v>
      </c>
      <c r="AI46" s="66">
        <v>2000.0</v>
      </c>
    </row>
    <row r="47" ht="15.75" customHeight="1">
      <c r="A47" s="66" t="s">
        <v>292</v>
      </c>
      <c r="C47" s="103">
        <v>42509.0</v>
      </c>
      <c r="E47" s="104"/>
      <c r="F47" s="105"/>
      <c r="G47" s="105"/>
      <c r="H47" s="104">
        <v>1500.0</v>
      </c>
      <c r="I47" s="104"/>
      <c r="J47" s="104">
        <v>270000.0</v>
      </c>
      <c r="K47" s="106">
        <f t="shared" si="1"/>
        <v>180</v>
      </c>
      <c r="L47" s="104">
        <v>369000.0</v>
      </c>
      <c r="M47" s="107"/>
      <c r="N47" s="106">
        <f t="shared" si="2"/>
        <v>246</v>
      </c>
      <c r="O47" s="104">
        <f t="shared" si="3"/>
        <v>99000</v>
      </c>
      <c r="P47" s="104">
        <v>20000.0</v>
      </c>
      <c r="Q47" s="107">
        <f t="shared" si="4"/>
        <v>22140</v>
      </c>
      <c r="R47" s="60">
        <f t="shared" si="5"/>
        <v>15607</v>
      </c>
      <c r="S47" s="107">
        <f t="shared" si="6"/>
        <v>312140</v>
      </c>
      <c r="T47" s="107">
        <f t="shared" si="7"/>
        <v>56860</v>
      </c>
      <c r="U47" s="108">
        <f t="shared" si="8"/>
        <v>41253</v>
      </c>
      <c r="V47" s="109">
        <f t="shared" si="9"/>
        <v>0.1821618505</v>
      </c>
      <c r="W47" s="107">
        <f t="shared" si="10"/>
        <v>256750</v>
      </c>
      <c r="X47" s="107">
        <f t="shared" si="11"/>
        <v>-13250</v>
      </c>
      <c r="AB47" s="61">
        <f t="shared" si="12"/>
        <v>10000</v>
      </c>
      <c r="AC47" s="66">
        <v>8000.0</v>
      </c>
      <c r="AD47" s="66">
        <f t="shared" si="13"/>
        <v>0</v>
      </c>
      <c r="AE47" s="61">
        <f t="shared" si="14"/>
        <v>0</v>
      </c>
      <c r="AF47" s="61">
        <f t="shared" si="15"/>
        <v>0</v>
      </c>
      <c r="AG47" s="61">
        <f t="shared" si="16"/>
        <v>0</v>
      </c>
      <c r="AI47" s="66">
        <v>2000.0</v>
      </c>
    </row>
    <row r="48" ht="15.75" customHeight="1">
      <c r="A48" s="66" t="s">
        <v>293</v>
      </c>
      <c r="E48" s="104"/>
      <c r="F48" s="105"/>
      <c r="G48" s="105"/>
      <c r="H48" s="104"/>
      <c r="I48" s="104"/>
      <c r="J48" s="104">
        <v>2500000.0</v>
      </c>
      <c r="K48" s="106" t="str">
        <f t="shared" si="1"/>
        <v>#DIV/0!</v>
      </c>
      <c r="L48" s="104">
        <v>1.297E7</v>
      </c>
      <c r="M48" s="107"/>
      <c r="N48" s="106" t="str">
        <f t="shared" si="2"/>
        <v>#DIV/0!</v>
      </c>
      <c r="O48" s="104">
        <f t="shared" si="3"/>
        <v>10470000</v>
      </c>
      <c r="P48" s="104">
        <v>6000000.0</v>
      </c>
      <c r="Q48" s="107">
        <f t="shared" si="4"/>
        <v>778200</v>
      </c>
      <c r="R48" s="60">
        <f t="shared" si="5"/>
        <v>463910</v>
      </c>
      <c r="S48" s="107">
        <f t="shared" si="6"/>
        <v>9278200</v>
      </c>
      <c r="T48" s="107">
        <f t="shared" si="7"/>
        <v>3691800</v>
      </c>
      <c r="U48" s="108">
        <f t="shared" si="8"/>
        <v>3227890</v>
      </c>
      <c r="V48" s="109">
        <f t="shared" si="9"/>
        <v>0.3979004548</v>
      </c>
      <c r="W48" s="107">
        <f t="shared" si="10"/>
        <v>3727500</v>
      </c>
      <c r="X48" s="107">
        <f t="shared" si="11"/>
        <v>1227500</v>
      </c>
      <c r="AB48" s="61">
        <f t="shared" si="12"/>
        <v>10000</v>
      </c>
      <c r="AC48" s="66">
        <v>8000.0</v>
      </c>
      <c r="AD48" s="66">
        <f t="shared" si="13"/>
        <v>0</v>
      </c>
      <c r="AE48" s="61">
        <f t="shared" si="14"/>
        <v>0</v>
      </c>
      <c r="AF48" s="61">
        <f t="shared" si="15"/>
        <v>0</v>
      </c>
      <c r="AG48" s="61">
        <f t="shared" si="16"/>
        <v>0</v>
      </c>
      <c r="AI48" s="66">
        <v>2000.0</v>
      </c>
    </row>
    <row r="49" ht="15.75" customHeight="1">
      <c r="A49" s="66" t="s">
        <v>294</v>
      </c>
      <c r="E49" s="104"/>
      <c r="F49" s="105"/>
      <c r="G49" s="105"/>
      <c r="H49" s="104">
        <v>1147.0</v>
      </c>
      <c r="I49" s="104"/>
      <c r="J49" s="104">
        <v>200000.0</v>
      </c>
      <c r="K49" s="106">
        <f t="shared" si="1"/>
        <v>174.3679163</v>
      </c>
      <c r="L49" s="104">
        <v>280000.0</v>
      </c>
      <c r="M49" s="107"/>
      <c r="N49" s="106">
        <f t="shared" si="2"/>
        <v>244.1150828</v>
      </c>
      <c r="O49" s="104">
        <f t="shared" si="3"/>
        <v>80000</v>
      </c>
      <c r="P49" s="104">
        <v>20000.0</v>
      </c>
      <c r="Q49" s="107">
        <f t="shared" si="4"/>
        <v>16800</v>
      </c>
      <c r="R49" s="60">
        <f t="shared" si="5"/>
        <v>11840</v>
      </c>
      <c r="S49" s="107">
        <f t="shared" si="6"/>
        <v>236800</v>
      </c>
      <c r="T49" s="107">
        <f t="shared" si="7"/>
        <v>43200</v>
      </c>
      <c r="U49" s="108">
        <f t="shared" si="8"/>
        <v>31360</v>
      </c>
      <c r="V49" s="109">
        <f t="shared" si="9"/>
        <v>0.1824324324</v>
      </c>
      <c r="W49" s="107">
        <f t="shared" si="10"/>
        <v>190000</v>
      </c>
      <c r="X49" s="107">
        <f t="shared" si="11"/>
        <v>-10000</v>
      </c>
      <c r="AB49" s="61">
        <f t="shared" si="12"/>
        <v>10000</v>
      </c>
      <c r="AC49" s="66">
        <v>8000.0</v>
      </c>
      <c r="AD49" s="66">
        <f t="shared" si="13"/>
        <v>0</v>
      </c>
      <c r="AE49" s="61">
        <f t="shared" si="14"/>
        <v>0</v>
      </c>
      <c r="AF49" s="61">
        <f t="shared" si="15"/>
        <v>0</v>
      </c>
      <c r="AG49" s="61">
        <f t="shared" si="16"/>
        <v>0</v>
      </c>
      <c r="AI49" s="66">
        <v>2000.0</v>
      </c>
    </row>
    <row r="50" ht="15.75" customHeight="1">
      <c r="A50" s="66" t="s">
        <v>295</v>
      </c>
      <c r="E50" s="104"/>
      <c r="F50" s="105"/>
      <c r="G50" s="105"/>
      <c r="H50" s="104">
        <v>3270.0</v>
      </c>
      <c r="I50" s="104"/>
      <c r="J50" s="104">
        <v>550000.0</v>
      </c>
      <c r="K50" s="106">
        <f t="shared" si="1"/>
        <v>168.1957187</v>
      </c>
      <c r="L50" s="104">
        <v>700000.0</v>
      </c>
      <c r="M50" s="107"/>
      <c r="N50" s="106">
        <f t="shared" si="2"/>
        <v>214.0672783</v>
      </c>
      <c r="O50" s="104">
        <f t="shared" si="3"/>
        <v>150000</v>
      </c>
      <c r="P50" s="104">
        <v>50000.0</v>
      </c>
      <c r="Q50" s="107">
        <f t="shared" si="4"/>
        <v>42000</v>
      </c>
      <c r="R50" s="60">
        <f t="shared" si="5"/>
        <v>32100</v>
      </c>
      <c r="S50" s="107">
        <f t="shared" si="6"/>
        <v>642000</v>
      </c>
      <c r="T50" s="107">
        <f t="shared" si="7"/>
        <v>58000</v>
      </c>
      <c r="U50" s="108">
        <f t="shared" si="8"/>
        <v>25900</v>
      </c>
      <c r="V50" s="109">
        <f t="shared" si="9"/>
        <v>0.09034267913</v>
      </c>
      <c r="W50" s="107">
        <f t="shared" si="10"/>
        <v>475000</v>
      </c>
      <c r="X50" s="107">
        <f t="shared" si="11"/>
        <v>-75000</v>
      </c>
      <c r="Y50" s="66" t="s">
        <v>296</v>
      </c>
      <c r="AB50" s="61">
        <f t="shared" si="12"/>
        <v>10000</v>
      </c>
      <c r="AC50" s="66">
        <v>8000.0</v>
      </c>
      <c r="AD50" s="66">
        <f t="shared" si="13"/>
        <v>0</v>
      </c>
      <c r="AE50" s="61">
        <f t="shared" si="14"/>
        <v>0</v>
      </c>
      <c r="AF50" s="61">
        <f t="shared" si="15"/>
        <v>0</v>
      </c>
      <c r="AG50" s="61">
        <f t="shared" si="16"/>
        <v>0</v>
      </c>
      <c r="AI50" s="66">
        <v>2000.0</v>
      </c>
    </row>
    <row r="51" ht="15.75" customHeight="1">
      <c r="A51" s="66" t="s">
        <v>297</v>
      </c>
      <c r="E51" s="104"/>
      <c r="F51" s="105"/>
      <c r="G51" s="105"/>
      <c r="H51" s="104">
        <v>3300.0</v>
      </c>
      <c r="I51" s="104"/>
      <c r="J51" s="104">
        <v>600000.0</v>
      </c>
      <c r="K51" s="106">
        <f t="shared" si="1"/>
        <v>181.8181818</v>
      </c>
      <c r="L51" s="104">
        <v>850000.0</v>
      </c>
      <c r="M51" s="107"/>
      <c r="N51" s="106">
        <f t="shared" si="2"/>
        <v>257.5757576</v>
      </c>
      <c r="O51" s="104">
        <f t="shared" si="3"/>
        <v>250000</v>
      </c>
      <c r="P51" s="104">
        <v>75000.0</v>
      </c>
      <c r="Q51" s="107">
        <f t="shared" si="4"/>
        <v>51000</v>
      </c>
      <c r="R51" s="60">
        <f t="shared" si="5"/>
        <v>36300</v>
      </c>
      <c r="S51" s="107">
        <f t="shared" si="6"/>
        <v>726000</v>
      </c>
      <c r="T51" s="107">
        <v>90000.0</v>
      </c>
      <c r="U51" s="108">
        <f t="shared" si="8"/>
        <v>53700</v>
      </c>
      <c r="V51" s="109">
        <f t="shared" si="9"/>
        <v>0.1239669421</v>
      </c>
      <c r="W51" s="107">
        <f t="shared" si="10"/>
        <v>562500</v>
      </c>
      <c r="X51" s="107">
        <f t="shared" si="11"/>
        <v>-37500</v>
      </c>
      <c r="Y51" s="66" t="s">
        <v>298</v>
      </c>
      <c r="AB51" s="61">
        <f t="shared" si="12"/>
        <v>10000</v>
      </c>
      <c r="AC51" s="66">
        <v>8000.0</v>
      </c>
      <c r="AD51" s="66">
        <f t="shared" si="13"/>
        <v>0</v>
      </c>
      <c r="AE51" s="61">
        <f t="shared" si="14"/>
        <v>0</v>
      </c>
      <c r="AF51" s="61">
        <f t="shared" si="15"/>
        <v>0</v>
      </c>
      <c r="AG51" s="61">
        <f t="shared" si="16"/>
        <v>0</v>
      </c>
      <c r="AI51" s="66">
        <v>2000.0</v>
      </c>
    </row>
    <row r="52" ht="15.75" customHeight="1">
      <c r="A52" s="66" t="s">
        <v>299</v>
      </c>
      <c r="E52" s="104"/>
      <c r="F52" s="105"/>
      <c r="G52" s="105"/>
      <c r="H52" s="104">
        <v>2500.0</v>
      </c>
      <c r="I52" s="104"/>
      <c r="J52" s="104">
        <v>725000.0</v>
      </c>
      <c r="K52" s="106">
        <f t="shared" si="1"/>
        <v>290</v>
      </c>
      <c r="L52" s="104">
        <v>2100000.0</v>
      </c>
      <c r="M52" s="107"/>
      <c r="N52" s="106">
        <f t="shared" si="2"/>
        <v>840</v>
      </c>
      <c r="O52" s="104">
        <f t="shared" si="3"/>
        <v>1375000</v>
      </c>
      <c r="P52" s="104">
        <v>750000.0</v>
      </c>
      <c r="Q52" s="107">
        <f t="shared" si="4"/>
        <v>126000</v>
      </c>
      <c r="R52" s="60">
        <f t="shared" si="5"/>
        <v>80050</v>
      </c>
      <c r="S52" s="107">
        <f t="shared" si="6"/>
        <v>1601000</v>
      </c>
      <c r="T52" s="107">
        <v>380000.0</v>
      </c>
      <c r="U52" s="108">
        <f t="shared" si="8"/>
        <v>299950</v>
      </c>
      <c r="V52" s="109">
        <f t="shared" si="9"/>
        <v>0.2373516552</v>
      </c>
      <c r="W52" s="107">
        <f t="shared" si="10"/>
        <v>825000</v>
      </c>
      <c r="X52" s="107">
        <f t="shared" si="11"/>
        <v>100000</v>
      </c>
      <c r="Y52" s="66" t="s">
        <v>300</v>
      </c>
      <c r="AB52" s="61">
        <f t="shared" si="12"/>
        <v>10000</v>
      </c>
      <c r="AC52" s="66">
        <v>8000.0</v>
      </c>
      <c r="AD52" s="66">
        <f t="shared" si="13"/>
        <v>0</v>
      </c>
      <c r="AE52" s="61">
        <f t="shared" si="14"/>
        <v>0</v>
      </c>
      <c r="AF52" s="61">
        <f t="shared" si="15"/>
        <v>0</v>
      </c>
      <c r="AG52" s="61">
        <f t="shared" si="16"/>
        <v>0</v>
      </c>
      <c r="AI52" s="66">
        <v>2000.0</v>
      </c>
    </row>
    <row r="53" ht="15.75" customHeight="1">
      <c r="A53" s="66" t="s">
        <v>301</v>
      </c>
      <c r="E53" s="104"/>
      <c r="F53" s="105" t="s">
        <v>56</v>
      </c>
      <c r="G53" s="105" t="s">
        <v>237</v>
      </c>
      <c r="H53" s="104">
        <v>2916.0</v>
      </c>
      <c r="I53" s="104"/>
      <c r="J53" s="104">
        <v>590000.0</v>
      </c>
      <c r="K53" s="106">
        <f t="shared" si="1"/>
        <v>202.3319616</v>
      </c>
      <c r="L53" s="104">
        <v>799000.0</v>
      </c>
      <c r="M53" s="107"/>
      <c r="N53" s="106">
        <f t="shared" si="2"/>
        <v>274.005487</v>
      </c>
      <c r="O53" s="104">
        <f t="shared" si="3"/>
        <v>209000</v>
      </c>
      <c r="P53" s="104">
        <v>80000.0</v>
      </c>
      <c r="Q53" s="107">
        <f t="shared" si="4"/>
        <v>47940</v>
      </c>
      <c r="R53" s="60">
        <f t="shared" si="5"/>
        <v>35897</v>
      </c>
      <c r="S53" s="107">
        <f t="shared" si="6"/>
        <v>717940</v>
      </c>
      <c r="T53" s="107">
        <f t="shared" ref="T53:T179" si="17">O53-P53-Q53</f>
        <v>81060</v>
      </c>
      <c r="U53" s="108">
        <f t="shared" si="8"/>
        <v>45163</v>
      </c>
      <c r="V53" s="109">
        <f t="shared" si="9"/>
        <v>0.112906371</v>
      </c>
      <c r="W53" s="107">
        <f t="shared" si="10"/>
        <v>519250</v>
      </c>
      <c r="X53" s="107">
        <f t="shared" si="11"/>
        <v>-70750</v>
      </c>
      <c r="Y53" s="66" t="s">
        <v>302</v>
      </c>
      <c r="AB53" s="61">
        <f t="shared" si="12"/>
        <v>15000</v>
      </c>
      <c r="AC53" s="66">
        <v>8000.0</v>
      </c>
      <c r="AD53" s="66">
        <f t="shared" si="13"/>
        <v>5000</v>
      </c>
      <c r="AE53" s="61">
        <f t="shared" si="14"/>
        <v>0</v>
      </c>
      <c r="AF53" s="61">
        <f t="shared" si="15"/>
        <v>0</v>
      </c>
      <c r="AG53" s="61">
        <f t="shared" si="16"/>
        <v>0</v>
      </c>
      <c r="AI53" s="66">
        <v>2000.0</v>
      </c>
    </row>
    <row r="54" ht="15.75" customHeight="1">
      <c r="A54" s="66" t="s">
        <v>303</v>
      </c>
      <c r="E54" s="104"/>
      <c r="F54" s="105"/>
      <c r="G54" s="105"/>
      <c r="H54" s="104">
        <v>1600.0</v>
      </c>
      <c r="I54" s="104"/>
      <c r="J54" s="104">
        <v>375000.0</v>
      </c>
      <c r="K54" s="106">
        <f t="shared" si="1"/>
        <v>234.375</v>
      </c>
      <c r="L54" s="104">
        <v>490000.0</v>
      </c>
      <c r="M54" s="107"/>
      <c r="N54" s="106">
        <f t="shared" si="2"/>
        <v>306.25</v>
      </c>
      <c r="O54" s="104">
        <f t="shared" si="3"/>
        <v>115000</v>
      </c>
      <c r="P54" s="104">
        <v>50000.0</v>
      </c>
      <c r="Q54" s="107">
        <f t="shared" si="4"/>
        <v>29400</v>
      </c>
      <c r="R54" s="60">
        <f t="shared" si="5"/>
        <v>22720</v>
      </c>
      <c r="S54" s="107">
        <f t="shared" si="6"/>
        <v>454400</v>
      </c>
      <c r="T54" s="107">
        <f t="shared" si="17"/>
        <v>35600</v>
      </c>
      <c r="U54" s="108">
        <f t="shared" si="8"/>
        <v>12880</v>
      </c>
      <c r="V54" s="109">
        <f t="shared" si="9"/>
        <v>0.07834507042</v>
      </c>
      <c r="W54" s="107">
        <f t="shared" si="10"/>
        <v>317500</v>
      </c>
      <c r="X54" s="107">
        <f t="shared" si="11"/>
        <v>-57500</v>
      </c>
      <c r="Y54" s="66" t="s">
        <v>188</v>
      </c>
      <c r="AB54" s="61">
        <f t="shared" si="12"/>
        <v>10000</v>
      </c>
      <c r="AC54" s="66">
        <v>8000.0</v>
      </c>
      <c r="AD54" s="66">
        <f t="shared" si="13"/>
        <v>0</v>
      </c>
      <c r="AE54" s="61">
        <f t="shared" si="14"/>
        <v>0</v>
      </c>
      <c r="AF54" s="61">
        <f t="shared" si="15"/>
        <v>0</v>
      </c>
      <c r="AG54" s="61">
        <f t="shared" si="16"/>
        <v>0</v>
      </c>
      <c r="AI54" s="66">
        <v>2000.0</v>
      </c>
    </row>
    <row r="55" ht="15.75" customHeight="1">
      <c r="A55" s="66" t="s">
        <v>304</v>
      </c>
      <c r="E55" s="104"/>
      <c r="F55" s="105"/>
      <c r="G55" s="105"/>
      <c r="H55" s="104"/>
      <c r="I55" s="104"/>
      <c r="J55" s="104">
        <v>220000.0</v>
      </c>
      <c r="K55" s="106" t="str">
        <f t="shared" si="1"/>
        <v>#DIV/0!</v>
      </c>
      <c r="L55" s="104">
        <v>600000.0</v>
      </c>
      <c r="M55" s="107"/>
      <c r="N55" s="106" t="str">
        <f t="shared" si="2"/>
        <v>#DIV/0!</v>
      </c>
      <c r="O55" s="104">
        <f t="shared" si="3"/>
        <v>380000</v>
      </c>
      <c r="P55" s="104">
        <v>300000.0</v>
      </c>
      <c r="Q55" s="107">
        <f t="shared" si="4"/>
        <v>36000</v>
      </c>
      <c r="R55" s="60">
        <f t="shared" si="5"/>
        <v>27800</v>
      </c>
      <c r="S55" s="107">
        <f t="shared" si="6"/>
        <v>556000</v>
      </c>
      <c r="T55" s="107">
        <f t="shared" si="17"/>
        <v>44000</v>
      </c>
      <c r="U55" s="108">
        <f t="shared" si="8"/>
        <v>16200</v>
      </c>
      <c r="V55" s="109">
        <f t="shared" si="9"/>
        <v>0.07913669065</v>
      </c>
      <c r="W55" s="107">
        <f t="shared" si="10"/>
        <v>150000</v>
      </c>
      <c r="X55" s="107">
        <f t="shared" si="11"/>
        <v>-70000</v>
      </c>
      <c r="Y55" s="66" t="s">
        <v>302</v>
      </c>
      <c r="AB55" s="61">
        <f t="shared" si="12"/>
        <v>10000</v>
      </c>
      <c r="AC55" s="66">
        <v>8000.0</v>
      </c>
      <c r="AD55" s="66">
        <f t="shared" si="13"/>
        <v>0</v>
      </c>
      <c r="AE55" s="61">
        <f t="shared" si="14"/>
        <v>0</v>
      </c>
      <c r="AF55" s="61">
        <f t="shared" si="15"/>
        <v>0</v>
      </c>
      <c r="AG55" s="61">
        <f t="shared" si="16"/>
        <v>0</v>
      </c>
      <c r="AI55" s="66">
        <v>2000.0</v>
      </c>
    </row>
    <row r="56" ht="15.75" customHeight="1">
      <c r="A56" s="66" t="s">
        <v>305</v>
      </c>
      <c r="C56" s="103">
        <v>42523.0</v>
      </c>
      <c r="E56" s="104"/>
      <c r="F56" s="105" t="s">
        <v>57</v>
      </c>
      <c r="G56" s="105" t="s">
        <v>81</v>
      </c>
      <c r="H56" s="104">
        <v>1335.0</v>
      </c>
      <c r="I56" s="104"/>
      <c r="J56" s="104">
        <v>265000.0</v>
      </c>
      <c r="K56" s="106">
        <f t="shared" si="1"/>
        <v>198.5018727</v>
      </c>
      <c r="L56" s="104">
        <v>375000.0</v>
      </c>
      <c r="M56" s="107"/>
      <c r="N56" s="106">
        <f t="shared" si="2"/>
        <v>280.8988764</v>
      </c>
      <c r="O56" s="104">
        <f t="shared" si="3"/>
        <v>110000</v>
      </c>
      <c r="P56" s="104">
        <v>75000.0</v>
      </c>
      <c r="Q56" s="107">
        <f t="shared" si="4"/>
        <v>22500</v>
      </c>
      <c r="R56" s="60">
        <f t="shared" si="5"/>
        <v>18125</v>
      </c>
      <c r="S56" s="107">
        <f t="shared" si="6"/>
        <v>362500</v>
      </c>
      <c r="T56" s="107">
        <f t="shared" si="17"/>
        <v>12500</v>
      </c>
      <c r="U56" s="108">
        <f t="shared" si="8"/>
        <v>-5625</v>
      </c>
      <c r="V56" s="109">
        <f t="shared" si="9"/>
        <v>0.03448275862</v>
      </c>
      <c r="W56" s="107">
        <f t="shared" si="10"/>
        <v>206250</v>
      </c>
      <c r="X56" s="107">
        <f t="shared" si="11"/>
        <v>-58750</v>
      </c>
      <c r="Y56" s="66" t="s">
        <v>306</v>
      </c>
      <c r="AB56" s="61">
        <f t="shared" si="12"/>
        <v>12000</v>
      </c>
      <c r="AC56" s="66">
        <v>8000.0</v>
      </c>
      <c r="AD56" s="66">
        <f t="shared" si="13"/>
        <v>2000</v>
      </c>
      <c r="AE56" s="61">
        <f t="shared" si="14"/>
        <v>0</v>
      </c>
      <c r="AF56" s="61">
        <f t="shared" si="15"/>
        <v>0</v>
      </c>
      <c r="AG56" s="61">
        <f t="shared" si="16"/>
        <v>0</v>
      </c>
      <c r="AI56" s="66">
        <v>2000.0</v>
      </c>
    </row>
    <row r="57" ht="15.75" customHeight="1">
      <c r="A57" s="111" t="s">
        <v>307</v>
      </c>
      <c r="E57" s="104"/>
      <c r="F57" s="105" t="s">
        <v>57</v>
      </c>
      <c r="G57" s="105" t="s">
        <v>81</v>
      </c>
      <c r="H57" s="104">
        <v>852.0</v>
      </c>
      <c r="I57" s="104"/>
      <c r="J57" s="104">
        <v>27500.0</v>
      </c>
      <c r="K57" s="106">
        <f t="shared" si="1"/>
        <v>32.27699531</v>
      </c>
      <c r="L57" s="104">
        <v>200000.0</v>
      </c>
      <c r="M57" s="107"/>
      <c r="N57" s="106">
        <f t="shared" si="2"/>
        <v>234.741784</v>
      </c>
      <c r="O57" s="104">
        <f t="shared" si="3"/>
        <v>172500</v>
      </c>
      <c r="P57" s="104">
        <v>100000.0</v>
      </c>
      <c r="Q57" s="107">
        <f t="shared" si="4"/>
        <v>12000</v>
      </c>
      <c r="R57" s="60">
        <f t="shared" si="5"/>
        <v>6975</v>
      </c>
      <c r="S57" s="107">
        <f t="shared" si="6"/>
        <v>139500</v>
      </c>
      <c r="T57" s="107">
        <f t="shared" si="17"/>
        <v>60500</v>
      </c>
      <c r="U57" s="108">
        <f t="shared" si="8"/>
        <v>53525</v>
      </c>
      <c r="V57" s="109">
        <f t="shared" si="9"/>
        <v>0.4336917563</v>
      </c>
      <c r="W57" s="107">
        <f t="shared" si="10"/>
        <v>50000</v>
      </c>
      <c r="X57" s="107">
        <f t="shared" si="11"/>
        <v>22500</v>
      </c>
      <c r="Y57" s="66" t="s">
        <v>300</v>
      </c>
      <c r="AB57" s="61">
        <f t="shared" si="12"/>
        <v>12000</v>
      </c>
      <c r="AC57" s="66">
        <v>8000.0</v>
      </c>
      <c r="AD57" s="66">
        <f t="shared" si="13"/>
        <v>2000</v>
      </c>
      <c r="AE57" s="61">
        <f t="shared" si="14"/>
        <v>0</v>
      </c>
      <c r="AF57" s="61">
        <f t="shared" si="15"/>
        <v>0</v>
      </c>
      <c r="AG57" s="61">
        <f t="shared" si="16"/>
        <v>0</v>
      </c>
      <c r="AI57" s="66">
        <v>2000.0</v>
      </c>
    </row>
    <row r="58" ht="15.75" customHeight="1">
      <c r="A58" s="66" t="s">
        <v>308</v>
      </c>
      <c r="C58" s="103">
        <v>42524.0</v>
      </c>
      <c r="E58" s="104"/>
      <c r="F58" s="105" t="s">
        <v>57</v>
      </c>
      <c r="G58" s="105" t="s">
        <v>81</v>
      </c>
      <c r="H58" s="104">
        <v>1104.0</v>
      </c>
      <c r="I58" s="104"/>
      <c r="J58" s="104">
        <v>165000.0</v>
      </c>
      <c r="K58" s="106">
        <f t="shared" si="1"/>
        <v>149.4565217</v>
      </c>
      <c r="L58" s="104">
        <v>295000.0</v>
      </c>
      <c r="M58" s="107"/>
      <c r="N58" s="106">
        <f t="shared" si="2"/>
        <v>267.2101449</v>
      </c>
      <c r="O58" s="104">
        <f t="shared" si="3"/>
        <v>130000</v>
      </c>
      <c r="P58" s="104">
        <v>60000.0</v>
      </c>
      <c r="Q58" s="107">
        <f t="shared" si="4"/>
        <v>17700</v>
      </c>
      <c r="R58" s="60">
        <f t="shared" si="5"/>
        <v>12135</v>
      </c>
      <c r="S58" s="107">
        <f t="shared" si="6"/>
        <v>242700</v>
      </c>
      <c r="T58" s="107">
        <f t="shared" si="17"/>
        <v>52300</v>
      </c>
      <c r="U58" s="108">
        <f t="shared" si="8"/>
        <v>40165</v>
      </c>
      <c r="V58" s="109">
        <f t="shared" si="9"/>
        <v>0.2154923774</v>
      </c>
      <c r="W58" s="107">
        <f t="shared" si="10"/>
        <v>161250</v>
      </c>
      <c r="X58" s="107">
        <f t="shared" si="11"/>
        <v>-3750</v>
      </c>
      <c r="Y58" s="66" t="s">
        <v>309</v>
      </c>
      <c r="AB58" s="61">
        <f t="shared" si="12"/>
        <v>12000</v>
      </c>
      <c r="AC58" s="66">
        <v>8000.0</v>
      </c>
      <c r="AD58" s="66">
        <f t="shared" si="13"/>
        <v>2000</v>
      </c>
      <c r="AE58" s="61">
        <f t="shared" si="14"/>
        <v>0</v>
      </c>
      <c r="AF58" s="61">
        <f t="shared" si="15"/>
        <v>0</v>
      </c>
      <c r="AG58" s="61">
        <f t="shared" si="16"/>
        <v>0</v>
      </c>
      <c r="AI58" s="66">
        <v>2000.0</v>
      </c>
    </row>
    <row r="59" ht="15.75" customHeight="1">
      <c r="A59" s="66" t="s">
        <v>310</v>
      </c>
      <c r="E59" s="104"/>
      <c r="F59" s="105" t="s">
        <v>56</v>
      </c>
      <c r="G59" s="105" t="s">
        <v>57</v>
      </c>
      <c r="H59" s="104">
        <v>1090.0</v>
      </c>
      <c r="I59" s="104"/>
      <c r="J59" s="104">
        <v>90000.0</v>
      </c>
      <c r="K59" s="106">
        <f t="shared" si="1"/>
        <v>82.56880734</v>
      </c>
      <c r="L59" s="104">
        <v>205000.0</v>
      </c>
      <c r="M59" s="107"/>
      <c r="N59" s="106">
        <f t="shared" si="2"/>
        <v>188.0733945</v>
      </c>
      <c r="O59" s="104">
        <f t="shared" si="3"/>
        <v>115000</v>
      </c>
      <c r="P59" s="104">
        <v>50000.0</v>
      </c>
      <c r="Q59" s="107">
        <f t="shared" si="4"/>
        <v>12300</v>
      </c>
      <c r="R59" s="60">
        <f t="shared" si="5"/>
        <v>7615</v>
      </c>
      <c r="S59" s="107">
        <f t="shared" si="6"/>
        <v>152300</v>
      </c>
      <c r="T59" s="107">
        <f t="shared" si="17"/>
        <v>52700</v>
      </c>
      <c r="U59" s="108">
        <f t="shared" si="8"/>
        <v>45085</v>
      </c>
      <c r="V59" s="109">
        <f t="shared" si="9"/>
        <v>0.3460275772</v>
      </c>
      <c r="W59" s="107">
        <f t="shared" si="10"/>
        <v>103750</v>
      </c>
      <c r="X59" s="107">
        <f t="shared" si="11"/>
        <v>13750</v>
      </c>
      <c r="Y59" s="66" t="s">
        <v>311</v>
      </c>
      <c r="AB59" s="61">
        <f t="shared" si="12"/>
        <v>14000</v>
      </c>
      <c r="AC59" s="66">
        <v>8000.0</v>
      </c>
      <c r="AD59" s="66">
        <f t="shared" si="13"/>
        <v>4000</v>
      </c>
      <c r="AE59" s="61">
        <f t="shared" si="14"/>
        <v>0</v>
      </c>
      <c r="AF59" s="61">
        <f t="shared" si="15"/>
        <v>0</v>
      </c>
      <c r="AG59" s="61">
        <f t="shared" si="16"/>
        <v>0</v>
      </c>
      <c r="AI59" s="66">
        <v>2000.0</v>
      </c>
    </row>
    <row r="60" ht="15.75" customHeight="1">
      <c r="A60" s="66" t="s">
        <v>312</v>
      </c>
      <c r="E60" s="104"/>
      <c r="F60" s="105"/>
      <c r="G60" s="105"/>
      <c r="H60" s="104"/>
      <c r="I60" s="104"/>
      <c r="J60" s="104"/>
      <c r="K60" s="106" t="str">
        <f t="shared" si="1"/>
        <v>#DIV/0!</v>
      </c>
      <c r="L60" s="104"/>
      <c r="M60" s="107"/>
      <c r="N60" s="106" t="str">
        <f t="shared" si="2"/>
        <v>#DIV/0!</v>
      </c>
      <c r="O60" s="104">
        <f t="shared" si="3"/>
        <v>0</v>
      </c>
      <c r="P60" s="104"/>
      <c r="Q60" s="107">
        <f t="shared" si="4"/>
        <v>0</v>
      </c>
      <c r="R60" s="60">
        <f t="shared" si="5"/>
        <v>0</v>
      </c>
      <c r="S60" s="107">
        <f t="shared" si="6"/>
        <v>0</v>
      </c>
      <c r="T60" s="107">
        <f t="shared" si="17"/>
        <v>0</v>
      </c>
      <c r="U60" s="108">
        <f t="shared" si="8"/>
        <v>0</v>
      </c>
      <c r="V60" s="109" t="str">
        <f t="shared" si="9"/>
        <v>#DIV/0!</v>
      </c>
      <c r="W60" s="107">
        <f t="shared" si="10"/>
        <v>0</v>
      </c>
      <c r="X60" s="107">
        <f t="shared" si="11"/>
        <v>0</v>
      </c>
      <c r="AB60" s="61">
        <f t="shared" si="12"/>
        <v>10000</v>
      </c>
      <c r="AC60" s="66">
        <v>8000.0</v>
      </c>
      <c r="AD60" s="66">
        <f t="shared" si="13"/>
        <v>0</v>
      </c>
      <c r="AE60" s="61">
        <f t="shared" si="14"/>
        <v>0</v>
      </c>
      <c r="AF60" s="61">
        <f t="shared" si="15"/>
        <v>0</v>
      </c>
      <c r="AG60" s="61">
        <f t="shared" si="16"/>
        <v>0</v>
      </c>
      <c r="AI60" s="66">
        <v>2000.0</v>
      </c>
    </row>
    <row r="61" ht="15.75" customHeight="1">
      <c r="A61" s="66" t="s">
        <v>313</v>
      </c>
      <c r="E61" s="104"/>
      <c r="F61" s="105" t="s">
        <v>56</v>
      </c>
      <c r="G61" s="105" t="s">
        <v>81</v>
      </c>
      <c r="H61" s="104">
        <v>1449.0</v>
      </c>
      <c r="I61" s="104"/>
      <c r="J61" s="104">
        <v>200000.0</v>
      </c>
      <c r="K61" s="106">
        <f t="shared" si="1"/>
        <v>138.026225</v>
      </c>
      <c r="L61" s="104">
        <v>350000.0</v>
      </c>
      <c r="M61" s="107"/>
      <c r="N61" s="106">
        <f t="shared" si="2"/>
        <v>241.5458937</v>
      </c>
      <c r="O61" s="104">
        <f t="shared" si="3"/>
        <v>150000</v>
      </c>
      <c r="P61" s="104">
        <v>50000.0</v>
      </c>
      <c r="Q61" s="107">
        <f t="shared" si="4"/>
        <v>21000</v>
      </c>
      <c r="R61" s="60">
        <f t="shared" si="5"/>
        <v>13550</v>
      </c>
      <c r="S61" s="107">
        <f t="shared" si="6"/>
        <v>271000</v>
      </c>
      <c r="T61" s="107">
        <f t="shared" si="17"/>
        <v>79000</v>
      </c>
      <c r="U61" s="108">
        <f t="shared" si="8"/>
        <v>65450</v>
      </c>
      <c r="V61" s="109">
        <f t="shared" si="9"/>
        <v>0.2915129151</v>
      </c>
      <c r="W61" s="107">
        <f t="shared" si="10"/>
        <v>212500</v>
      </c>
      <c r="X61" s="107">
        <f t="shared" si="11"/>
        <v>12500</v>
      </c>
      <c r="AB61" s="61">
        <f t="shared" si="12"/>
        <v>12000</v>
      </c>
      <c r="AC61" s="66">
        <v>8000.0</v>
      </c>
      <c r="AD61" s="66">
        <f t="shared" si="13"/>
        <v>2000</v>
      </c>
      <c r="AE61" s="61">
        <f t="shared" si="14"/>
        <v>0</v>
      </c>
      <c r="AF61" s="61">
        <f t="shared" si="15"/>
        <v>0</v>
      </c>
      <c r="AG61" s="61">
        <f t="shared" si="16"/>
        <v>0</v>
      </c>
      <c r="AI61" s="66">
        <v>2000.0</v>
      </c>
    </row>
    <row r="62" ht="15.75" customHeight="1">
      <c r="A62" s="66" t="s">
        <v>314</v>
      </c>
      <c r="D62" s="66">
        <v>1.6032868E7</v>
      </c>
      <c r="E62" s="104"/>
      <c r="F62" s="105" t="s">
        <v>56</v>
      </c>
      <c r="G62" s="105" t="s">
        <v>57</v>
      </c>
      <c r="H62" s="104">
        <v>1150.0</v>
      </c>
      <c r="I62" s="104"/>
      <c r="J62" s="104">
        <v>160000.0</v>
      </c>
      <c r="K62" s="106">
        <f t="shared" si="1"/>
        <v>139.1304348</v>
      </c>
      <c r="L62" s="104">
        <v>220000.0</v>
      </c>
      <c r="M62" s="107"/>
      <c r="N62" s="106">
        <f t="shared" si="2"/>
        <v>191.3043478</v>
      </c>
      <c r="O62" s="104">
        <f t="shared" si="3"/>
        <v>60000</v>
      </c>
      <c r="P62" s="104">
        <v>30000.0</v>
      </c>
      <c r="Q62" s="107">
        <f t="shared" si="4"/>
        <v>13200</v>
      </c>
      <c r="R62" s="60">
        <f t="shared" si="5"/>
        <v>10160</v>
      </c>
      <c r="S62" s="107">
        <f t="shared" si="6"/>
        <v>203200</v>
      </c>
      <c r="T62" s="107">
        <f t="shared" si="17"/>
        <v>16800</v>
      </c>
      <c r="U62" s="108">
        <f t="shared" si="8"/>
        <v>6640</v>
      </c>
      <c r="V62" s="109">
        <f t="shared" si="9"/>
        <v>0.08267716535</v>
      </c>
      <c r="W62" s="107">
        <f t="shared" si="10"/>
        <v>135000</v>
      </c>
      <c r="X62" s="107">
        <f t="shared" si="11"/>
        <v>-25000</v>
      </c>
      <c r="AB62" s="61">
        <f t="shared" si="12"/>
        <v>14000</v>
      </c>
      <c r="AC62" s="66">
        <v>8000.0</v>
      </c>
      <c r="AD62" s="66">
        <f t="shared" si="13"/>
        <v>4000</v>
      </c>
      <c r="AE62" s="61">
        <f t="shared" si="14"/>
        <v>0</v>
      </c>
      <c r="AF62" s="61">
        <f t="shared" si="15"/>
        <v>0</v>
      </c>
      <c r="AG62" s="61">
        <f t="shared" si="16"/>
        <v>0</v>
      </c>
      <c r="AI62" s="66">
        <v>2000.0</v>
      </c>
    </row>
    <row r="63" ht="15.75" customHeight="1">
      <c r="A63" s="66" t="s">
        <v>315</v>
      </c>
      <c r="C63" s="110">
        <v>42529.0</v>
      </c>
      <c r="D63" s="66"/>
      <c r="E63" s="104"/>
      <c r="F63" s="105"/>
      <c r="G63" s="105"/>
      <c r="H63" s="104"/>
      <c r="I63" s="104"/>
      <c r="J63" s="104"/>
      <c r="K63" s="106" t="str">
        <f t="shared" si="1"/>
        <v>#DIV/0!</v>
      </c>
      <c r="L63" s="104"/>
      <c r="M63" s="107"/>
      <c r="N63" s="106" t="str">
        <f t="shared" si="2"/>
        <v>#DIV/0!</v>
      </c>
      <c r="O63" s="104">
        <f t="shared" si="3"/>
        <v>0</v>
      </c>
      <c r="P63" s="104">
        <v>30000.0</v>
      </c>
      <c r="Q63" s="107">
        <f t="shared" si="4"/>
        <v>0</v>
      </c>
      <c r="R63" s="60">
        <f t="shared" si="5"/>
        <v>1500</v>
      </c>
      <c r="S63" s="107">
        <f t="shared" si="6"/>
        <v>30000</v>
      </c>
      <c r="T63" s="107">
        <f t="shared" si="17"/>
        <v>-30000</v>
      </c>
      <c r="U63" s="108">
        <f t="shared" si="8"/>
        <v>-31500</v>
      </c>
      <c r="V63" s="109">
        <f t="shared" si="9"/>
        <v>-1</v>
      </c>
      <c r="W63" s="107">
        <f t="shared" si="10"/>
        <v>-30000</v>
      </c>
      <c r="X63" s="107">
        <f t="shared" si="11"/>
        <v>-30000</v>
      </c>
      <c r="AB63" s="61">
        <f t="shared" si="12"/>
        <v>10000</v>
      </c>
      <c r="AC63" s="66">
        <v>8000.0</v>
      </c>
      <c r="AD63" s="66">
        <f t="shared" si="13"/>
        <v>0</v>
      </c>
      <c r="AE63" s="61">
        <f t="shared" si="14"/>
        <v>0</v>
      </c>
      <c r="AF63" s="61">
        <f t="shared" si="15"/>
        <v>0</v>
      </c>
      <c r="AG63" s="61">
        <f t="shared" si="16"/>
        <v>0</v>
      </c>
      <c r="AI63" s="66">
        <v>2000.0</v>
      </c>
    </row>
    <row r="64" ht="15.75" customHeight="1">
      <c r="A64" s="66" t="s">
        <v>316</v>
      </c>
      <c r="D64" s="66"/>
      <c r="E64" s="104"/>
      <c r="F64" s="105" t="s">
        <v>57</v>
      </c>
      <c r="G64" s="105" t="s">
        <v>81</v>
      </c>
      <c r="H64" s="104">
        <v>937.0</v>
      </c>
      <c r="I64" s="104"/>
      <c r="J64" s="104">
        <v>99000.0</v>
      </c>
      <c r="K64" s="106">
        <f t="shared" si="1"/>
        <v>105.6563501</v>
      </c>
      <c r="L64" s="104">
        <v>155000.0</v>
      </c>
      <c r="M64" s="107"/>
      <c r="N64" s="106">
        <f t="shared" si="2"/>
        <v>165.4215582</v>
      </c>
      <c r="O64" s="104">
        <f t="shared" si="3"/>
        <v>56000</v>
      </c>
      <c r="P64" s="104">
        <v>30000.0</v>
      </c>
      <c r="Q64" s="107">
        <f t="shared" si="4"/>
        <v>9300</v>
      </c>
      <c r="R64" s="60">
        <f t="shared" si="5"/>
        <v>6915</v>
      </c>
      <c r="S64" s="107">
        <f t="shared" si="6"/>
        <v>138300</v>
      </c>
      <c r="T64" s="107">
        <f t="shared" si="17"/>
        <v>16700</v>
      </c>
      <c r="U64" s="108">
        <f t="shared" si="8"/>
        <v>9785</v>
      </c>
      <c r="V64" s="109">
        <f t="shared" si="9"/>
        <v>0.1207519884</v>
      </c>
      <c r="W64" s="107">
        <f t="shared" si="10"/>
        <v>86250</v>
      </c>
      <c r="X64" s="107">
        <f t="shared" si="11"/>
        <v>-12750</v>
      </c>
      <c r="AB64" s="61">
        <f t="shared" si="12"/>
        <v>12000</v>
      </c>
      <c r="AC64" s="66">
        <v>8000.0</v>
      </c>
      <c r="AD64" s="66">
        <f t="shared" si="13"/>
        <v>2000</v>
      </c>
      <c r="AE64" s="61">
        <f t="shared" si="14"/>
        <v>0</v>
      </c>
      <c r="AF64" s="61">
        <f t="shared" si="15"/>
        <v>0</v>
      </c>
      <c r="AG64" s="61">
        <f t="shared" si="16"/>
        <v>0</v>
      </c>
      <c r="AI64" s="66">
        <v>2000.0</v>
      </c>
    </row>
    <row r="65" ht="15.75" customHeight="1">
      <c r="A65" s="66" t="s">
        <v>317</v>
      </c>
      <c r="D65" s="66"/>
      <c r="E65" s="104"/>
      <c r="F65" s="105" t="s">
        <v>56</v>
      </c>
      <c r="G65" s="105" t="s">
        <v>57</v>
      </c>
      <c r="H65" s="104">
        <v>1276.0</v>
      </c>
      <c r="I65" s="104"/>
      <c r="J65" s="104">
        <v>178000.0</v>
      </c>
      <c r="K65" s="106">
        <f t="shared" si="1"/>
        <v>139.4984326</v>
      </c>
      <c r="L65" s="104">
        <v>230000.0</v>
      </c>
      <c r="M65" s="107"/>
      <c r="N65" s="106">
        <f t="shared" si="2"/>
        <v>180.2507837</v>
      </c>
      <c r="O65" s="104">
        <f t="shared" si="3"/>
        <v>52000</v>
      </c>
      <c r="P65" s="104">
        <v>30000.0</v>
      </c>
      <c r="Q65" s="107">
        <f t="shared" si="4"/>
        <v>13800</v>
      </c>
      <c r="R65" s="60">
        <f t="shared" si="5"/>
        <v>11090</v>
      </c>
      <c r="S65" s="107">
        <f t="shared" si="6"/>
        <v>221800</v>
      </c>
      <c r="T65" s="107">
        <f t="shared" si="17"/>
        <v>8200</v>
      </c>
      <c r="U65" s="108">
        <f t="shared" si="8"/>
        <v>-2890</v>
      </c>
      <c r="V65" s="109">
        <f t="shared" si="9"/>
        <v>0.03697024346</v>
      </c>
      <c r="W65" s="107">
        <f t="shared" si="10"/>
        <v>142500</v>
      </c>
      <c r="X65" s="107">
        <f t="shared" si="11"/>
        <v>-35500</v>
      </c>
      <c r="Y65" s="66" t="s">
        <v>318</v>
      </c>
      <c r="AB65" s="61">
        <f t="shared" si="12"/>
        <v>14000</v>
      </c>
      <c r="AC65" s="66">
        <v>8000.0</v>
      </c>
      <c r="AD65" s="66">
        <f t="shared" si="13"/>
        <v>4000</v>
      </c>
      <c r="AE65" s="61">
        <f t="shared" si="14"/>
        <v>0</v>
      </c>
      <c r="AF65" s="61">
        <f t="shared" si="15"/>
        <v>0</v>
      </c>
      <c r="AG65" s="61">
        <f t="shared" si="16"/>
        <v>0</v>
      </c>
      <c r="AI65" s="66">
        <v>2000.0</v>
      </c>
    </row>
    <row r="66" ht="15.75" customHeight="1">
      <c r="A66" s="66" t="s">
        <v>319</v>
      </c>
      <c r="D66" s="66"/>
      <c r="E66" s="104"/>
      <c r="F66" s="105"/>
      <c r="G66" s="105"/>
      <c r="H66" s="104"/>
      <c r="I66" s="104"/>
      <c r="J66" s="104">
        <v>305000.0</v>
      </c>
      <c r="K66" s="106" t="str">
        <f t="shared" si="1"/>
        <v>#DIV/0!</v>
      </c>
      <c r="L66" s="104">
        <v>475000.0</v>
      </c>
      <c r="M66" s="107"/>
      <c r="N66" s="106" t="str">
        <f t="shared" si="2"/>
        <v>#DIV/0!</v>
      </c>
      <c r="O66" s="104">
        <f t="shared" si="3"/>
        <v>170000</v>
      </c>
      <c r="P66" s="104">
        <v>75000.0</v>
      </c>
      <c r="Q66" s="107">
        <f t="shared" si="4"/>
        <v>28500</v>
      </c>
      <c r="R66" s="60">
        <f t="shared" si="5"/>
        <v>20425</v>
      </c>
      <c r="S66" s="107">
        <f t="shared" si="6"/>
        <v>408500</v>
      </c>
      <c r="T66" s="107">
        <f t="shared" si="17"/>
        <v>66500</v>
      </c>
      <c r="U66" s="108">
        <f t="shared" si="8"/>
        <v>46075</v>
      </c>
      <c r="V66" s="109">
        <f t="shared" si="9"/>
        <v>0.1627906977</v>
      </c>
      <c r="W66" s="107">
        <f t="shared" si="10"/>
        <v>281250</v>
      </c>
      <c r="X66" s="107">
        <f t="shared" si="11"/>
        <v>-23750</v>
      </c>
      <c r="Y66" s="66" t="s">
        <v>320</v>
      </c>
      <c r="AB66" s="61">
        <f t="shared" si="12"/>
        <v>10000</v>
      </c>
      <c r="AC66" s="66">
        <v>8000.0</v>
      </c>
      <c r="AD66" s="66">
        <f t="shared" si="13"/>
        <v>0</v>
      </c>
      <c r="AE66" s="61">
        <f t="shared" si="14"/>
        <v>0</v>
      </c>
      <c r="AF66" s="61">
        <f t="shared" si="15"/>
        <v>0</v>
      </c>
      <c r="AG66" s="61">
        <f t="shared" si="16"/>
        <v>0</v>
      </c>
      <c r="AI66" s="66">
        <v>2000.0</v>
      </c>
    </row>
    <row r="67" ht="15.75" customHeight="1">
      <c r="A67" s="66" t="s">
        <v>321</v>
      </c>
      <c r="B67" s="66" t="s">
        <v>322</v>
      </c>
      <c r="C67" s="110">
        <v>42535.0</v>
      </c>
      <c r="D67" s="66">
        <v>1.4006193E7</v>
      </c>
      <c r="E67" s="104" t="s">
        <v>250</v>
      </c>
      <c r="F67" s="105"/>
      <c r="G67" s="105"/>
      <c r="H67" s="104">
        <v>1328.0</v>
      </c>
      <c r="I67" s="104"/>
      <c r="J67" s="104">
        <v>275000.0</v>
      </c>
      <c r="K67" s="106">
        <f t="shared" si="1"/>
        <v>207.0783133</v>
      </c>
      <c r="L67" s="104">
        <v>535000.0</v>
      </c>
      <c r="M67" s="107"/>
      <c r="N67" s="106">
        <f t="shared" si="2"/>
        <v>402.8614458</v>
      </c>
      <c r="O67" s="104">
        <f t="shared" si="3"/>
        <v>260000</v>
      </c>
      <c r="P67" s="104">
        <v>150000.0</v>
      </c>
      <c r="Q67" s="107">
        <f t="shared" si="4"/>
        <v>32100</v>
      </c>
      <c r="R67" s="60">
        <f t="shared" si="5"/>
        <v>22855</v>
      </c>
      <c r="S67" s="107">
        <f t="shared" si="6"/>
        <v>457100</v>
      </c>
      <c r="T67" s="107">
        <f t="shared" si="17"/>
        <v>77900</v>
      </c>
      <c r="U67" s="108">
        <f t="shared" si="8"/>
        <v>55045</v>
      </c>
      <c r="V67" s="109">
        <f t="shared" si="9"/>
        <v>0.1704222271</v>
      </c>
      <c r="W67" s="107">
        <f t="shared" si="10"/>
        <v>251250</v>
      </c>
      <c r="X67" s="107">
        <f t="shared" si="11"/>
        <v>-23750</v>
      </c>
      <c r="Y67" s="66" t="s">
        <v>323</v>
      </c>
      <c r="AB67" s="61">
        <f t="shared" si="12"/>
        <v>10000</v>
      </c>
      <c r="AC67" s="66">
        <v>8000.0</v>
      </c>
      <c r="AD67" s="66">
        <f t="shared" si="13"/>
        <v>0</v>
      </c>
      <c r="AE67" s="61">
        <f t="shared" si="14"/>
        <v>0</v>
      </c>
      <c r="AF67" s="61">
        <f t="shared" si="15"/>
        <v>0</v>
      </c>
      <c r="AG67" s="61">
        <f t="shared" si="16"/>
        <v>0</v>
      </c>
      <c r="AI67" s="66">
        <v>2000.0</v>
      </c>
    </row>
    <row r="68" ht="15.75" customHeight="1">
      <c r="A68" s="66" t="s">
        <v>324</v>
      </c>
      <c r="C68" s="110">
        <v>42536.0</v>
      </c>
      <c r="D68" s="104"/>
      <c r="E68" s="104"/>
      <c r="F68" s="105"/>
      <c r="G68" s="105"/>
      <c r="H68" s="104">
        <v>2171.0</v>
      </c>
      <c r="I68" s="104"/>
      <c r="J68" s="104">
        <v>300000.0</v>
      </c>
      <c r="K68" s="106">
        <f t="shared" si="1"/>
        <v>138.1851681</v>
      </c>
      <c r="L68" s="104">
        <v>380000.0</v>
      </c>
      <c r="M68" s="107"/>
      <c r="N68" s="106">
        <f t="shared" si="2"/>
        <v>175.0345463</v>
      </c>
      <c r="O68" s="104">
        <f t="shared" si="3"/>
        <v>80000</v>
      </c>
      <c r="P68" s="104">
        <v>15000.0</v>
      </c>
      <c r="Q68" s="107">
        <f t="shared" si="4"/>
        <v>22800</v>
      </c>
      <c r="R68" s="60">
        <f t="shared" si="5"/>
        <v>16890</v>
      </c>
      <c r="S68" s="107">
        <f t="shared" si="6"/>
        <v>337800</v>
      </c>
      <c r="T68" s="107">
        <f t="shared" si="17"/>
        <v>42200</v>
      </c>
      <c r="U68" s="108">
        <f t="shared" si="8"/>
        <v>25310</v>
      </c>
      <c r="V68" s="109">
        <f t="shared" si="9"/>
        <v>0.1249259917</v>
      </c>
      <c r="W68" s="107">
        <f t="shared" si="10"/>
        <v>270000</v>
      </c>
      <c r="X68" s="107">
        <f t="shared" si="11"/>
        <v>-30000</v>
      </c>
      <c r="Y68" s="66" t="s">
        <v>318</v>
      </c>
      <c r="AB68" s="61">
        <f t="shared" si="12"/>
        <v>10000</v>
      </c>
      <c r="AC68" s="66">
        <v>8000.0</v>
      </c>
      <c r="AD68" s="66">
        <f t="shared" si="13"/>
        <v>0</v>
      </c>
      <c r="AE68" s="61">
        <f t="shared" si="14"/>
        <v>0</v>
      </c>
      <c r="AF68" s="61">
        <f t="shared" si="15"/>
        <v>0</v>
      </c>
      <c r="AG68" s="61">
        <f t="shared" si="16"/>
        <v>0</v>
      </c>
      <c r="AI68" s="66">
        <v>2000.0</v>
      </c>
    </row>
    <row r="69" ht="15.75" customHeight="1">
      <c r="A69" s="66" t="s">
        <v>325</v>
      </c>
      <c r="D69" s="104"/>
      <c r="E69" s="104"/>
      <c r="F69" s="105" t="s">
        <v>56</v>
      </c>
      <c r="G69" s="105" t="s">
        <v>57</v>
      </c>
      <c r="H69" s="104">
        <v>1275.0</v>
      </c>
      <c r="I69" s="104"/>
      <c r="J69" s="104">
        <v>140000.0</v>
      </c>
      <c r="K69" s="106">
        <f t="shared" si="1"/>
        <v>109.8039216</v>
      </c>
      <c r="L69" s="104">
        <v>230000.0</v>
      </c>
      <c r="M69" s="107"/>
      <c r="N69" s="106">
        <f t="shared" si="2"/>
        <v>180.3921569</v>
      </c>
      <c r="O69" s="104">
        <f t="shared" si="3"/>
        <v>90000</v>
      </c>
      <c r="P69" s="104">
        <v>50000.0</v>
      </c>
      <c r="Q69" s="107">
        <f t="shared" si="4"/>
        <v>13800</v>
      </c>
      <c r="R69" s="60">
        <f t="shared" si="5"/>
        <v>10190</v>
      </c>
      <c r="S69" s="107">
        <f t="shared" si="6"/>
        <v>203800</v>
      </c>
      <c r="T69" s="107">
        <f t="shared" si="17"/>
        <v>26200</v>
      </c>
      <c r="U69" s="108">
        <f t="shared" si="8"/>
        <v>16010</v>
      </c>
      <c r="V69" s="109">
        <f t="shared" si="9"/>
        <v>0.1285574092</v>
      </c>
      <c r="W69" s="107">
        <f t="shared" si="10"/>
        <v>122500</v>
      </c>
      <c r="X69" s="107">
        <f t="shared" si="11"/>
        <v>-17500</v>
      </c>
      <c r="Y69" s="66" t="s">
        <v>302</v>
      </c>
      <c r="AB69" s="61">
        <f t="shared" si="12"/>
        <v>14000</v>
      </c>
      <c r="AC69" s="66">
        <v>8000.0</v>
      </c>
      <c r="AD69" s="66">
        <f t="shared" si="13"/>
        <v>4000</v>
      </c>
      <c r="AE69" s="61">
        <f t="shared" si="14"/>
        <v>0</v>
      </c>
      <c r="AF69" s="61">
        <f t="shared" si="15"/>
        <v>0</v>
      </c>
      <c r="AG69" s="61">
        <f t="shared" si="16"/>
        <v>0</v>
      </c>
      <c r="AI69" s="66">
        <v>2000.0</v>
      </c>
    </row>
    <row r="70" ht="15.75" customHeight="1">
      <c r="A70" s="66" t="s">
        <v>326</v>
      </c>
      <c r="D70" s="104"/>
      <c r="E70" s="104"/>
      <c r="F70" s="105" t="s">
        <v>93</v>
      </c>
      <c r="G70" s="105" t="s">
        <v>57</v>
      </c>
      <c r="H70" s="104">
        <v>2000.0</v>
      </c>
      <c r="I70" s="104"/>
      <c r="J70" s="104">
        <v>315000.0</v>
      </c>
      <c r="K70" s="106">
        <f t="shared" si="1"/>
        <v>157.5</v>
      </c>
      <c r="L70" s="104">
        <v>430000.0</v>
      </c>
      <c r="M70" s="107"/>
      <c r="N70" s="106">
        <f t="shared" si="2"/>
        <v>215</v>
      </c>
      <c r="O70" s="104">
        <f t="shared" si="3"/>
        <v>115000</v>
      </c>
      <c r="P70" s="104">
        <v>50000.0</v>
      </c>
      <c r="Q70" s="107">
        <f t="shared" si="4"/>
        <v>25800</v>
      </c>
      <c r="R70" s="60">
        <f t="shared" si="5"/>
        <v>19540</v>
      </c>
      <c r="S70" s="107">
        <f t="shared" si="6"/>
        <v>390800</v>
      </c>
      <c r="T70" s="107">
        <f t="shared" si="17"/>
        <v>39200</v>
      </c>
      <c r="U70" s="108">
        <f t="shared" si="8"/>
        <v>19660</v>
      </c>
      <c r="V70" s="109">
        <f t="shared" si="9"/>
        <v>0.1003070624</v>
      </c>
      <c r="W70" s="107">
        <f t="shared" si="10"/>
        <v>272500</v>
      </c>
      <c r="X70" s="107">
        <f t="shared" si="11"/>
        <v>-42500</v>
      </c>
      <c r="AB70" s="61">
        <f t="shared" si="12"/>
        <v>14000</v>
      </c>
      <c r="AC70" s="66">
        <v>8000.0</v>
      </c>
      <c r="AD70" s="66">
        <f t="shared" si="13"/>
        <v>4000</v>
      </c>
      <c r="AE70" s="61">
        <f t="shared" si="14"/>
        <v>0</v>
      </c>
      <c r="AF70" s="61">
        <f t="shared" si="15"/>
        <v>0</v>
      </c>
      <c r="AG70" s="61">
        <f t="shared" si="16"/>
        <v>0</v>
      </c>
      <c r="AI70" s="66">
        <v>2000.0</v>
      </c>
    </row>
    <row r="71" ht="15.75" customHeight="1">
      <c r="A71" s="66" t="s">
        <v>327</v>
      </c>
      <c r="D71" s="104"/>
      <c r="E71" s="104"/>
      <c r="F71" s="105" t="s">
        <v>56</v>
      </c>
      <c r="G71" s="105" t="s">
        <v>56</v>
      </c>
      <c r="H71" s="104">
        <v>1334.0</v>
      </c>
      <c r="I71" s="104"/>
      <c r="J71" s="104">
        <v>220000.0</v>
      </c>
      <c r="K71" s="106">
        <f t="shared" si="1"/>
        <v>164.9175412</v>
      </c>
      <c r="L71" s="104">
        <v>310000.0</v>
      </c>
      <c r="M71" s="107"/>
      <c r="N71" s="106">
        <f t="shared" si="2"/>
        <v>232.3838081</v>
      </c>
      <c r="O71" s="104">
        <f t="shared" si="3"/>
        <v>90000</v>
      </c>
      <c r="P71" s="104">
        <v>20000.0</v>
      </c>
      <c r="Q71" s="107">
        <f t="shared" si="4"/>
        <v>18600</v>
      </c>
      <c r="R71" s="60">
        <f t="shared" si="5"/>
        <v>12930</v>
      </c>
      <c r="S71" s="107">
        <f t="shared" si="6"/>
        <v>258600</v>
      </c>
      <c r="T71" s="107">
        <f t="shared" si="17"/>
        <v>51400</v>
      </c>
      <c r="U71" s="108">
        <f t="shared" si="8"/>
        <v>38470</v>
      </c>
      <c r="V71" s="109">
        <f t="shared" si="9"/>
        <v>0.1987625677</v>
      </c>
      <c r="W71" s="107">
        <f t="shared" si="10"/>
        <v>212500</v>
      </c>
      <c r="X71" s="107">
        <f t="shared" si="11"/>
        <v>-7500</v>
      </c>
      <c r="Y71" s="66" t="s">
        <v>328</v>
      </c>
      <c r="AB71" s="61">
        <f t="shared" si="12"/>
        <v>16000</v>
      </c>
      <c r="AC71" s="66">
        <v>8000.0</v>
      </c>
      <c r="AD71" s="66">
        <f t="shared" si="13"/>
        <v>6000</v>
      </c>
      <c r="AE71" s="61">
        <f t="shared" si="14"/>
        <v>0</v>
      </c>
      <c r="AF71" s="61">
        <f t="shared" si="15"/>
        <v>0</v>
      </c>
      <c r="AG71" s="61">
        <f t="shared" si="16"/>
        <v>0</v>
      </c>
      <c r="AI71" s="66">
        <v>2000.0</v>
      </c>
    </row>
    <row r="72" ht="15.75" customHeight="1">
      <c r="A72" s="66"/>
      <c r="B72" s="66" t="s">
        <v>329</v>
      </c>
      <c r="C72" s="110">
        <v>42544.0</v>
      </c>
      <c r="D72" s="104"/>
      <c r="E72" s="104"/>
      <c r="F72" s="105"/>
      <c r="G72" s="105"/>
      <c r="H72" s="104"/>
      <c r="I72" s="104"/>
      <c r="J72" s="104"/>
      <c r="K72" s="106" t="str">
        <f t="shared" si="1"/>
        <v>#DIV/0!</v>
      </c>
      <c r="L72" s="104"/>
      <c r="M72" s="107"/>
      <c r="N72" s="106" t="str">
        <f t="shared" si="2"/>
        <v>#DIV/0!</v>
      </c>
      <c r="O72" s="104">
        <f t="shared" si="3"/>
        <v>0</v>
      </c>
      <c r="P72" s="104"/>
      <c r="Q72" s="107">
        <f t="shared" si="4"/>
        <v>0</v>
      </c>
      <c r="R72" s="60">
        <f t="shared" si="5"/>
        <v>0</v>
      </c>
      <c r="S72" s="107">
        <f t="shared" si="6"/>
        <v>0</v>
      </c>
      <c r="T72" s="107">
        <f t="shared" si="17"/>
        <v>0</v>
      </c>
      <c r="U72" s="108">
        <f t="shared" si="8"/>
        <v>0</v>
      </c>
      <c r="V72" s="109" t="str">
        <f t="shared" si="9"/>
        <v>#DIV/0!</v>
      </c>
      <c r="W72" s="107">
        <f t="shared" si="10"/>
        <v>0</v>
      </c>
      <c r="X72" s="107">
        <f t="shared" si="11"/>
        <v>0</v>
      </c>
      <c r="AB72" s="61">
        <f t="shared" si="12"/>
        <v>10000</v>
      </c>
      <c r="AC72" s="66">
        <v>8000.0</v>
      </c>
      <c r="AD72" s="66">
        <f t="shared" si="13"/>
        <v>0</v>
      </c>
      <c r="AE72" s="61">
        <f t="shared" si="14"/>
        <v>0</v>
      </c>
      <c r="AF72" s="61">
        <f t="shared" si="15"/>
        <v>0</v>
      </c>
      <c r="AG72" s="61">
        <f t="shared" si="16"/>
        <v>0</v>
      </c>
      <c r="AI72" s="66">
        <v>2000.0</v>
      </c>
    </row>
    <row r="73" ht="15.75" customHeight="1">
      <c r="A73" s="66" t="s">
        <v>330</v>
      </c>
      <c r="B73" s="66" t="s">
        <v>331</v>
      </c>
      <c r="D73" s="104"/>
      <c r="E73" s="104"/>
      <c r="F73" s="105"/>
      <c r="G73" s="105"/>
      <c r="H73" s="104">
        <v>1900.0</v>
      </c>
      <c r="I73" s="104"/>
      <c r="J73" s="104">
        <v>380000.0</v>
      </c>
      <c r="K73" s="106">
        <f t="shared" si="1"/>
        <v>200</v>
      </c>
      <c r="L73" s="104">
        <v>450000.0</v>
      </c>
      <c r="M73" s="107"/>
      <c r="N73" s="106">
        <f t="shared" si="2"/>
        <v>236.8421053</v>
      </c>
      <c r="O73" s="104">
        <f t="shared" si="3"/>
        <v>70000</v>
      </c>
      <c r="P73" s="104">
        <v>30000.0</v>
      </c>
      <c r="Q73" s="107">
        <f t="shared" si="4"/>
        <v>27000</v>
      </c>
      <c r="R73" s="60">
        <f t="shared" si="5"/>
        <v>21850</v>
      </c>
      <c r="S73" s="107">
        <f t="shared" si="6"/>
        <v>437000</v>
      </c>
      <c r="T73" s="107">
        <f t="shared" si="17"/>
        <v>13000</v>
      </c>
      <c r="U73" s="108">
        <f t="shared" si="8"/>
        <v>-8850</v>
      </c>
      <c r="V73" s="109">
        <f t="shared" si="9"/>
        <v>0.02974828375</v>
      </c>
      <c r="W73" s="107">
        <f t="shared" si="10"/>
        <v>307500</v>
      </c>
      <c r="X73" s="107">
        <f t="shared" si="11"/>
        <v>-72500</v>
      </c>
      <c r="AB73" s="61">
        <f t="shared" si="12"/>
        <v>10000</v>
      </c>
      <c r="AC73" s="66">
        <v>8000.0</v>
      </c>
      <c r="AD73" s="66">
        <f t="shared" si="13"/>
        <v>0</v>
      </c>
      <c r="AE73" s="61">
        <f t="shared" si="14"/>
        <v>0</v>
      </c>
      <c r="AF73" s="61">
        <f t="shared" si="15"/>
        <v>0</v>
      </c>
      <c r="AG73" s="61">
        <f t="shared" si="16"/>
        <v>0</v>
      </c>
      <c r="AI73" s="66">
        <v>2000.0</v>
      </c>
    </row>
    <row r="74" ht="15.75" customHeight="1">
      <c r="A74" s="66" t="s">
        <v>332</v>
      </c>
      <c r="D74" s="104"/>
      <c r="E74" s="104"/>
      <c r="F74" s="105" t="s">
        <v>57</v>
      </c>
      <c r="G74" s="105" t="s">
        <v>57</v>
      </c>
      <c r="H74" s="104">
        <v>1500.0</v>
      </c>
      <c r="I74" s="104"/>
      <c r="J74" s="104">
        <v>215000.0</v>
      </c>
      <c r="K74" s="106">
        <f t="shared" si="1"/>
        <v>143.3333333</v>
      </c>
      <c r="L74" s="104">
        <v>325000.0</v>
      </c>
      <c r="M74" s="107"/>
      <c r="N74" s="106">
        <f t="shared" si="2"/>
        <v>216.6666667</v>
      </c>
      <c r="O74" s="104">
        <f t="shared" si="3"/>
        <v>110000</v>
      </c>
      <c r="P74" s="104">
        <v>40000.0</v>
      </c>
      <c r="Q74" s="107">
        <f t="shared" si="4"/>
        <v>19500</v>
      </c>
      <c r="R74" s="60">
        <f t="shared" si="5"/>
        <v>13725</v>
      </c>
      <c r="S74" s="107">
        <f t="shared" si="6"/>
        <v>274500</v>
      </c>
      <c r="T74" s="107">
        <f t="shared" si="17"/>
        <v>50500</v>
      </c>
      <c r="U74" s="108">
        <f t="shared" si="8"/>
        <v>36775</v>
      </c>
      <c r="V74" s="109">
        <f t="shared" si="9"/>
        <v>0.1839708561</v>
      </c>
      <c r="W74" s="107">
        <f t="shared" si="10"/>
        <v>203750</v>
      </c>
      <c r="X74" s="107">
        <f t="shared" si="11"/>
        <v>-11250</v>
      </c>
      <c r="AB74" s="61">
        <f t="shared" si="12"/>
        <v>14000</v>
      </c>
      <c r="AC74" s="66">
        <v>8000.0</v>
      </c>
      <c r="AD74" s="66">
        <f t="shared" si="13"/>
        <v>4000</v>
      </c>
      <c r="AE74" s="61">
        <f t="shared" si="14"/>
        <v>0</v>
      </c>
      <c r="AF74" s="61">
        <f t="shared" si="15"/>
        <v>0</v>
      </c>
      <c r="AG74" s="61">
        <f t="shared" si="16"/>
        <v>0</v>
      </c>
      <c r="AI74" s="66">
        <v>2000.0</v>
      </c>
    </row>
    <row r="75" ht="15.75" customHeight="1">
      <c r="A75" s="66" t="s">
        <v>333</v>
      </c>
      <c r="D75" s="104"/>
      <c r="E75" s="104"/>
      <c r="F75" s="105"/>
      <c r="G75" s="105"/>
      <c r="H75" s="104">
        <v>1050.0</v>
      </c>
      <c r="I75" s="104"/>
      <c r="J75" s="104">
        <v>131000.0</v>
      </c>
      <c r="K75" s="106">
        <f t="shared" si="1"/>
        <v>124.7619048</v>
      </c>
      <c r="L75" s="104">
        <v>235000.0</v>
      </c>
      <c r="M75" s="107"/>
      <c r="N75" s="106">
        <f t="shared" si="2"/>
        <v>223.8095238</v>
      </c>
      <c r="O75" s="104">
        <f t="shared" si="3"/>
        <v>104000</v>
      </c>
      <c r="P75" s="104">
        <v>70000.0</v>
      </c>
      <c r="Q75" s="107">
        <f t="shared" si="4"/>
        <v>14100</v>
      </c>
      <c r="R75" s="60">
        <f t="shared" si="5"/>
        <v>10755</v>
      </c>
      <c r="S75" s="107">
        <f t="shared" si="6"/>
        <v>215100</v>
      </c>
      <c r="T75" s="107">
        <f t="shared" si="17"/>
        <v>19900</v>
      </c>
      <c r="U75" s="108">
        <f t="shared" si="8"/>
        <v>9145</v>
      </c>
      <c r="V75" s="109">
        <f t="shared" si="9"/>
        <v>0.09251510925</v>
      </c>
      <c r="W75" s="107">
        <f t="shared" si="10"/>
        <v>106250</v>
      </c>
      <c r="X75" s="107">
        <f t="shared" si="11"/>
        <v>-24750</v>
      </c>
      <c r="AB75" s="61">
        <f t="shared" si="12"/>
        <v>10000</v>
      </c>
      <c r="AC75" s="66">
        <v>8000.0</v>
      </c>
      <c r="AD75" s="66">
        <f t="shared" si="13"/>
        <v>0</v>
      </c>
      <c r="AE75" s="61">
        <f t="shared" si="14"/>
        <v>0</v>
      </c>
      <c r="AF75" s="61">
        <f t="shared" si="15"/>
        <v>0</v>
      </c>
      <c r="AG75" s="61">
        <f t="shared" si="16"/>
        <v>0</v>
      </c>
      <c r="AI75" s="66">
        <v>2000.0</v>
      </c>
    </row>
    <row r="76" ht="15.75" customHeight="1">
      <c r="A76" s="66" t="s">
        <v>334</v>
      </c>
      <c r="B76" s="66" t="s">
        <v>335</v>
      </c>
      <c r="D76" s="104"/>
      <c r="E76" s="104"/>
      <c r="F76" s="105"/>
      <c r="G76" s="105"/>
      <c r="H76" s="104">
        <v>1500.0</v>
      </c>
      <c r="I76" s="104"/>
      <c r="J76" s="104">
        <v>173000.0</v>
      </c>
      <c r="K76" s="106">
        <f t="shared" si="1"/>
        <v>115.3333333</v>
      </c>
      <c r="L76" s="104">
        <v>500000.0</v>
      </c>
      <c r="M76" s="107"/>
      <c r="N76" s="106">
        <f t="shared" si="2"/>
        <v>333.3333333</v>
      </c>
      <c r="O76" s="104">
        <f t="shared" si="3"/>
        <v>327000</v>
      </c>
      <c r="P76" s="104">
        <v>200000.0</v>
      </c>
      <c r="Q76" s="107">
        <f t="shared" si="4"/>
        <v>30000</v>
      </c>
      <c r="R76" s="60">
        <f t="shared" si="5"/>
        <v>20150</v>
      </c>
      <c r="S76" s="107">
        <f t="shared" si="6"/>
        <v>403000</v>
      </c>
      <c r="T76" s="107">
        <f t="shared" si="17"/>
        <v>97000</v>
      </c>
      <c r="U76" s="108">
        <f t="shared" si="8"/>
        <v>76850</v>
      </c>
      <c r="V76" s="109">
        <f t="shared" si="9"/>
        <v>0.2406947891</v>
      </c>
      <c r="W76" s="107">
        <f t="shared" si="10"/>
        <v>175000</v>
      </c>
      <c r="X76" s="107">
        <f t="shared" si="11"/>
        <v>2000</v>
      </c>
      <c r="AB76" s="61">
        <f t="shared" si="12"/>
        <v>10000</v>
      </c>
      <c r="AC76" s="66">
        <v>8000.0</v>
      </c>
      <c r="AD76" s="66">
        <f t="shared" si="13"/>
        <v>0</v>
      </c>
      <c r="AE76" s="61">
        <f t="shared" si="14"/>
        <v>0</v>
      </c>
      <c r="AF76" s="61">
        <f t="shared" si="15"/>
        <v>0</v>
      </c>
      <c r="AG76" s="61">
        <f t="shared" si="16"/>
        <v>0</v>
      </c>
      <c r="AI76" s="66">
        <v>2000.0</v>
      </c>
    </row>
    <row r="77" ht="15.75" customHeight="1">
      <c r="A77" s="66" t="s">
        <v>336</v>
      </c>
      <c r="D77" s="104"/>
      <c r="E77" s="104"/>
      <c r="F77" s="105"/>
      <c r="G77" s="105"/>
      <c r="H77" s="104"/>
      <c r="I77" s="104"/>
      <c r="J77" s="104"/>
      <c r="K77" s="106" t="str">
        <f t="shared" si="1"/>
        <v>#DIV/0!</v>
      </c>
      <c r="L77" s="104"/>
      <c r="M77" s="107"/>
      <c r="N77" s="106" t="str">
        <f t="shared" si="2"/>
        <v>#DIV/0!</v>
      </c>
      <c r="O77" s="104">
        <f t="shared" si="3"/>
        <v>0</v>
      </c>
      <c r="P77" s="104"/>
      <c r="Q77" s="107">
        <f t="shared" si="4"/>
        <v>0</v>
      </c>
      <c r="R77" s="60">
        <f t="shared" si="5"/>
        <v>0</v>
      </c>
      <c r="S77" s="107">
        <f t="shared" si="6"/>
        <v>0</v>
      </c>
      <c r="T77" s="107">
        <f t="shared" si="17"/>
        <v>0</v>
      </c>
      <c r="U77" s="108">
        <f t="shared" si="8"/>
        <v>0</v>
      </c>
      <c r="V77" s="109" t="str">
        <f t="shared" si="9"/>
        <v>#DIV/0!</v>
      </c>
      <c r="W77" s="107">
        <f t="shared" si="10"/>
        <v>0</v>
      </c>
      <c r="X77" s="107">
        <f t="shared" si="11"/>
        <v>0</v>
      </c>
      <c r="AB77" s="61">
        <f t="shared" si="12"/>
        <v>10000</v>
      </c>
      <c r="AC77" s="66">
        <v>8000.0</v>
      </c>
      <c r="AD77" s="66">
        <f t="shared" si="13"/>
        <v>0</v>
      </c>
      <c r="AE77" s="61">
        <f t="shared" si="14"/>
        <v>0</v>
      </c>
      <c r="AF77" s="61">
        <f t="shared" si="15"/>
        <v>0</v>
      </c>
      <c r="AG77" s="61">
        <f t="shared" si="16"/>
        <v>0</v>
      </c>
      <c r="AI77" s="66">
        <v>2000.0</v>
      </c>
    </row>
    <row r="78" ht="15.75" customHeight="1">
      <c r="A78" s="66" t="s">
        <v>337</v>
      </c>
      <c r="D78" s="104"/>
      <c r="E78" s="104"/>
      <c r="F78" s="105"/>
      <c r="G78" s="105"/>
      <c r="H78" s="104">
        <v>922.0</v>
      </c>
      <c r="I78" s="104"/>
      <c r="J78" s="104">
        <v>110000.0</v>
      </c>
      <c r="K78" s="106">
        <f t="shared" si="1"/>
        <v>119.3058568</v>
      </c>
      <c r="L78" s="104">
        <v>200000.0</v>
      </c>
      <c r="M78" s="107"/>
      <c r="N78" s="106">
        <f t="shared" si="2"/>
        <v>216.9197397</v>
      </c>
      <c r="O78" s="104">
        <f t="shared" si="3"/>
        <v>90000</v>
      </c>
      <c r="P78" s="104">
        <v>40000.0</v>
      </c>
      <c r="Q78" s="107">
        <f t="shared" si="4"/>
        <v>12000</v>
      </c>
      <c r="R78" s="60">
        <f t="shared" si="5"/>
        <v>8100</v>
      </c>
      <c r="S78" s="107">
        <f t="shared" si="6"/>
        <v>162000</v>
      </c>
      <c r="T78" s="107">
        <f t="shared" si="17"/>
        <v>38000</v>
      </c>
      <c r="U78" s="108">
        <f t="shared" si="8"/>
        <v>29900</v>
      </c>
      <c r="V78" s="109">
        <f t="shared" si="9"/>
        <v>0.2345679012</v>
      </c>
      <c r="W78" s="107">
        <f t="shared" si="10"/>
        <v>110000</v>
      </c>
      <c r="X78" s="107">
        <f t="shared" si="11"/>
        <v>0</v>
      </c>
      <c r="AB78" s="61">
        <f t="shared" si="12"/>
        <v>10000</v>
      </c>
      <c r="AC78" s="66">
        <v>8000.0</v>
      </c>
      <c r="AD78" s="66">
        <f t="shared" si="13"/>
        <v>0</v>
      </c>
      <c r="AE78" s="61">
        <f t="shared" si="14"/>
        <v>0</v>
      </c>
      <c r="AF78" s="61">
        <f t="shared" si="15"/>
        <v>0</v>
      </c>
      <c r="AG78" s="61">
        <f t="shared" si="16"/>
        <v>0</v>
      </c>
      <c r="AI78" s="66">
        <v>2000.0</v>
      </c>
    </row>
    <row r="79" ht="15.75" customHeight="1">
      <c r="A79" s="66" t="s">
        <v>338</v>
      </c>
      <c r="D79" s="104"/>
      <c r="E79" s="104"/>
      <c r="F79" s="105"/>
      <c r="G79" s="105"/>
      <c r="H79" s="104">
        <v>1155.0</v>
      </c>
      <c r="I79" s="104"/>
      <c r="J79" s="104">
        <v>130000.0</v>
      </c>
      <c r="K79" s="106">
        <f t="shared" si="1"/>
        <v>112.5541126</v>
      </c>
      <c r="L79" s="104">
        <v>250000.0</v>
      </c>
      <c r="M79" s="107"/>
      <c r="N79" s="106">
        <f t="shared" si="2"/>
        <v>216.4502165</v>
      </c>
      <c r="O79" s="104">
        <f t="shared" si="3"/>
        <v>120000</v>
      </c>
      <c r="P79" s="104">
        <v>60000.0</v>
      </c>
      <c r="Q79" s="107">
        <f t="shared" si="4"/>
        <v>15000</v>
      </c>
      <c r="R79" s="60">
        <f t="shared" si="5"/>
        <v>10250</v>
      </c>
      <c r="S79" s="107">
        <f t="shared" si="6"/>
        <v>205000</v>
      </c>
      <c r="T79" s="107">
        <f t="shared" si="17"/>
        <v>45000</v>
      </c>
      <c r="U79" s="108">
        <f t="shared" si="8"/>
        <v>34750</v>
      </c>
      <c r="V79" s="109">
        <f t="shared" si="9"/>
        <v>0.2195121951</v>
      </c>
      <c r="W79" s="107">
        <f t="shared" si="10"/>
        <v>127500</v>
      </c>
      <c r="X79" s="107">
        <f t="shared" si="11"/>
        <v>-2500</v>
      </c>
      <c r="AB79" s="61">
        <f t="shared" si="12"/>
        <v>10000</v>
      </c>
      <c r="AC79" s="66">
        <v>8000.0</v>
      </c>
      <c r="AD79" s="66">
        <f t="shared" si="13"/>
        <v>0</v>
      </c>
      <c r="AE79" s="61">
        <f t="shared" si="14"/>
        <v>0</v>
      </c>
      <c r="AF79" s="61">
        <f t="shared" si="15"/>
        <v>0</v>
      </c>
      <c r="AG79" s="61">
        <f t="shared" si="16"/>
        <v>0</v>
      </c>
      <c r="AI79" s="66">
        <v>2000.0</v>
      </c>
    </row>
    <row r="80" ht="15.75" customHeight="1">
      <c r="A80" s="66" t="s">
        <v>339</v>
      </c>
      <c r="D80" s="104"/>
      <c r="E80" s="104"/>
      <c r="F80" s="105" t="s">
        <v>93</v>
      </c>
      <c r="G80" s="105" t="s">
        <v>56</v>
      </c>
      <c r="H80" s="104">
        <v>1725.0</v>
      </c>
      <c r="I80" s="104"/>
      <c r="J80" s="104">
        <v>212854.42</v>
      </c>
      <c r="K80" s="106">
        <f t="shared" si="1"/>
        <v>123.3938667</v>
      </c>
      <c r="L80" s="104">
        <v>350000.0</v>
      </c>
      <c r="M80" s="107"/>
      <c r="N80" s="106">
        <f t="shared" si="2"/>
        <v>202.8985507</v>
      </c>
      <c r="O80" s="104">
        <f t="shared" si="3"/>
        <v>137145.58</v>
      </c>
      <c r="P80" s="104">
        <v>60000.0</v>
      </c>
      <c r="Q80" s="107">
        <f t="shared" si="4"/>
        <v>21000</v>
      </c>
      <c r="R80" s="60">
        <f t="shared" si="5"/>
        <v>14692.721</v>
      </c>
      <c r="S80" s="107">
        <f t="shared" si="6"/>
        <v>293854.42</v>
      </c>
      <c r="T80" s="107">
        <f t="shared" si="17"/>
        <v>56145.58</v>
      </c>
      <c r="U80" s="108">
        <f t="shared" si="8"/>
        <v>41452.859</v>
      </c>
      <c r="V80" s="109">
        <f t="shared" si="9"/>
        <v>0.1910659707</v>
      </c>
      <c r="W80" s="107">
        <f t="shared" si="10"/>
        <v>202500</v>
      </c>
      <c r="X80" s="107">
        <f t="shared" si="11"/>
        <v>-10354.42</v>
      </c>
      <c r="AB80" s="61">
        <f t="shared" si="12"/>
        <v>16000</v>
      </c>
      <c r="AC80" s="66">
        <v>8000.0</v>
      </c>
      <c r="AD80" s="66">
        <f t="shared" si="13"/>
        <v>6000</v>
      </c>
      <c r="AE80" s="61">
        <f t="shared" si="14"/>
        <v>0</v>
      </c>
      <c r="AF80" s="61">
        <f t="shared" si="15"/>
        <v>0</v>
      </c>
      <c r="AG80" s="61">
        <f t="shared" si="16"/>
        <v>0</v>
      </c>
      <c r="AI80" s="66">
        <v>2000.0</v>
      </c>
    </row>
    <row r="81" ht="15.75" customHeight="1">
      <c r="A81" s="66" t="s">
        <v>340</v>
      </c>
      <c r="D81" s="104"/>
      <c r="E81" s="104"/>
      <c r="F81" s="105"/>
      <c r="G81" s="105"/>
      <c r="H81" s="104"/>
      <c r="I81" s="104"/>
      <c r="J81" s="104"/>
      <c r="K81" s="106" t="str">
        <f t="shared" si="1"/>
        <v>#DIV/0!</v>
      </c>
      <c r="L81" s="104"/>
      <c r="M81" s="107"/>
      <c r="N81" s="106" t="str">
        <f t="shared" si="2"/>
        <v>#DIV/0!</v>
      </c>
      <c r="O81" s="104">
        <f t="shared" si="3"/>
        <v>0</v>
      </c>
      <c r="P81" s="104"/>
      <c r="Q81" s="107">
        <f t="shared" si="4"/>
        <v>0</v>
      </c>
      <c r="R81" s="60">
        <f t="shared" si="5"/>
        <v>0</v>
      </c>
      <c r="S81" s="107">
        <f t="shared" si="6"/>
        <v>0</v>
      </c>
      <c r="T81" s="107">
        <f t="shared" si="17"/>
        <v>0</v>
      </c>
      <c r="U81" s="108">
        <f t="shared" si="8"/>
        <v>0</v>
      </c>
      <c r="V81" s="109" t="str">
        <f t="shared" si="9"/>
        <v>#DIV/0!</v>
      </c>
      <c r="W81" s="107">
        <f t="shared" si="10"/>
        <v>0</v>
      </c>
      <c r="X81" s="107">
        <f t="shared" si="11"/>
        <v>0</v>
      </c>
      <c r="AB81" s="61">
        <f t="shared" si="12"/>
        <v>10000</v>
      </c>
      <c r="AC81" s="66">
        <v>8000.0</v>
      </c>
      <c r="AD81" s="66">
        <f t="shared" si="13"/>
        <v>0</v>
      </c>
      <c r="AE81" s="61">
        <f t="shared" si="14"/>
        <v>0</v>
      </c>
      <c r="AF81" s="61">
        <f t="shared" si="15"/>
        <v>0</v>
      </c>
      <c r="AG81" s="61">
        <f t="shared" si="16"/>
        <v>0</v>
      </c>
      <c r="AI81" s="66">
        <v>2000.0</v>
      </c>
    </row>
    <row r="82" ht="15.75" customHeight="1">
      <c r="A82" s="66" t="s">
        <v>341</v>
      </c>
      <c r="C82" s="110">
        <v>42557.0</v>
      </c>
      <c r="D82" s="104"/>
      <c r="E82" s="104"/>
      <c r="F82" s="105"/>
      <c r="G82" s="105"/>
      <c r="H82" s="104">
        <v>2658.0</v>
      </c>
      <c r="I82" s="104"/>
      <c r="J82" s="104">
        <v>640000.0</v>
      </c>
      <c r="K82" s="106">
        <f t="shared" si="1"/>
        <v>240.7825433</v>
      </c>
      <c r="L82" s="104">
        <v>950000.0</v>
      </c>
      <c r="M82" s="107"/>
      <c r="N82" s="106">
        <f t="shared" si="2"/>
        <v>357.4115877</v>
      </c>
      <c r="O82" s="104">
        <f t="shared" si="3"/>
        <v>310000</v>
      </c>
      <c r="P82" s="104">
        <v>100000.0</v>
      </c>
      <c r="Q82" s="107">
        <f t="shared" si="4"/>
        <v>57000</v>
      </c>
      <c r="R82" s="60">
        <f t="shared" si="5"/>
        <v>39850</v>
      </c>
      <c r="S82" s="107">
        <f t="shared" si="6"/>
        <v>797000</v>
      </c>
      <c r="T82" s="107">
        <f t="shared" si="17"/>
        <v>153000</v>
      </c>
      <c r="U82" s="108">
        <f t="shared" si="8"/>
        <v>113150</v>
      </c>
      <c r="V82" s="109">
        <f t="shared" si="9"/>
        <v>0.1919698871</v>
      </c>
      <c r="W82" s="107">
        <f t="shared" si="10"/>
        <v>612500</v>
      </c>
      <c r="X82" s="107">
        <f t="shared" si="11"/>
        <v>-27500</v>
      </c>
      <c r="AB82" s="61">
        <f t="shared" si="12"/>
        <v>10000</v>
      </c>
      <c r="AC82" s="66">
        <v>8000.0</v>
      </c>
      <c r="AD82" s="66">
        <f t="shared" si="13"/>
        <v>0</v>
      </c>
      <c r="AE82" s="61">
        <f t="shared" si="14"/>
        <v>0</v>
      </c>
      <c r="AF82" s="61">
        <f t="shared" si="15"/>
        <v>0</v>
      </c>
      <c r="AG82" s="61">
        <f t="shared" si="16"/>
        <v>0</v>
      </c>
      <c r="AI82" s="66">
        <v>2000.0</v>
      </c>
    </row>
    <row r="83" ht="15.75" customHeight="1">
      <c r="A83" s="66" t="s">
        <v>342</v>
      </c>
      <c r="D83" s="104"/>
      <c r="E83" s="104"/>
      <c r="F83" s="105"/>
      <c r="G83" s="105"/>
      <c r="H83" s="104"/>
      <c r="I83" s="104"/>
      <c r="J83" s="104">
        <v>246000.0</v>
      </c>
      <c r="K83" s="106" t="str">
        <f t="shared" si="1"/>
        <v>#DIV/0!</v>
      </c>
      <c r="L83" s="104">
        <v>345000.0</v>
      </c>
      <c r="M83" s="107"/>
      <c r="N83" s="106" t="str">
        <f t="shared" si="2"/>
        <v>#DIV/0!</v>
      </c>
      <c r="O83" s="104">
        <f t="shared" si="3"/>
        <v>99000</v>
      </c>
      <c r="P83" s="104">
        <v>60000.0</v>
      </c>
      <c r="Q83" s="107">
        <f t="shared" si="4"/>
        <v>20700</v>
      </c>
      <c r="R83" s="60">
        <f t="shared" si="5"/>
        <v>16335</v>
      </c>
      <c r="S83" s="107">
        <f t="shared" si="6"/>
        <v>326700</v>
      </c>
      <c r="T83" s="107">
        <f t="shared" si="17"/>
        <v>18300</v>
      </c>
      <c r="U83" s="108">
        <f t="shared" si="8"/>
        <v>1965</v>
      </c>
      <c r="V83" s="109">
        <f t="shared" si="9"/>
        <v>0.05601469238</v>
      </c>
      <c r="W83" s="107">
        <f t="shared" si="10"/>
        <v>198750</v>
      </c>
      <c r="X83" s="107">
        <f t="shared" si="11"/>
        <v>-47250</v>
      </c>
      <c r="AB83" s="61">
        <f t="shared" si="12"/>
        <v>10000</v>
      </c>
      <c r="AC83" s="66">
        <v>8000.0</v>
      </c>
      <c r="AD83" s="66">
        <f t="shared" si="13"/>
        <v>0</v>
      </c>
      <c r="AE83" s="61">
        <f t="shared" si="14"/>
        <v>0</v>
      </c>
      <c r="AF83" s="61">
        <f t="shared" si="15"/>
        <v>0</v>
      </c>
      <c r="AG83" s="61">
        <f t="shared" si="16"/>
        <v>0</v>
      </c>
      <c r="AI83" s="66">
        <v>2000.0</v>
      </c>
    </row>
    <row r="84" ht="15.75" customHeight="1">
      <c r="A84" s="66" t="s">
        <v>343</v>
      </c>
      <c r="D84" s="104"/>
      <c r="E84" s="104"/>
      <c r="F84" s="105"/>
      <c r="G84" s="105"/>
      <c r="H84" s="104"/>
      <c r="I84" s="104"/>
      <c r="J84" s="104">
        <v>645000.0</v>
      </c>
      <c r="K84" s="106" t="str">
        <f t="shared" si="1"/>
        <v>#DIV/0!</v>
      </c>
      <c r="L84" s="104">
        <v>720000.0</v>
      </c>
      <c r="M84" s="107"/>
      <c r="N84" s="106" t="str">
        <f t="shared" si="2"/>
        <v>#DIV/0!</v>
      </c>
      <c r="O84" s="104">
        <f t="shared" si="3"/>
        <v>75000</v>
      </c>
      <c r="P84" s="104">
        <v>7000.0</v>
      </c>
      <c r="Q84" s="107">
        <f t="shared" si="4"/>
        <v>43200</v>
      </c>
      <c r="R84" s="60">
        <f t="shared" si="5"/>
        <v>34760</v>
      </c>
      <c r="S84" s="107">
        <f t="shared" si="6"/>
        <v>695200</v>
      </c>
      <c r="T84" s="107">
        <f t="shared" si="17"/>
        <v>24800</v>
      </c>
      <c r="U84" s="108">
        <f t="shared" si="8"/>
        <v>-9960</v>
      </c>
      <c r="V84" s="109">
        <f t="shared" si="9"/>
        <v>0.03567318757</v>
      </c>
      <c r="W84" s="107">
        <f t="shared" si="10"/>
        <v>533000</v>
      </c>
      <c r="X84" s="107">
        <f t="shared" si="11"/>
        <v>-112000</v>
      </c>
      <c r="AB84" s="61">
        <f t="shared" si="12"/>
        <v>10000</v>
      </c>
      <c r="AC84" s="66">
        <v>8000.0</v>
      </c>
      <c r="AD84" s="66">
        <f t="shared" si="13"/>
        <v>0</v>
      </c>
      <c r="AE84" s="61">
        <f t="shared" si="14"/>
        <v>0</v>
      </c>
      <c r="AF84" s="61">
        <f t="shared" si="15"/>
        <v>0</v>
      </c>
      <c r="AG84" s="61">
        <f t="shared" si="16"/>
        <v>0</v>
      </c>
      <c r="AI84" s="66">
        <v>2000.0</v>
      </c>
    </row>
    <row r="85" ht="15.75" customHeight="1">
      <c r="A85" s="66" t="s">
        <v>344</v>
      </c>
      <c r="B85" s="66" t="s">
        <v>268</v>
      </c>
      <c r="D85" s="104"/>
      <c r="E85" s="104"/>
      <c r="F85" s="105"/>
      <c r="G85" s="105"/>
      <c r="H85" s="104">
        <v>3853.0</v>
      </c>
      <c r="I85" s="104"/>
      <c r="J85" s="104">
        <v>580000.0</v>
      </c>
      <c r="K85" s="106">
        <f t="shared" si="1"/>
        <v>150.5320529</v>
      </c>
      <c r="L85" s="104">
        <v>875000.0</v>
      </c>
      <c r="M85" s="107"/>
      <c r="N85" s="106">
        <f t="shared" si="2"/>
        <v>227.0957695</v>
      </c>
      <c r="O85" s="104">
        <f t="shared" si="3"/>
        <v>295000</v>
      </c>
      <c r="P85" s="104">
        <v>140000.0</v>
      </c>
      <c r="Q85" s="107">
        <f t="shared" si="4"/>
        <v>52500</v>
      </c>
      <c r="R85" s="60">
        <f t="shared" si="5"/>
        <v>38625</v>
      </c>
      <c r="S85" s="107">
        <f t="shared" si="6"/>
        <v>772500</v>
      </c>
      <c r="T85" s="107">
        <f t="shared" si="17"/>
        <v>102500</v>
      </c>
      <c r="U85" s="108">
        <f t="shared" si="8"/>
        <v>63875</v>
      </c>
      <c r="V85" s="109">
        <f t="shared" si="9"/>
        <v>0.1326860841</v>
      </c>
      <c r="W85" s="107">
        <f t="shared" si="10"/>
        <v>516250</v>
      </c>
      <c r="X85" s="107">
        <f t="shared" si="11"/>
        <v>-63750</v>
      </c>
      <c r="AB85" s="61">
        <f t="shared" si="12"/>
        <v>10000</v>
      </c>
      <c r="AC85" s="66">
        <v>8000.0</v>
      </c>
      <c r="AD85" s="66">
        <f t="shared" si="13"/>
        <v>0</v>
      </c>
      <c r="AE85" s="61">
        <f t="shared" si="14"/>
        <v>0</v>
      </c>
      <c r="AF85" s="61">
        <f t="shared" si="15"/>
        <v>0</v>
      </c>
      <c r="AG85" s="61">
        <f t="shared" si="16"/>
        <v>0</v>
      </c>
      <c r="AI85" s="66">
        <v>2000.0</v>
      </c>
    </row>
    <row r="86" ht="15.75" customHeight="1">
      <c r="A86" s="66" t="s">
        <v>345</v>
      </c>
      <c r="C86" s="110">
        <v>42564.0</v>
      </c>
      <c r="D86" s="104"/>
      <c r="E86" s="104"/>
      <c r="F86" s="105"/>
      <c r="G86" s="105"/>
      <c r="H86" s="104"/>
      <c r="I86" s="104"/>
      <c r="J86" s="104">
        <v>172500.0</v>
      </c>
      <c r="K86" s="106" t="str">
        <f t="shared" si="1"/>
        <v>#DIV/0!</v>
      </c>
      <c r="L86" s="104">
        <v>255000.0</v>
      </c>
      <c r="M86" s="107"/>
      <c r="N86" s="106" t="str">
        <f t="shared" si="2"/>
        <v>#DIV/0!</v>
      </c>
      <c r="O86" s="104">
        <f t="shared" si="3"/>
        <v>82500</v>
      </c>
      <c r="P86" s="104">
        <v>35000.0</v>
      </c>
      <c r="Q86" s="107">
        <f t="shared" si="4"/>
        <v>15300</v>
      </c>
      <c r="R86" s="60">
        <f t="shared" si="5"/>
        <v>11140</v>
      </c>
      <c r="S86" s="107">
        <f t="shared" si="6"/>
        <v>222800</v>
      </c>
      <c r="T86" s="107">
        <f t="shared" si="17"/>
        <v>32200</v>
      </c>
      <c r="U86" s="108">
        <f t="shared" si="8"/>
        <v>21060</v>
      </c>
      <c r="V86" s="109">
        <f t="shared" si="9"/>
        <v>0.144524237</v>
      </c>
      <c r="W86" s="107">
        <f t="shared" si="10"/>
        <v>156250</v>
      </c>
      <c r="X86" s="107">
        <f t="shared" si="11"/>
        <v>-16250</v>
      </c>
      <c r="Y86" s="66" t="s">
        <v>346</v>
      </c>
      <c r="AB86" s="61">
        <f t="shared" si="12"/>
        <v>10000</v>
      </c>
      <c r="AC86" s="66">
        <v>8000.0</v>
      </c>
      <c r="AD86" s="66">
        <f t="shared" si="13"/>
        <v>0</v>
      </c>
      <c r="AE86" s="61">
        <f t="shared" si="14"/>
        <v>0</v>
      </c>
      <c r="AF86" s="61">
        <f t="shared" si="15"/>
        <v>0</v>
      </c>
      <c r="AG86" s="61">
        <f t="shared" si="16"/>
        <v>0</v>
      </c>
      <c r="AI86" s="66">
        <v>2000.0</v>
      </c>
    </row>
    <row r="87" ht="15.75" customHeight="1">
      <c r="A87" s="66" t="s">
        <v>347</v>
      </c>
      <c r="C87" s="110">
        <v>42564.0</v>
      </c>
      <c r="D87" s="104"/>
      <c r="E87" s="104"/>
      <c r="F87" s="105"/>
      <c r="G87" s="105"/>
      <c r="H87" s="104"/>
      <c r="I87" s="104"/>
      <c r="J87" s="104">
        <v>225000.0</v>
      </c>
      <c r="K87" s="106" t="str">
        <f t="shared" si="1"/>
        <v>#DIV/0!</v>
      </c>
      <c r="L87" s="104">
        <v>325000.0</v>
      </c>
      <c r="M87" s="107"/>
      <c r="N87" s="106" t="str">
        <f t="shared" si="2"/>
        <v>#DIV/0!</v>
      </c>
      <c r="O87" s="104">
        <f t="shared" si="3"/>
        <v>100000</v>
      </c>
      <c r="P87" s="104">
        <v>40000.0</v>
      </c>
      <c r="Q87" s="107">
        <f t="shared" si="4"/>
        <v>19500</v>
      </c>
      <c r="R87" s="60">
        <f t="shared" si="5"/>
        <v>14225</v>
      </c>
      <c r="S87" s="107">
        <f t="shared" si="6"/>
        <v>284500</v>
      </c>
      <c r="T87" s="107">
        <f t="shared" si="17"/>
        <v>40500</v>
      </c>
      <c r="U87" s="108">
        <f t="shared" si="8"/>
        <v>26275</v>
      </c>
      <c r="V87" s="109">
        <f t="shared" si="9"/>
        <v>0.1423550088</v>
      </c>
      <c r="W87" s="107">
        <f t="shared" si="10"/>
        <v>203750</v>
      </c>
      <c r="X87" s="107">
        <f t="shared" si="11"/>
        <v>-21250</v>
      </c>
      <c r="Y87" s="66" t="s">
        <v>348</v>
      </c>
      <c r="AB87" s="61">
        <f t="shared" si="12"/>
        <v>10000</v>
      </c>
      <c r="AC87" s="66">
        <v>8000.0</v>
      </c>
      <c r="AD87" s="66">
        <f t="shared" si="13"/>
        <v>0</v>
      </c>
      <c r="AE87" s="61">
        <f t="shared" si="14"/>
        <v>0</v>
      </c>
      <c r="AF87" s="61">
        <f t="shared" si="15"/>
        <v>0</v>
      </c>
      <c r="AG87" s="61">
        <f t="shared" si="16"/>
        <v>0</v>
      </c>
      <c r="AI87" s="66">
        <v>2000.0</v>
      </c>
    </row>
    <row r="88" ht="15.75" customHeight="1">
      <c r="A88" s="112" t="s">
        <v>349</v>
      </c>
      <c r="B88" s="112"/>
      <c r="C88" s="113">
        <v>42564.0</v>
      </c>
      <c r="D88" s="112"/>
      <c r="E88" s="114"/>
      <c r="F88" s="115"/>
      <c r="G88" s="115"/>
      <c r="H88" s="114">
        <v>2283.0</v>
      </c>
      <c r="I88" s="114">
        <v>230000.0</v>
      </c>
      <c r="J88" s="114">
        <v>226000.0</v>
      </c>
      <c r="K88" s="106">
        <f t="shared" si="1"/>
        <v>98.99255366</v>
      </c>
      <c r="L88" s="114">
        <v>285000.0</v>
      </c>
      <c r="M88" s="116"/>
      <c r="N88" s="106">
        <f t="shared" si="2"/>
        <v>124.8357424</v>
      </c>
      <c r="O88" s="114">
        <f t="shared" si="3"/>
        <v>59000</v>
      </c>
      <c r="P88" s="114">
        <v>15000.0</v>
      </c>
      <c r="Q88" s="116">
        <f t="shared" si="4"/>
        <v>17100</v>
      </c>
      <c r="R88" s="60">
        <f t="shared" si="5"/>
        <v>12905</v>
      </c>
      <c r="S88" s="116">
        <f t="shared" si="6"/>
        <v>258100</v>
      </c>
      <c r="T88" s="116">
        <f t="shared" si="17"/>
        <v>26900</v>
      </c>
      <c r="U88" s="108">
        <f t="shared" si="8"/>
        <v>13995</v>
      </c>
      <c r="V88" s="117">
        <f t="shared" si="9"/>
        <v>0.1042231693</v>
      </c>
      <c r="W88" s="116">
        <f t="shared" si="10"/>
        <v>198750</v>
      </c>
      <c r="X88" s="107">
        <f t="shared" si="11"/>
        <v>-27250</v>
      </c>
      <c r="Y88" s="112" t="s">
        <v>350</v>
      </c>
      <c r="Z88" s="112"/>
      <c r="AA88" s="112"/>
      <c r="AB88" s="61">
        <f t="shared" si="12"/>
        <v>10000</v>
      </c>
      <c r="AC88" s="66">
        <v>8000.0</v>
      </c>
      <c r="AD88" s="66">
        <f t="shared" si="13"/>
        <v>0</v>
      </c>
      <c r="AE88" s="61">
        <f t="shared" si="14"/>
        <v>0</v>
      </c>
      <c r="AF88" s="61">
        <f t="shared" si="15"/>
        <v>0</v>
      </c>
      <c r="AG88" s="61">
        <f t="shared" si="16"/>
        <v>0</v>
      </c>
      <c r="AI88" s="66">
        <v>2000.0</v>
      </c>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row>
    <row r="89" ht="15.75" customHeight="1">
      <c r="A89" s="118" t="s">
        <v>351</v>
      </c>
      <c r="C89" s="110">
        <v>42565.0</v>
      </c>
      <c r="D89" s="104"/>
      <c r="E89" s="104"/>
      <c r="F89" s="105"/>
      <c r="G89" s="105"/>
      <c r="H89" s="104">
        <v>1722.0</v>
      </c>
      <c r="I89" s="104">
        <v>296900.0</v>
      </c>
      <c r="J89" s="114">
        <v>268000.0</v>
      </c>
      <c r="K89" s="106">
        <f t="shared" si="1"/>
        <v>155.6329849</v>
      </c>
      <c r="L89" s="104">
        <v>309000.0</v>
      </c>
      <c r="M89" s="107"/>
      <c r="N89" s="106">
        <f t="shared" si="2"/>
        <v>179.4425087</v>
      </c>
      <c r="O89" s="114">
        <f t="shared" si="3"/>
        <v>41000</v>
      </c>
      <c r="P89" s="114">
        <v>20000.0</v>
      </c>
      <c r="Q89" s="116">
        <f t="shared" si="4"/>
        <v>18540</v>
      </c>
      <c r="R89" s="60">
        <f t="shared" si="5"/>
        <v>15327</v>
      </c>
      <c r="S89" s="116">
        <f t="shared" si="6"/>
        <v>306540</v>
      </c>
      <c r="T89" s="116">
        <f t="shared" si="17"/>
        <v>2460</v>
      </c>
      <c r="U89" s="108">
        <f t="shared" si="8"/>
        <v>-12867</v>
      </c>
      <c r="V89" s="117">
        <f t="shared" si="9"/>
        <v>0.008025053827</v>
      </c>
      <c r="W89" s="116">
        <f t="shared" si="10"/>
        <v>211750</v>
      </c>
      <c r="X89" s="107">
        <f t="shared" si="11"/>
        <v>-56250</v>
      </c>
      <c r="Y89" s="112" t="s">
        <v>350</v>
      </c>
      <c r="AB89" s="61">
        <f t="shared" si="12"/>
        <v>10000</v>
      </c>
      <c r="AC89" s="66">
        <v>8000.0</v>
      </c>
      <c r="AD89" s="66">
        <f t="shared" si="13"/>
        <v>0</v>
      </c>
      <c r="AE89" s="61">
        <f t="shared" si="14"/>
        <v>0</v>
      </c>
      <c r="AF89" s="61">
        <f t="shared" si="15"/>
        <v>0</v>
      </c>
      <c r="AG89" s="61">
        <f t="shared" si="16"/>
        <v>0</v>
      </c>
      <c r="AI89" s="66">
        <v>2000.0</v>
      </c>
    </row>
    <row r="90" ht="15.75" customHeight="1">
      <c r="A90" s="66" t="s">
        <v>352</v>
      </c>
      <c r="B90" s="66" t="s">
        <v>270</v>
      </c>
      <c r="C90" s="110">
        <v>42565.0</v>
      </c>
      <c r="D90" s="104" t="s">
        <v>353</v>
      </c>
      <c r="E90" s="104" t="s">
        <v>354</v>
      </c>
      <c r="F90" s="105" t="s">
        <v>93</v>
      </c>
      <c r="G90" s="105" t="s">
        <v>57</v>
      </c>
      <c r="H90" s="104">
        <v>1721.0</v>
      </c>
      <c r="I90" s="104">
        <v>225000.0</v>
      </c>
      <c r="J90" s="104">
        <v>226000.0</v>
      </c>
      <c r="K90" s="106">
        <f t="shared" si="1"/>
        <v>131.3190006</v>
      </c>
      <c r="L90" s="104">
        <v>349000.0</v>
      </c>
      <c r="M90" s="107"/>
      <c r="N90" s="106">
        <f t="shared" si="2"/>
        <v>202.7890761</v>
      </c>
      <c r="O90" s="114">
        <f t="shared" si="3"/>
        <v>123000</v>
      </c>
      <c r="P90" s="104">
        <v>30000.0</v>
      </c>
      <c r="Q90" s="116">
        <f>MULTIPLY(0.07,L90)</f>
        <v>24430</v>
      </c>
      <c r="R90" s="60">
        <f t="shared" si="5"/>
        <v>14021.5</v>
      </c>
      <c r="S90" s="116">
        <f t="shared" si="6"/>
        <v>280430</v>
      </c>
      <c r="T90" s="116">
        <f t="shared" si="17"/>
        <v>68570</v>
      </c>
      <c r="U90" s="108">
        <f t="shared" si="8"/>
        <v>54548.5</v>
      </c>
      <c r="V90" s="117">
        <f t="shared" si="9"/>
        <v>0.2445173484</v>
      </c>
      <c r="W90" s="116">
        <f t="shared" si="10"/>
        <v>231750</v>
      </c>
      <c r="X90" s="107">
        <f t="shared" si="11"/>
        <v>5750</v>
      </c>
      <c r="AB90" s="61">
        <f t="shared" si="12"/>
        <v>14000</v>
      </c>
      <c r="AC90" s="66">
        <v>8000.0</v>
      </c>
      <c r="AD90" s="66">
        <f t="shared" si="13"/>
        <v>4000</v>
      </c>
      <c r="AE90" s="61">
        <f t="shared" si="14"/>
        <v>0</v>
      </c>
      <c r="AF90" s="61">
        <f t="shared" si="15"/>
        <v>0</v>
      </c>
      <c r="AG90" s="61">
        <f t="shared" si="16"/>
        <v>0</v>
      </c>
      <c r="AI90" s="66">
        <v>2000.0</v>
      </c>
    </row>
    <row r="91" ht="15.75" customHeight="1">
      <c r="A91" s="112" t="s">
        <v>355</v>
      </c>
      <c r="B91" s="112" t="s">
        <v>356</v>
      </c>
      <c r="C91" s="119">
        <v>42543.0</v>
      </c>
      <c r="D91" s="112"/>
      <c r="E91" s="112" t="s">
        <v>357</v>
      </c>
      <c r="F91" s="120"/>
      <c r="G91" s="120"/>
      <c r="H91" s="112"/>
      <c r="I91" s="112"/>
      <c r="J91" s="121">
        <v>860000.0</v>
      </c>
      <c r="K91" s="122" t="str">
        <f t="shared" si="1"/>
        <v>#DIV/0!</v>
      </c>
      <c r="L91" s="121">
        <v>1100000.0</v>
      </c>
      <c r="M91" s="116"/>
      <c r="N91" s="123" t="str">
        <f t="shared" si="2"/>
        <v>#DIV/0!</v>
      </c>
      <c r="O91" s="121">
        <f t="shared" si="3"/>
        <v>240000</v>
      </c>
      <c r="P91" s="121">
        <v>75000.0</v>
      </c>
      <c r="Q91" s="60">
        <f t="shared" ref="Q91:Q121" si="18">MULTIPLY(0.06,L91)</f>
        <v>66000</v>
      </c>
      <c r="R91" s="60">
        <f t="shared" si="5"/>
        <v>50050</v>
      </c>
      <c r="S91" s="60">
        <f t="shared" si="6"/>
        <v>1001000</v>
      </c>
      <c r="T91" s="60">
        <f t="shared" si="17"/>
        <v>99000</v>
      </c>
      <c r="U91" s="108">
        <f t="shared" si="8"/>
        <v>48950</v>
      </c>
      <c r="V91" s="59">
        <f t="shared" si="9"/>
        <v>0.0989010989</v>
      </c>
      <c r="W91" s="60">
        <f t="shared" si="10"/>
        <v>750000</v>
      </c>
      <c r="X91" s="60">
        <f t="shared" si="11"/>
        <v>-110000</v>
      </c>
      <c r="Y91" s="112" t="s">
        <v>358</v>
      </c>
      <c r="Z91" s="124"/>
      <c r="AA91" s="112"/>
      <c r="AB91" s="61">
        <f t="shared" si="12"/>
        <v>10000</v>
      </c>
      <c r="AC91" s="66">
        <v>8000.0</v>
      </c>
      <c r="AD91" s="66">
        <f t="shared" si="13"/>
        <v>0</v>
      </c>
      <c r="AE91" s="61">
        <f t="shared" si="14"/>
        <v>0</v>
      </c>
      <c r="AF91" s="61">
        <f t="shared" si="15"/>
        <v>0</v>
      </c>
      <c r="AG91" s="61">
        <f t="shared" si="16"/>
        <v>0</v>
      </c>
      <c r="AI91" s="66">
        <v>2000.0</v>
      </c>
      <c r="AK91" s="125"/>
      <c r="AL91" s="126"/>
      <c r="AM91" s="126"/>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row>
    <row r="92" ht="15.75" customHeight="1">
      <c r="A92" s="66" t="s">
        <v>359</v>
      </c>
      <c r="B92" s="66" t="s">
        <v>360</v>
      </c>
      <c r="C92" s="110">
        <v>42571.0</v>
      </c>
      <c r="D92" s="104"/>
      <c r="E92" s="104" t="s">
        <v>96</v>
      </c>
      <c r="F92" s="105" t="s">
        <v>93</v>
      </c>
      <c r="G92" s="105" t="s">
        <v>93</v>
      </c>
      <c r="H92" s="104">
        <v>3270.0</v>
      </c>
      <c r="I92" s="104">
        <v>734000.0</v>
      </c>
      <c r="J92" s="121">
        <v>550000.0</v>
      </c>
      <c r="K92" s="122">
        <f t="shared" si="1"/>
        <v>168.1957187</v>
      </c>
      <c r="L92" s="104">
        <v>725000.0</v>
      </c>
      <c r="M92" s="107"/>
      <c r="N92" s="123">
        <f t="shared" si="2"/>
        <v>221.7125382</v>
      </c>
      <c r="O92" s="121">
        <f t="shared" si="3"/>
        <v>175000</v>
      </c>
      <c r="P92" s="104">
        <v>50000.0</v>
      </c>
      <c r="Q92" s="60">
        <f t="shared" si="18"/>
        <v>43500</v>
      </c>
      <c r="R92" s="60">
        <f t="shared" si="5"/>
        <v>32175</v>
      </c>
      <c r="S92" s="60">
        <f t="shared" si="6"/>
        <v>643500</v>
      </c>
      <c r="T92" s="60">
        <f t="shared" si="17"/>
        <v>81500</v>
      </c>
      <c r="U92" s="108">
        <f t="shared" si="8"/>
        <v>49325</v>
      </c>
      <c r="V92" s="59">
        <f t="shared" si="9"/>
        <v>0.1266511267</v>
      </c>
      <c r="W92" s="60">
        <f t="shared" si="10"/>
        <v>493750</v>
      </c>
      <c r="X92" s="60">
        <f t="shared" si="11"/>
        <v>-56250</v>
      </c>
      <c r="Y92" s="66" t="s">
        <v>361</v>
      </c>
      <c r="AB92" s="61">
        <f t="shared" si="12"/>
        <v>18000</v>
      </c>
      <c r="AC92" s="66">
        <v>8000.0</v>
      </c>
      <c r="AD92" s="66">
        <f t="shared" si="13"/>
        <v>8000</v>
      </c>
      <c r="AE92" s="61">
        <f t="shared" si="14"/>
        <v>0</v>
      </c>
      <c r="AF92" s="61">
        <f t="shared" si="15"/>
        <v>0</v>
      </c>
      <c r="AG92" s="61">
        <f t="shared" si="16"/>
        <v>0</v>
      </c>
      <c r="AI92" s="66">
        <v>2000.0</v>
      </c>
    </row>
    <row r="93" ht="15.75" customHeight="1">
      <c r="A93" s="66" t="s">
        <v>362</v>
      </c>
      <c r="B93" s="66" t="s">
        <v>363</v>
      </c>
      <c r="C93" s="110">
        <v>42571.0</v>
      </c>
      <c r="D93" s="104"/>
      <c r="E93" s="104" t="s">
        <v>112</v>
      </c>
      <c r="F93" s="105" t="s">
        <v>56</v>
      </c>
      <c r="G93" s="105" t="s">
        <v>57</v>
      </c>
      <c r="H93" s="104">
        <v>1407.0</v>
      </c>
      <c r="I93" s="104">
        <v>289000.0</v>
      </c>
      <c r="J93" s="104">
        <v>250000.0</v>
      </c>
      <c r="K93" s="122">
        <f t="shared" si="1"/>
        <v>177.6830135</v>
      </c>
      <c r="L93" s="104">
        <v>315000.0</v>
      </c>
      <c r="M93" s="107"/>
      <c r="N93" s="123">
        <f t="shared" si="2"/>
        <v>223.880597</v>
      </c>
      <c r="O93" s="121">
        <f t="shared" si="3"/>
        <v>65000</v>
      </c>
      <c r="P93" s="104">
        <v>20000.0</v>
      </c>
      <c r="Q93" s="60">
        <f t="shared" si="18"/>
        <v>18900</v>
      </c>
      <c r="R93" s="60">
        <f t="shared" si="5"/>
        <v>14445</v>
      </c>
      <c r="S93" s="60">
        <f t="shared" si="6"/>
        <v>288900</v>
      </c>
      <c r="T93" s="60">
        <f t="shared" si="17"/>
        <v>26100</v>
      </c>
      <c r="U93" s="108">
        <f t="shared" si="8"/>
        <v>11655</v>
      </c>
      <c r="V93" s="59">
        <f t="shared" si="9"/>
        <v>0.09034267913</v>
      </c>
      <c r="W93" s="60">
        <f t="shared" si="10"/>
        <v>216250</v>
      </c>
      <c r="X93" s="60">
        <f t="shared" si="11"/>
        <v>-33750</v>
      </c>
      <c r="Y93" s="66" t="s">
        <v>309</v>
      </c>
      <c r="AB93" s="61">
        <f t="shared" si="12"/>
        <v>14000</v>
      </c>
      <c r="AC93" s="66">
        <v>8000.0</v>
      </c>
      <c r="AD93" s="66">
        <f t="shared" si="13"/>
        <v>4000</v>
      </c>
      <c r="AE93" s="61">
        <f t="shared" si="14"/>
        <v>0</v>
      </c>
      <c r="AF93" s="61">
        <f t="shared" si="15"/>
        <v>0</v>
      </c>
      <c r="AG93" s="61">
        <f t="shared" si="16"/>
        <v>0</v>
      </c>
      <c r="AI93" s="66">
        <v>2000.0</v>
      </c>
    </row>
    <row r="94" ht="15.75" customHeight="1">
      <c r="A94" s="66" t="s">
        <v>364</v>
      </c>
      <c r="B94" s="66" t="s">
        <v>365</v>
      </c>
      <c r="C94" s="110">
        <v>42580.0</v>
      </c>
      <c r="D94" s="104"/>
      <c r="E94" s="104" t="s">
        <v>366</v>
      </c>
      <c r="F94" s="105"/>
      <c r="G94" s="105"/>
      <c r="H94" s="104"/>
      <c r="I94" s="104">
        <v>265000.0</v>
      </c>
      <c r="J94" s="104">
        <v>242000.0</v>
      </c>
      <c r="K94" s="122" t="str">
        <f t="shared" si="1"/>
        <v>#DIV/0!</v>
      </c>
      <c r="L94" s="104">
        <v>355000.0</v>
      </c>
      <c r="M94" s="107"/>
      <c r="N94" s="123" t="str">
        <f t="shared" si="2"/>
        <v>#DIV/0!</v>
      </c>
      <c r="O94" s="121">
        <f t="shared" si="3"/>
        <v>113000</v>
      </c>
      <c r="P94" s="104">
        <v>35000.0</v>
      </c>
      <c r="Q94" s="60">
        <f t="shared" si="18"/>
        <v>21300</v>
      </c>
      <c r="R94" s="60">
        <f t="shared" si="5"/>
        <v>14915</v>
      </c>
      <c r="S94" s="60">
        <f t="shared" si="6"/>
        <v>298300</v>
      </c>
      <c r="T94" s="60">
        <f t="shared" si="17"/>
        <v>56700</v>
      </c>
      <c r="U94" s="108">
        <f t="shared" si="8"/>
        <v>41785</v>
      </c>
      <c r="V94" s="59">
        <f t="shared" si="9"/>
        <v>0.1900771036</v>
      </c>
      <c r="W94" s="60">
        <f t="shared" si="10"/>
        <v>231250</v>
      </c>
      <c r="X94" s="107"/>
      <c r="AB94" s="61">
        <f t="shared" si="12"/>
        <v>10000</v>
      </c>
      <c r="AC94" s="66">
        <v>8000.0</v>
      </c>
      <c r="AD94" s="66">
        <f t="shared" si="13"/>
        <v>0</v>
      </c>
      <c r="AE94" s="61">
        <f t="shared" si="14"/>
        <v>0</v>
      </c>
      <c r="AF94" s="61">
        <f t="shared" si="15"/>
        <v>0</v>
      </c>
      <c r="AG94" s="61">
        <f t="shared" si="16"/>
        <v>0</v>
      </c>
      <c r="AI94" s="66">
        <v>2000.0</v>
      </c>
    </row>
    <row r="95" ht="15.75" customHeight="1">
      <c r="A95" s="66" t="s">
        <v>367</v>
      </c>
      <c r="C95" s="110">
        <v>42580.0</v>
      </c>
      <c r="D95" s="104"/>
      <c r="E95" s="104" t="s">
        <v>154</v>
      </c>
      <c r="F95" s="105"/>
      <c r="G95" s="105"/>
      <c r="H95" s="104"/>
      <c r="I95" s="104"/>
      <c r="J95" s="104"/>
      <c r="K95" s="122" t="str">
        <f t="shared" si="1"/>
        <v>#DIV/0!</v>
      </c>
      <c r="L95" s="104"/>
      <c r="M95" s="107"/>
      <c r="N95" s="123" t="str">
        <f t="shared" si="2"/>
        <v>#DIV/0!</v>
      </c>
      <c r="O95" s="121">
        <f t="shared" si="3"/>
        <v>0</v>
      </c>
      <c r="P95" s="104"/>
      <c r="Q95" s="60">
        <f t="shared" si="18"/>
        <v>0</v>
      </c>
      <c r="R95" s="60">
        <f t="shared" si="5"/>
        <v>0</v>
      </c>
      <c r="S95" s="60">
        <f t="shared" si="6"/>
        <v>0</v>
      </c>
      <c r="T95" s="60">
        <f t="shared" si="17"/>
        <v>0</v>
      </c>
      <c r="U95" s="108">
        <f t="shared" si="8"/>
        <v>0</v>
      </c>
      <c r="V95" s="59" t="str">
        <f t="shared" si="9"/>
        <v>#DIV/0!</v>
      </c>
      <c r="W95" s="60">
        <f t="shared" si="10"/>
        <v>0</v>
      </c>
      <c r="X95" s="107"/>
      <c r="Y95" s="66" t="s">
        <v>368</v>
      </c>
      <c r="AB95" s="61">
        <f t="shared" si="12"/>
        <v>10000</v>
      </c>
      <c r="AC95" s="66">
        <v>8000.0</v>
      </c>
      <c r="AD95" s="66">
        <f t="shared" si="13"/>
        <v>0</v>
      </c>
      <c r="AE95" s="61">
        <f t="shared" si="14"/>
        <v>0</v>
      </c>
      <c r="AF95" s="61">
        <f t="shared" si="15"/>
        <v>0</v>
      </c>
      <c r="AG95" s="61">
        <f t="shared" si="16"/>
        <v>0</v>
      </c>
      <c r="AI95" s="66">
        <v>2000.0</v>
      </c>
    </row>
    <row r="96" ht="15.75" customHeight="1">
      <c r="A96" s="66" t="s">
        <v>369</v>
      </c>
      <c r="C96" s="110">
        <v>42580.0</v>
      </c>
      <c r="D96" s="104"/>
      <c r="E96" s="104" t="s">
        <v>370</v>
      </c>
      <c r="F96" s="105"/>
      <c r="G96" s="105"/>
      <c r="H96" s="104"/>
      <c r="I96" s="104"/>
      <c r="J96" s="104">
        <v>212000.0</v>
      </c>
      <c r="K96" s="122" t="str">
        <f t="shared" si="1"/>
        <v>#DIV/0!</v>
      </c>
      <c r="L96" s="104">
        <v>259000.0</v>
      </c>
      <c r="M96" s="107"/>
      <c r="N96" s="123" t="str">
        <f t="shared" si="2"/>
        <v>#DIV/0!</v>
      </c>
      <c r="O96" s="121">
        <f t="shared" si="3"/>
        <v>47000</v>
      </c>
      <c r="P96" s="104">
        <v>10000.0</v>
      </c>
      <c r="Q96" s="60">
        <f t="shared" si="18"/>
        <v>15540</v>
      </c>
      <c r="R96" s="60">
        <f t="shared" si="5"/>
        <v>11877</v>
      </c>
      <c r="S96" s="60">
        <f t="shared" si="6"/>
        <v>237540</v>
      </c>
      <c r="T96" s="60">
        <f t="shared" si="17"/>
        <v>21460</v>
      </c>
      <c r="U96" s="108">
        <f t="shared" si="8"/>
        <v>9583</v>
      </c>
      <c r="V96" s="59">
        <f t="shared" si="9"/>
        <v>0.09034267913</v>
      </c>
      <c r="W96" s="60">
        <f t="shared" si="10"/>
        <v>184250</v>
      </c>
      <c r="X96" s="107"/>
      <c r="Y96" s="66" t="s">
        <v>371</v>
      </c>
      <c r="AB96" s="61">
        <f t="shared" si="12"/>
        <v>10000</v>
      </c>
      <c r="AC96" s="66">
        <v>8000.0</v>
      </c>
      <c r="AD96" s="66">
        <f t="shared" si="13"/>
        <v>0</v>
      </c>
      <c r="AE96" s="61">
        <f t="shared" si="14"/>
        <v>0</v>
      </c>
      <c r="AF96" s="61">
        <f t="shared" si="15"/>
        <v>0</v>
      </c>
      <c r="AG96" s="61">
        <f t="shared" si="16"/>
        <v>0</v>
      </c>
      <c r="AI96" s="66">
        <v>2000.0</v>
      </c>
    </row>
    <row r="97" ht="15.75" customHeight="1">
      <c r="A97" s="66" t="s">
        <v>372</v>
      </c>
      <c r="B97" s="66" t="s">
        <v>373</v>
      </c>
      <c r="C97" s="110">
        <v>42580.0</v>
      </c>
      <c r="D97" s="104"/>
      <c r="E97" s="104"/>
      <c r="F97" s="105"/>
      <c r="G97" s="105"/>
      <c r="H97" s="104"/>
      <c r="I97" s="104"/>
      <c r="J97" s="104">
        <v>250000.0</v>
      </c>
      <c r="K97" s="122" t="str">
        <f t="shared" si="1"/>
        <v>#DIV/0!</v>
      </c>
      <c r="L97" s="104">
        <v>355000.0</v>
      </c>
      <c r="M97" s="107"/>
      <c r="N97" s="123" t="str">
        <f t="shared" si="2"/>
        <v>#DIV/0!</v>
      </c>
      <c r="O97" s="121">
        <f t="shared" si="3"/>
        <v>105000</v>
      </c>
      <c r="P97" s="104">
        <v>20000.0</v>
      </c>
      <c r="Q97" s="60">
        <f t="shared" si="18"/>
        <v>21300</v>
      </c>
      <c r="R97" s="60">
        <f t="shared" si="5"/>
        <v>14565</v>
      </c>
      <c r="S97" s="60">
        <f t="shared" si="6"/>
        <v>291300</v>
      </c>
      <c r="T97" s="60">
        <f t="shared" si="17"/>
        <v>63700</v>
      </c>
      <c r="U97" s="108">
        <f t="shared" si="8"/>
        <v>49135</v>
      </c>
      <c r="V97" s="59">
        <f t="shared" si="9"/>
        <v>0.2186749056</v>
      </c>
      <c r="W97" s="60">
        <f t="shared" si="10"/>
        <v>246250</v>
      </c>
      <c r="X97" s="107"/>
      <c r="Y97" s="66" t="s">
        <v>371</v>
      </c>
      <c r="AB97" s="61">
        <f t="shared" si="12"/>
        <v>10000</v>
      </c>
      <c r="AC97" s="66">
        <v>8000.0</v>
      </c>
      <c r="AD97" s="66">
        <f t="shared" si="13"/>
        <v>0</v>
      </c>
      <c r="AE97" s="61">
        <f t="shared" si="14"/>
        <v>0</v>
      </c>
      <c r="AF97" s="61">
        <f t="shared" si="15"/>
        <v>0</v>
      </c>
      <c r="AG97" s="61">
        <f t="shared" si="16"/>
        <v>0</v>
      </c>
      <c r="AI97" s="66">
        <v>2000.0</v>
      </c>
    </row>
    <row r="98" ht="15.75" customHeight="1">
      <c r="A98" s="66" t="s">
        <v>374</v>
      </c>
      <c r="B98" s="66" t="s">
        <v>375</v>
      </c>
      <c r="C98" s="110">
        <v>42583.0</v>
      </c>
      <c r="D98" s="104"/>
      <c r="E98" s="104"/>
      <c r="F98" s="105"/>
      <c r="G98" s="105"/>
      <c r="H98" s="104">
        <v>2088.0</v>
      </c>
      <c r="I98" s="104">
        <v>221000.0</v>
      </c>
      <c r="J98" s="104">
        <v>221000.0</v>
      </c>
      <c r="K98" s="122">
        <f t="shared" si="1"/>
        <v>105.8429119</v>
      </c>
      <c r="L98" s="104">
        <v>330000.0</v>
      </c>
      <c r="M98" s="107"/>
      <c r="N98" s="123">
        <f t="shared" si="2"/>
        <v>158.045977</v>
      </c>
      <c r="O98" s="121">
        <f t="shared" si="3"/>
        <v>109000</v>
      </c>
      <c r="P98" s="104">
        <v>50000.0</v>
      </c>
      <c r="Q98" s="60">
        <f t="shared" si="18"/>
        <v>19800</v>
      </c>
      <c r="R98" s="60">
        <f t="shared" si="5"/>
        <v>14540</v>
      </c>
      <c r="S98" s="60">
        <f t="shared" si="6"/>
        <v>290800</v>
      </c>
      <c r="T98" s="60">
        <f t="shared" si="17"/>
        <v>39200</v>
      </c>
      <c r="U98" s="108">
        <f t="shared" si="8"/>
        <v>24660</v>
      </c>
      <c r="V98" s="59">
        <f t="shared" si="9"/>
        <v>0.1348005502</v>
      </c>
      <c r="W98" s="60">
        <f t="shared" si="10"/>
        <v>197500</v>
      </c>
      <c r="X98" s="107"/>
      <c r="Y98" s="66" t="s">
        <v>376</v>
      </c>
      <c r="AB98" s="61">
        <f t="shared" si="12"/>
        <v>10000</v>
      </c>
      <c r="AC98" s="66">
        <v>8000.0</v>
      </c>
      <c r="AD98" s="66">
        <f t="shared" si="13"/>
        <v>0</v>
      </c>
      <c r="AE98" s="61">
        <f t="shared" si="14"/>
        <v>0</v>
      </c>
      <c r="AF98" s="61">
        <f t="shared" si="15"/>
        <v>0</v>
      </c>
      <c r="AG98" s="61">
        <f t="shared" si="16"/>
        <v>0</v>
      </c>
      <c r="AI98" s="66">
        <v>2000.0</v>
      </c>
    </row>
    <row r="99" ht="15.75" customHeight="1">
      <c r="A99" s="66" t="s">
        <v>377</v>
      </c>
      <c r="B99" s="66" t="s">
        <v>378</v>
      </c>
      <c r="C99" s="110">
        <v>42586.0</v>
      </c>
      <c r="D99" s="104"/>
      <c r="E99" s="104"/>
      <c r="F99" s="105"/>
      <c r="G99" s="105"/>
      <c r="H99" s="104">
        <v>1344.0</v>
      </c>
      <c r="I99" s="104">
        <v>425000.0</v>
      </c>
      <c r="J99" s="104">
        <v>350000.0</v>
      </c>
      <c r="K99" s="122">
        <f t="shared" si="1"/>
        <v>260.4166667</v>
      </c>
      <c r="L99" s="104">
        <v>450000.0</v>
      </c>
      <c r="M99" s="107"/>
      <c r="N99" s="123">
        <f t="shared" si="2"/>
        <v>334.8214286</v>
      </c>
      <c r="O99" s="121">
        <f t="shared" si="3"/>
        <v>100000</v>
      </c>
      <c r="P99" s="104">
        <v>30000.0</v>
      </c>
      <c r="Q99" s="60">
        <f t="shared" si="18"/>
        <v>27000</v>
      </c>
      <c r="R99" s="60">
        <f t="shared" si="5"/>
        <v>20350</v>
      </c>
      <c r="S99" s="60">
        <f t="shared" si="6"/>
        <v>407000</v>
      </c>
      <c r="T99" s="60">
        <f t="shared" si="17"/>
        <v>43000</v>
      </c>
      <c r="U99" s="108">
        <f t="shared" si="8"/>
        <v>22650</v>
      </c>
      <c r="V99" s="59">
        <f t="shared" si="9"/>
        <v>0.1056511057</v>
      </c>
      <c r="W99" s="60">
        <f t="shared" si="10"/>
        <v>307500</v>
      </c>
      <c r="X99" s="107"/>
      <c r="Y99" s="66" t="s">
        <v>223</v>
      </c>
      <c r="AB99" s="61">
        <f t="shared" si="12"/>
        <v>10000</v>
      </c>
      <c r="AC99" s="66">
        <v>8000.0</v>
      </c>
      <c r="AD99" s="66">
        <f t="shared" si="13"/>
        <v>0</v>
      </c>
      <c r="AE99" s="61">
        <f t="shared" si="14"/>
        <v>0</v>
      </c>
      <c r="AF99" s="61">
        <f t="shared" si="15"/>
        <v>0</v>
      </c>
      <c r="AG99" s="61">
        <f t="shared" si="16"/>
        <v>0</v>
      </c>
      <c r="AI99" s="66">
        <v>2000.0</v>
      </c>
    </row>
    <row r="100" ht="15.75" customHeight="1">
      <c r="A100" s="66" t="s">
        <v>379</v>
      </c>
      <c r="D100" s="104"/>
      <c r="E100" s="104"/>
      <c r="F100" s="105"/>
      <c r="G100" s="105"/>
      <c r="H100" s="104"/>
      <c r="I100" s="104">
        <v>398000.0</v>
      </c>
      <c r="J100" s="104">
        <v>125000.0</v>
      </c>
      <c r="K100" s="122" t="str">
        <f t="shared" si="1"/>
        <v>#DIV/0!</v>
      </c>
      <c r="L100" s="104">
        <v>415000.0</v>
      </c>
      <c r="M100" s="107"/>
      <c r="N100" s="123" t="str">
        <f t="shared" si="2"/>
        <v>#DIV/0!</v>
      </c>
      <c r="O100" s="121">
        <f t="shared" si="3"/>
        <v>290000</v>
      </c>
      <c r="P100" s="104">
        <v>40000.0</v>
      </c>
      <c r="Q100" s="60">
        <f t="shared" si="18"/>
        <v>24900</v>
      </c>
      <c r="R100" s="60">
        <f t="shared" si="5"/>
        <v>9495</v>
      </c>
      <c r="S100" s="60">
        <f t="shared" si="6"/>
        <v>189900</v>
      </c>
      <c r="T100" s="60">
        <f t="shared" si="17"/>
        <v>225100</v>
      </c>
      <c r="U100" s="108">
        <f t="shared" si="8"/>
        <v>215605</v>
      </c>
      <c r="V100" s="59">
        <f t="shared" si="9"/>
        <v>1.185360716</v>
      </c>
      <c r="W100" s="60">
        <f t="shared" si="10"/>
        <v>271250</v>
      </c>
      <c r="X100" s="107"/>
      <c r="Y100" s="66" t="s">
        <v>380</v>
      </c>
      <c r="AB100" s="61">
        <f t="shared" si="12"/>
        <v>10000</v>
      </c>
      <c r="AC100" s="66">
        <v>8000.0</v>
      </c>
      <c r="AD100" s="66">
        <f t="shared" si="13"/>
        <v>0</v>
      </c>
      <c r="AE100" s="61">
        <f t="shared" si="14"/>
        <v>0</v>
      </c>
      <c r="AF100" s="61">
        <f t="shared" si="15"/>
        <v>0</v>
      </c>
      <c r="AG100" s="61">
        <f t="shared" si="16"/>
        <v>0</v>
      </c>
      <c r="AI100" s="66">
        <v>2000.0</v>
      </c>
    </row>
    <row r="101" ht="15.75" customHeight="1">
      <c r="A101" s="66" t="s">
        <v>381</v>
      </c>
      <c r="D101" s="104"/>
      <c r="E101" s="104"/>
      <c r="F101" s="105"/>
      <c r="G101" s="105"/>
      <c r="H101" s="104">
        <v>2866.0</v>
      </c>
      <c r="I101" s="104">
        <v>580000.0</v>
      </c>
      <c r="J101" s="104">
        <v>550000.0</v>
      </c>
      <c r="K101" s="122">
        <f t="shared" si="1"/>
        <v>191.9050942</v>
      </c>
      <c r="L101" s="104">
        <v>645000.0</v>
      </c>
      <c r="M101" s="107"/>
      <c r="N101" s="123">
        <f t="shared" si="2"/>
        <v>225.0523378</v>
      </c>
      <c r="O101" s="121">
        <f t="shared" si="3"/>
        <v>95000</v>
      </c>
      <c r="P101" s="104">
        <v>40000.0</v>
      </c>
      <c r="Q101" s="60">
        <f t="shared" si="18"/>
        <v>38700</v>
      </c>
      <c r="R101" s="60">
        <f t="shared" si="5"/>
        <v>31435</v>
      </c>
      <c r="S101" s="60">
        <f t="shared" si="6"/>
        <v>628700</v>
      </c>
      <c r="T101" s="60">
        <f t="shared" si="17"/>
        <v>16300</v>
      </c>
      <c r="U101" s="108">
        <f t="shared" si="8"/>
        <v>-15135</v>
      </c>
      <c r="V101" s="59">
        <f t="shared" si="9"/>
        <v>0.02592651503</v>
      </c>
      <c r="W101" s="60">
        <f t="shared" si="10"/>
        <v>443750</v>
      </c>
      <c r="X101" s="107"/>
      <c r="Y101" s="66" t="s">
        <v>223</v>
      </c>
      <c r="AB101" s="61">
        <f t="shared" si="12"/>
        <v>10000</v>
      </c>
      <c r="AC101" s="66">
        <v>8000.0</v>
      </c>
      <c r="AD101" s="66">
        <f t="shared" si="13"/>
        <v>0</v>
      </c>
      <c r="AE101" s="61">
        <f t="shared" si="14"/>
        <v>0</v>
      </c>
      <c r="AF101" s="61">
        <f t="shared" si="15"/>
        <v>0</v>
      </c>
      <c r="AG101" s="61">
        <f t="shared" si="16"/>
        <v>0</v>
      </c>
      <c r="AI101" s="66">
        <v>2000.0</v>
      </c>
    </row>
    <row r="102" ht="15.75" customHeight="1">
      <c r="D102" s="104"/>
      <c r="E102" s="104"/>
      <c r="F102" s="105"/>
      <c r="G102" s="105"/>
      <c r="H102" s="104"/>
      <c r="I102" s="104">
        <v>395000.0</v>
      </c>
      <c r="J102" s="104">
        <v>150000.0</v>
      </c>
      <c r="K102" s="122" t="str">
        <f t="shared" si="1"/>
        <v>#DIV/0!</v>
      </c>
      <c r="L102" s="104">
        <v>300000.0</v>
      </c>
      <c r="M102" s="107"/>
      <c r="N102" s="123" t="str">
        <f t="shared" si="2"/>
        <v>#DIV/0!</v>
      </c>
      <c r="O102" s="121">
        <f t="shared" si="3"/>
        <v>150000</v>
      </c>
      <c r="P102" s="104">
        <v>80000.0</v>
      </c>
      <c r="Q102" s="60">
        <f t="shared" si="18"/>
        <v>18000</v>
      </c>
      <c r="R102" s="60">
        <f t="shared" si="5"/>
        <v>12400</v>
      </c>
      <c r="S102" s="60">
        <f t="shared" si="6"/>
        <v>248000</v>
      </c>
      <c r="T102" s="60">
        <f t="shared" si="17"/>
        <v>52000</v>
      </c>
      <c r="U102" s="108">
        <f t="shared" si="8"/>
        <v>39600</v>
      </c>
      <c r="V102" s="59">
        <f t="shared" si="9"/>
        <v>0.2096774194</v>
      </c>
      <c r="W102" s="60">
        <f t="shared" si="10"/>
        <v>145000</v>
      </c>
      <c r="X102" s="107"/>
      <c r="AB102" s="61">
        <f t="shared" si="12"/>
        <v>10000</v>
      </c>
      <c r="AC102" s="66">
        <v>8000.0</v>
      </c>
      <c r="AD102" s="66">
        <f t="shared" si="13"/>
        <v>0</v>
      </c>
      <c r="AE102" s="61">
        <f t="shared" si="14"/>
        <v>0</v>
      </c>
      <c r="AF102" s="61">
        <f t="shared" si="15"/>
        <v>0</v>
      </c>
      <c r="AG102" s="61">
        <f t="shared" si="16"/>
        <v>0</v>
      </c>
      <c r="AI102" s="66">
        <v>2000.0</v>
      </c>
    </row>
    <row r="103" ht="15.75" customHeight="1">
      <c r="A103" s="66" t="s">
        <v>382</v>
      </c>
      <c r="D103" s="104"/>
      <c r="E103" s="104" t="s">
        <v>91</v>
      </c>
      <c r="F103" s="105"/>
      <c r="G103" s="105"/>
      <c r="H103" s="104">
        <v>1036.0</v>
      </c>
      <c r="I103" s="104">
        <v>75000.0</v>
      </c>
      <c r="J103" s="104">
        <v>70000.0</v>
      </c>
      <c r="K103" s="122">
        <f t="shared" si="1"/>
        <v>67.56756757</v>
      </c>
      <c r="L103" s="104">
        <v>190000.0</v>
      </c>
      <c r="M103" s="107"/>
      <c r="N103" s="123">
        <f t="shared" si="2"/>
        <v>183.3976834</v>
      </c>
      <c r="O103" s="121">
        <f t="shared" si="3"/>
        <v>120000</v>
      </c>
      <c r="P103" s="104">
        <v>60000.0</v>
      </c>
      <c r="Q103" s="60">
        <f t="shared" si="18"/>
        <v>11400</v>
      </c>
      <c r="R103" s="60">
        <f t="shared" si="5"/>
        <v>7070</v>
      </c>
      <c r="S103" s="60">
        <f t="shared" si="6"/>
        <v>141400</v>
      </c>
      <c r="T103" s="60">
        <f t="shared" si="17"/>
        <v>48600</v>
      </c>
      <c r="U103" s="108">
        <f t="shared" si="8"/>
        <v>41530</v>
      </c>
      <c r="V103" s="59">
        <f t="shared" si="9"/>
        <v>0.3437057992</v>
      </c>
      <c r="W103" s="60">
        <f t="shared" si="10"/>
        <v>82500</v>
      </c>
      <c r="X103" s="107"/>
      <c r="Y103" s="66" t="s">
        <v>383</v>
      </c>
      <c r="AB103" s="61">
        <f t="shared" si="12"/>
        <v>10000</v>
      </c>
      <c r="AC103" s="66">
        <v>8000.0</v>
      </c>
      <c r="AD103" s="66">
        <f t="shared" si="13"/>
        <v>0</v>
      </c>
      <c r="AE103" s="61">
        <f t="shared" si="14"/>
        <v>0</v>
      </c>
      <c r="AF103" s="61">
        <f t="shared" si="15"/>
        <v>0</v>
      </c>
      <c r="AG103" s="61">
        <f t="shared" si="16"/>
        <v>0</v>
      </c>
      <c r="AI103" s="66">
        <v>2000.0</v>
      </c>
    </row>
    <row r="104" ht="15.75" customHeight="1">
      <c r="A104" s="66" t="s">
        <v>384</v>
      </c>
      <c r="D104" s="104"/>
      <c r="E104" s="104"/>
      <c r="F104" s="105"/>
      <c r="G104" s="105"/>
      <c r="H104" s="104">
        <v>2409.0</v>
      </c>
      <c r="I104" s="104">
        <v>225000.0</v>
      </c>
      <c r="J104" s="104">
        <v>230000.0</v>
      </c>
      <c r="K104" s="122">
        <f t="shared" si="1"/>
        <v>95.47530095</v>
      </c>
      <c r="L104" s="104">
        <v>350000.0</v>
      </c>
      <c r="M104" s="107"/>
      <c r="N104" s="123">
        <f t="shared" si="2"/>
        <v>145.2885015</v>
      </c>
      <c r="O104" s="121">
        <f t="shared" si="3"/>
        <v>120000</v>
      </c>
      <c r="P104" s="104">
        <v>50000.0</v>
      </c>
      <c r="Q104" s="60">
        <f t="shared" si="18"/>
        <v>21000</v>
      </c>
      <c r="R104" s="60">
        <f t="shared" si="5"/>
        <v>15050</v>
      </c>
      <c r="S104" s="60">
        <f t="shared" si="6"/>
        <v>301000</v>
      </c>
      <c r="T104" s="60">
        <f t="shared" si="17"/>
        <v>49000</v>
      </c>
      <c r="U104" s="108">
        <f t="shared" si="8"/>
        <v>33950</v>
      </c>
      <c r="V104" s="59">
        <f t="shared" si="9"/>
        <v>0.1627906977</v>
      </c>
      <c r="W104" s="60">
        <f t="shared" si="10"/>
        <v>212500</v>
      </c>
      <c r="X104" s="107"/>
      <c r="Y104" s="66" t="s">
        <v>385</v>
      </c>
      <c r="AB104" s="61">
        <f t="shared" si="12"/>
        <v>10000</v>
      </c>
      <c r="AC104" s="66">
        <v>8000.0</v>
      </c>
      <c r="AD104" s="66">
        <f t="shared" si="13"/>
        <v>0</v>
      </c>
      <c r="AE104" s="61">
        <f t="shared" si="14"/>
        <v>0</v>
      </c>
      <c r="AF104" s="61">
        <f t="shared" si="15"/>
        <v>0</v>
      </c>
      <c r="AG104" s="61">
        <f t="shared" si="16"/>
        <v>0</v>
      </c>
      <c r="AI104" s="66">
        <v>2000.0</v>
      </c>
    </row>
    <row r="105" ht="15.75" customHeight="1">
      <c r="A105" s="66" t="s">
        <v>386</v>
      </c>
      <c r="D105" s="127"/>
      <c r="E105" s="104"/>
      <c r="F105" s="105" t="s">
        <v>81</v>
      </c>
      <c r="G105" s="105" t="s">
        <v>81</v>
      </c>
      <c r="H105" s="104">
        <v>554.0</v>
      </c>
      <c r="I105" s="104">
        <v>73000.0</v>
      </c>
      <c r="J105" s="104">
        <v>73000.0</v>
      </c>
      <c r="K105" s="122">
        <f t="shared" si="1"/>
        <v>131.7689531</v>
      </c>
      <c r="L105" s="104">
        <v>200000.0</v>
      </c>
      <c r="M105" s="107"/>
      <c r="N105" s="123">
        <f t="shared" si="2"/>
        <v>361.0108303</v>
      </c>
      <c r="O105" s="121">
        <f t="shared" si="3"/>
        <v>127000</v>
      </c>
      <c r="P105" s="104">
        <v>75000.0</v>
      </c>
      <c r="Q105" s="60">
        <f t="shared" si="18"/>
        <v>12000</v>
      </c>
      <c r="R105" s="60">
        <f t="shared" si="5"/>
        <v>8000</v>
      </c>
      <c r="S105" s="60">
        <f t="shared" si="6"/>
        <v>160000</v>
      </c>
      <c r="T105" s="60">
        <f t="shared" si="17"/>
        <v>40000</v>
      </c>
      <c r="U105" s="108">
        <f t="shared" si="8"/>
        <v>32000</v>
      </c>
      <c r="V105" s="59">
        <f t="shared" si="9"/>
        <v>0.25</v>
      </c>
      <c r="W105" s="60">
        <f t="shared" si="10"/>
        <v>75000</v>
      </c>
      <c r="X105" s="107"/>
      <c r="Y105" s="66" t="s">
        <v>387</v>
      </c>
      <c r="AB105" s="61">
        <f t="shared" si="12"/>
        <v>12000</v>
      </c>
      <c r="AC105" s="66">
        <v>8000.0</v>
      </c>
      <c r="AD105" s="66">
        <f t="shared" si="13"/>
        <v>2000</v>
      </c>
      <c r="AE105" s="61">
        <f t="shared" si="14"/>
        <v>0</v>
      </c>
      <c r="AF105" s="61">
        <f t="shared" si="15"/>
        <v>0</v>
      </c>
      <c r="AG105" s="61">
        <f t="shared" si="16"/>
        <v>0</v>
      </c>
      <c r="AI105" s="66">
        <v>2000.0</v>
      </c>
    </row>
    <row r="106" ht="15.75" customHeight="1">
      <c r="A106" s="66" t="s">
        <v>388</v>
      </c>
      <c r="D106" s="104"/>
      <c r="E106" s="104"/>
      <c r="F106" s="105" t="s">
        <v>93</v>
      </c>
      <c r="G106" s="105" t="s">
        <v>56</v>
      </c>
      <c r="H106" s="104">
        <v>2359.0</v>
      </c>
      <c r="I106" s="104">
        <v>140000.0</v>
      </c>
      <c r="J106" s="104">
        <v>140000.0</v>
      </c>
      <c r="K106" s="122">
        <f t="shared" si="1"/>
        <v>59.34718101</v>
      </c>
      <c r="L106" s="104">
        <v>425000.0</v>
      </c>
      <c r="M106" s="107"/>
      <c r="N106" s="123">
        <f t="shared" si="2"/>
        <v>180.1610852</v>
      </c>
      <c r="O106" s="121">
        <f t="shared" si="3"/>
        <v>285000</v>
      </c>
      <c r="P106" s="104">
        <v>50000.0</v>
      </c>
      <c r="Q106" s="60">
        <f t="shared" si="18"/>
        <v>25500</v>
      </c>
      <c r="R106" s="60">
        <f t="shared" si="5"/>
        <v>10775</v>
      </c>
      <c r="S106" s="60">
        <f t="shared" si="6"/>
        <v>215500</v>
      </c>
      <c r="T106" s="60">
        <f t="shared" si="17"/>
        <v>209500</v>
      </c>
      <c r="U106" s="108">
        <f t="shared" si="8"/>
        <v>198725</v>
      </c>
      <c r="V106" s="59">
        <f t="shared" si="9"/>
        <v>0.9721577726</v>
      </c>
      <c r="W106" s="60">
        <f t="shared" si="10"/>
        <v>268750</v>
      </c>
      <c r="X106" s="107"/>
      <c r="AB106" s="61">
        <f t="shared" si="12"/>
        <v>16000</v>
      </c>
      <c r="AC106" s="66">
        <v>8000.0</v>
      </c>
      <c r="AD106" s="66">
        <f t="shared" si="13"/>
        <v>6000</v>
      </c>
      <c r="AE106" s="61">
        <f t="shared" si="14"/>
        <v>0</v>
      </c>
      <c r="AF106" s="61">
        <f t="shared" si="15"/>
        <v>0</v>
      </c>
      <c r="AG106" s="61">
        <f t="shared" si="16"/>
        <v>0</v>
      </c>
      <c r="AI106" s="66">
        <v>2000.0</v>
      </c>
    </row>
    <row r="107" ht="15.75" customHeight="1">
      <c r="A107" s="66" t="s">
        <v>389</v>
      </c>
      <c r="C107" s="110">
        <v>42634.0</v>
      </c>
      <c r="D107" s="104"/>
      <c r="E107" s="104"/>
      <c r="F107" s="105" t="s">
        <v>93</v>
      </c>
      <c r="G107" s="105" t="s">
        <v>57</v>
      </c>
      <c r="H107" s="104">
        <v>1610.0</v>
      </c>
      <c r="I107" s="104">
        <v>250000.0</v>
      </c>
      <c r="J107" s="104">
        <v>250000.0</v>
      </c>
      <c r="K107" s="122">
        <f t="shared" si="1"/>
        <v>155.2795031</v>
      </c>
      <c r="L107" s="104">
        <v>330000.0</v>
      </c>
      <c r="M107" s="107"/>
      <c r="N107" s="123">
        <f t="shared" si="2"/>
        <v>204.9689441</v>
      </c>
      <c r="O107" s="121">
        <f t="shared" si="3"/>
        <v>80000</v>
      </c>
      <c r="P107" s="104">
        <v>30000.0</v>
      </c>
      <c r="Q107" s="60">
        <f t="shared" si="18"/>
        <v>19800</v>
      </c>
      <c r="R107" s="60">
        <f t="shared" si="5"/>
        <v>14990</v>
      </c>
      <c r="S107" s="60">
        <f t="shared" si="6"/>
        <v>299800</v>
      </c>
      <c r="T107" s="60">
        <f t="shared" si="17"/>
        <v>30200</v>
      </c>
      <c r="U107" s="108">
        <f t="shared" si="8"/>
        <v>15210</v>
      </c>
      <c r="V107" s="59">
        <f t="shared" si="9"/>
        <v>0.1007338225</v>
      </c>
      <c r="W107" s="60">
        <f t="shared" si="10"/>
        <v>217500</v>
      </c>
      <c r="X107" s="107"/>
      <c r="Y107" s="66" t="s">
        <v>390</v>
      </c>
      <c r="AB107" s="61">
        <f t="shared" si="12"/>
        <v>14000</v>
      </c>
      <c r="AC107" s="66">
        <v>8000.0</v>
      </c>
      <c r="AD107" s="66">
        <f t="shared" si="13"/>
        <v>4000</v>
      </c>
      <c r="AE107" s="61">
        <f t="shared" si="14"/>
        <v>0</v>
      </c>
      <c r="AF107" s="61">
        <f t="shared" si="15"/>
        <v>0</v>
      </c>
      <c r="AG107" s="61">
        <f t="shared" si="16"/>
        <v>0</v>
      </c>
      <c r="AI107" s="66">
        <v>2000.0</v>
      </c>
    </row>
    <row r="108" ht="15.75" customHeight="1">
      <c r="A108" s="66" t="s">
        <v>391</v>
      </c>
      <c r="C108" s="110">
        <v>42636.0</v>
      </c>
      <c r="D108" s="104"/>
      <c r="E108" s="104"/>
      <c r="F108" s="105" t="s">
        <v>56</v>
      </c>
      <c r="G108" s="105" t="s">
        <v>57</v>
      </c>
      <c r="H108" s="104">
        <v>1080.0</v>
      </c>
      <c r="I108" s="104">
        <v>120000.0</v>
      </c>
      <c r="J108" s="104">
        <v>70000.0</v>
      </c>
      <c r="K108" s="122">
        <f t="shared" si="1"/>
        <v>64.81481481</v>
      </c>
      <c r="L108" s="104">
        <v>165000.0</v>
      </c>
      <c r="M108" s="107"/>
      <c r="N108" s="123">
        <f t="shared" si="2"/>
        <v>152.7777778</v>
      </c>
      <c r="O108" s="121">
        <f t="shared" si="3"/>
        <v>95000</v>
      </c>
      <c r="P108" s="104">
        <v>40000.0</v>
      </c>
      <c r="Q108" s="60">
        <f t="shared" si="18"/>
        <v>9900</v>
      </c>
      <c r="R108" s="60">
        <f t="shared" si="5"/>
        <v>5995</v>
      </c>
      <c r="S108" s="60">
        <f t="shared" si="6"/>
        <v>119900</v>
      </c>
      <c r="T108" s="60">
        <f t="shared" si="17"/>
        <v>45100</v>
      </c>
      <c r="U108" s="108">
        <f t="shared" si="8"/>
        <v>39105</v>
      </c>
      <c r="V108" s="59">
        <f t="shared" si="9"/>
        <v>0.376146789</v>
      </c>
      <c r="W108" s="60">
        <f t="shared" si="10"/>
        <v>83750</v>
      </c>
      <c r="X108" s="107"/>
      <c r="AB108" s="61">
        <f t="shared" si="12"/>
        <v>14000</v>
      </c>
      <c r="AC108" s="66">
        <v>8000.0</v>
      </c>
      <c r="AD108" s="66">
        <f t="shared" si="13"/>
        <v>4000</v>
      </c>
      <c r="AE108" s="61">
        <f t="shared" si="14"/>
        <v>0</v>
      </c>
      <c r="AF108" s="61">
        <f t="shared" si="15"/>
        <v>0</v>
      </c>
      <c r="AG108" s="61">
        <f t="shared" si="16"/>
        <v>0</v>
      </c>
      <c r="AI108" s="66">
        <v>2000.0</v>
      </c>
    </row>
    <row r="109" ht="15.75" customHeight="1">
      <c r="A109" s="111" t="s">
        <v>392</v>
      </c>
      <c r="C109" s="110">
        <v>42639.0</v>
      </c>
      <c r="D109" s="104"/>
      <c r="E109" s="104"/>
      <c r="F109" s="105" t="s">
        <v>56</v>
      </c>
      <c r="G109" s="105" t="s">
        <v>57</v>
      </c>
      <c r="H109" s="104">
        <v>1453.0</v>
      </c>
      <c r="I109" s="104">
        <v>242000.0</v>
      </c>
      <c r="J109" s="104">
        <v>245000.0</v>
      </c>
      <c r="K109" s="122">
        <f t="shared" si="1"/>
        <v>168.6166552</v>
      </c>
      <c r="L109" s="104">
        <v>360000.0</v>
      </c>
      <c r="M109" s="107"/>
      <c r="N109" s="123">
        <f t="shared" si="2"/>
        <v>247.7632485</v>
      </c>
      <c r="O109" s="121">
        <f t="shared" si="3"/>
        <v>115000</v>
      </c>
      <c r="P109" s="104">
        <v>30000.0</v>
      </c>
      <c r="Q109" s="60">
        <f t="shared" si="18"/>
        <v>21600</v>
      </c>
      <c r="R109" s="60">
        <f t="shared" si="5"/>
        <v>14830</v>
      </c>
      <c r="S109" s="60">
        <f t="shared" si="6"/>
        <v>296600</v>
      </c>
      <c r="T109" s="60">
        <f t="shared" si="17"/>
        <v>63400</v>
      </c>
      <c r="U109" s="108">
        <f t="shared" si="8"/>
        <v>48570</v>
      </c>
      <c r="V109" s="59">
        <f t="shared" si="9"/>
        <v>0.2137559002</v>
      </c>
      <c r="W109" s="60">
        <f t="shared" si="10"/>
        <v>240000</v>
      </c>
      <c r="X109" s="107"/>
      <c r="AB109" s="61">
        <f t="shared" si="12"/>
        <v>14000</v>
      </c>
      <c r="AC109" s="66">
        <v>8000.0</v>
      </c>
      <c r="AD109" s="66">
        <f t="shared" si="13"/>
        <v>4000</v>
      </c>
      <c r="AE109" s="61">
        <f t="shared" si="14"/>
        <v>0</v>
      </c>
      <c r="AF109" s="61">
        <f t="shared" si="15"/>
        <v>0</v>
      </c>
      <c r="AG109" s="61">
        <f t="shared" si="16"/>
        <v>0</v>
      </c>
      <c r="AI109" s="66">
        <v>2000.0</v>
      </c>
    </row>
    <row r="110" ht="15.75" customHeight="1">
      <c r="A110" s="66" t="s">
        <v>393</v>
      </c>
      <c r="B110" s="66" t="s">
        <v>394</v>
      </c>
      <c r="C110" s="110">
        <v>42644.0</v>
      </c>
      <c r="D110" s="104"/>
      <c r="E110" s="104"/>
      <c r="F110" s="105" t="s">
        <v>56</v>
      </c>
      <c r="G110" s="105" t="s">
        <v>81</v>
      </c>
      <c r="H110" s="104">
        <v>1800.0</v>
      </c>
      <c r="I110" s="104">
        <v>325000.0</v>
      </c>
      <c r="J110" s="104">
        <v>300000.0</v>
      </c>
      <c r="K110" s="122">
        <f t="shared" si="1"/>
        <v>166.6666667</v>
      </c>
      <c r="L110" s="104">
        <v>465000.0</v>
      </c>
      <c r="M110" s="107"/>
      <c r="N110" s="123">
        <f t="shared" si="2"/>
        <v>258.3333333</v>
      </c>
      <c r="O110" s="121">
        <f t="shared" si="3"/>
        <v>165000</v>
      </c>
      <c r="P110" s="104">
        <v>75000.0</v>
      </c>
      <c r="Q110" s="60">
        <f t="shared" si="18"/>
        <v>27900</v>
      </c>
      <c r="R110" s="60">
        <f t="shared" si="5"/>
        <v>20145</v>
      </c>
      <c r="S110" s="60">
        <f t="shared" si="6"/>
        <v>402900</v>
      </c>
      <c r="T110" s="60">
        <f t="shared" si="17"/>
        <v>62100</v>
      </c>
      <c r="U110" s="108">
        <f t="shared" si="8"/>
        <v>41955</v>
      </c>
      <c r="V110" s="59">
        <f t="shared" si="9"/>
        <v>0.1541325391</v>
      </c>
      <c r="W110" s="60">
        <f t="shared" si="10"/>
        <v>273750</v>
      </c>
      <c r="X110" s="107"/>
      <c r="AB110" s="61">
        <f t="shared" si="12"/>
        <v>12000</v>
      </c>
      <c r="AC110" s="66">
        <v>8000.0</v>
      </c>
      <c r="AD110" s="66">
        <f t="shared" si="13"/>
        <v>2000</v>
      </c>
      <c r="AE110" s="61">
        <f t="shared" si="14"/>
        <v>0</v>
      </c>
      <c r="AF110" s="61">
        <f t="shared" si="15"/>
        <v>0</v>
      </c>
      <c r="AG110" s="61">
        <f t="shared" si="16"/>
        <v>0</v>
      </c>
      <c r="AI110" s="66">
        <v>2000.0</v>
      </c>
    </row>
    <row r="111" ht="15.75" customHeight="1">
      <c r="A111" s="66" t="s">
        <v>395</v>
      </c>
      <c r="C111" s="110">
        <v>42648.0</v>
      </c>
      <c r="D111" s="104"/>
      <c r="E111" s="104"/>
      <c r="F111" s="105" t="s">
        <v>56</v>
      </c>
      <c r="G111" s="105" t="s">
        <v>237</v>
      </c>
      <c r="H111" s="104">
        <v>1770.0</v>
      </c>
      <c r="I111" s="104">
        <v>250000.0</v>
      </c>
      <c r="J111" s="104">
        <v>225000.0</v>
      </c>
      <c r="K111" s="122">
        <f t="shared" si="1"/>
        <v>127.1186441</v>
      </c>
      <c r="L111" s="104">
        <v>375000.0</v>
      </c>
      <c r="M111" s="107"/>
      <c r="N111" s="123">
        <f t="shared" si="2"/>
        <v>211.8644068</v>
      </c>
      <c r="O111" s="121">
        <f t="shared" si="3"/>
        <v>150000</v>
      </c>
      <c r="P111" s="104">
        <v>60000.0</v>
      </c>
      <c r="Q111" s="60">
        <f t="shared" si="18"/>
        <v>22500</v>
      </c>
      <c r="R111" s="60">
        <f t="shared" si="5"/>
        <v>15375</v>
      </c>
      <c r="S111" s="60">
        <f t="shared" si="6"/>
        <v>307500</v>
      </c>
      <c r="T111" s="60">
        <f t="shared" si="17"/>
        <v>67500</v>
      </c>
      <c r="U111" s="108">
        <f t="shared" si="8"/>
        <v>52125</v>
      </c>
      <c r="V111" s="59">
        <f t="shared" si="9"/>
        <v>0.2195121951</v>
      </c>
      <c r="W111" s="60">
        <f t="shared" si="10"/>
        <v>221250</v>
      </c>
      <c r="X111" s="107"/>
      <c r="AB111" s="61">
        <f t="shared" si="12"/>
        <v>15000</v>
      </c>
      <c r="AC111" s="66">
        <v>8000.0</v>
      </c>
      <c r="AD111" s="66">
        <f t="shared" si="13"/>
        <v>5000</v>
      </c>
      <c r="AE111" s="61">
        <f t="shared" si="14"/>
        <v>0</v>
      </c>
      <c r="AF111" s="61">
        <f t="shared" si="15"/>
        <v>0</v>
      </c>
      <c r="AG111" s="61">
        <f t="shared" si="16"/>
        <v>0</v>
      </c>
      <c r="AI111" s="66">
        <v>2000.0</v>
      </c>
    </row>
    <row r="112" ht="15.75" customHeight="1">
      <c r="A112" s="66" t="s">
        <v>396</v>
      </c>
      <c r="C112" s="110">
        <v>42656.0</v>
      </c>
      <c r="D112" s="104"/>
      <c r="E112" s="104"/>
      <c r="F112" s="105" t="s">
        <v>56</v>
      </c>
      <c r="G112" s="105" t="s">
        <v>57</v>
      </c>
      <c r="H112" s="104">
        <v>1180.0</v>
      </c>
      <c r="I112" s="104">
        <v>239000.0</v>
      </c>
      <c r="J112" s="104">
        <v>220000.0</v>
      </c>
      <c r="K112" s="122">
        <f t="shared" si="1"/>
        <v>186.440678</v>
      </c>
      <c r="L112" s="104">
        <v>295000.0</v>
      </c>
      <c r="M112" s="107"/>
      <c r="N112" s="123">
        <f t="shared" si="2"/>
        <v>250</v>
      </c>
      <c r="O112" s="121">
        <f t="shared" si="3"/>
        <v>75000</v>
      </c>
      <c r="P112" s="104">
        <v>15000.0</v>
      </c>
      <c r="Q112" s="60">
        <f t="shared" si="18"/>
        <v>17700</v>
      </c>
      <c r="R112" s="60">
        <f t="shared" si="5"/>
        <v>12635</v>
      </c>
      <c r="S112" s="60">
        <f t="shared" si="6"/>
        <v>252700</v>
      </c>
      <c r="T112" s="60">
        <f t="shared" si="17"/>
        <v>42300</v>
      </c>
      <c r="U112" s="108">
        <f t="shared" si="8"/>
        <v>29665</v>
      </c>
      <c r="V112" s="59">
        <f t="shared" si="9"/>
        <v>0.1673921646</v>
      </c>
      <c r="W112" s="60">
        <f t="shared" si="10"/>
        <v>206250</v>
      </c>
      <c r="X112" s="107"/>
      <c r="AB112" s="61">
        <f t="shared" si="12"/>
        <v>14000</v>
      </c>
      <c r="AC112" s="66">
        <v>8000.0</v>
      </c>
      <c r="AD112" s="66">
        <f t="shared" si="13"/>
        <v>4000</v>
      </c>
      <c r="AE112" s="61">
        <f t="shared" si="14"/>
        <v>0</v>
      </c>
      <c r="AF112" s="61">
        <f t="shared" si="15"/>
        <v>0</v>
      </c>
      <c r="AG112" s="61">
        <f t="shared" si="16"/>
        <v>0</v>
      </c>
      <c r="AI112" s="66">
        <v>2000.0</v>
      </c>
    </row>
    <row r="113" ht="15.75" customHeight="1">
      <c r="A113" s="66" t="s">
        <v>397</v>
      </c>
      <c r="C113" s="110">
        <v>42658.0</v>
      </c>
      <c r="D113" s="104"/>
      <c r="E113" s="104"/>
      <c r="F113" s="105" t="s">
        <v>92</v>
      </c>
      <c r="G113" s="105" t="s">
        <v>57</v>
      </c>
      <c r="H113" s="104">
        <v>2700.0</v>
      </c>
      <c r="I113" s="104">
        <v>340000.0</v>
      </c>
      <c r="J113" s="104">
        <v>350000.0</v>
      </c>
      <c r="K113" s="122">
        <f t="shared" si="1"/>
        <v>129.6296296</v>
      </c>
      <c r="L113" s="104">
        <v>635000.0</v>
      </c>
      <c r="M113" s="107"/>
      <c r="N113" s="123">
        <f t="shared" si="2"/>
        <v>235.1851852</v>
      </c>
      <c r="O113" s="121">
        <f t="shared" si="3"/>
        <v>285000</v>
      </c>
      <c r="P113" s="104">
        <v>86000.0</v>
      </c>
      <c r="Q113" s="60">
        <f t="shared" si="18"/>
        <v>38100</v>
      </c>
      <c r="R113" s="60">
        <f t="shared" si="5"/>
        <v>23705</v>
      </c>
      <c r="S113" s="60">
        <f t="shared" si="6"/>
        <v>474100</v>
      </c>
      <c r="T113" s="60">
        <f t="shared" si="17"/>
        <v>160900</v>
      </c>
      <c r="U113" s="108">
        <f t="shared" si="8"/>
        <v>137195</v>
      </c>
      <c r="V113" s="59">
        <f t="shared" si="9"/>
        <v>0.3393798777</v>
      </c>
      <c r="W113" s="60">
        <f t="shared" si="10"/>
        <v>390250</v>
      </c>
      <c r="X113" s="107"/>
      <c r="AB113" s="61">
        <f t="shared" si="12"/>
        <v>14000</v>
      </c>
      <c r="AC113" s="66">
        <v>8000.0</v>
      </c>
      <c r="AD113" s="66">
        <f t="shared" si="13"/>
        <v>4000</v>
      </c>
      <c r="AE113" s="61">
        <f t="shared" si="14"/>
        <v>0</v>
      </c>
      <c r="AF113" s="61">
        <f t="shared" si="15"/>
        <v>0</v>
      </c>
      <c r="AG113" s="61">
        <f t="shared" si="16"/>
        <v>0</v>
      </c>
      <c r="AI113" s="66">
        <v>2000.0</v>
      </c>
    </row>
    <row r="114" ht="15.75" customHeight="1">
      <c r="A114" s="66" t="s">
        <v>398</v>
      </c>
      <c r="C114" s="110">
        <v>42666.0</v>
      </c>
      <c r="D114" s="104"/>
      <c r="E114" s="104"/>
      <c r="F114" s="105" t="s">
        <v>57</v>
      </c>
      <c r="G114" s="105" t="s">
        <v>81</v>
      </c>
      <c r="H114" s="104">
        <v>1208.0</v>
      </c>
      <c r="I114" s="104">
        <v>199000.0</v>
      </c>
      <c r="J114" s="104">
        <v>170000.0</v>
      </c>
      <c r="K114" s="122">
        <f t="shared" si="1"/>
        <v>140.7284768</v>
      </c>
      <c r="L114" s="104">
        <v>295000.0</v>
      </c>
      <c r="M114" s="107"/>
      <c r="N114" s="123">
        <f t="shared" si="2"/>
        <v>244.205298</v>
      </c>
      <c r="O114" s="121">
        <f t="shared" si="3"/>
        <v>125000</v>
      </c>
      <c r="P114" s="104">
        <v>60000.0</v>
      </c>
      <c r="Q114" s="60">
        <f t="shared" si="18"/>
        <v>17700</v>
      </c>
      <c r="R114" s="60">
        <f t="shared" si="5"/>
        <v>12385</v>
      </c>
      <c r="S114" s="60">
        <f t="shared" si="6"/>
        <v>247700</v>
      </c>
      <c r="T114" s="60">
        <f t="shared" si="17"/>
        <v>47300</v>
      </c>
      <c r="U114" s="108">
        <f t="shared" si="8"/>
        <v>34915</v>
      </c>
      <c r="V114" s="59">
        <f t="shared" si="9"/>
        <v>0.1909568026</v>
      </c>
      <c r="W114" s="60">
        <f t="shared" si="10"/>
        <v>161250</v>
      </c>
      <c r="X114" s="107"/>
      <c r="AB114" s="61">
        <f t="shared" si="12"/>
        <v>12000</v>
      </c>
      <c r="AC114" s="66">
        <v>8000.0</v>
      </c>
      <c r="AD114" s="66">
        <f t="shared" si="13"/>
        <v>2000</v>
      </c>
      <c r="AE114" s="61">
        <f t="shared" si="14"/>
        <v>0</v>
      </c>
      <c r="AF114" s="61">
        <f t="shared" si="15"/>
        <v>0</v>
      </c>
      <c r="AG114" s="61">
        <f t="shared" si="16"/>
        <v>0</v>
      </c>
      <c r="AI114" s="66">
        <v>2000.0</v>
      </c>
    </row>
    <row r="115" ht="15.75" customHeight="1">
      <c r="A115" s="66" t="s">
        <v>399</v>
      </c>
      <c r="D115" s="66">
        <v>1.6036218E7</v>
      </c>
      <c r="E115" s="104"/>
      <c r="F115" s="105" t="s">
        <v>56</v>
      </c>
      <c r="G115" s="105" t="s">
        <v>57</v>
      </c>
      <c r="H115" s="104">
        <v>1860.0</v>
      </c>
      <c r="I115" s="104">
        <v>199000.0</v>
      </c>
      <c r="J115" s="104">
        <v>199000.0</v>
      </c>
      <c r="K115" s="122">
        <f t="shared" si="1"/>
        <v>106.9892473</v>
      </c>
      <c r="L115" s="104">
        <v>360000.0</v>
      </c>
      <c r="M115" s="107"/>
      <c r="N115" s="123">
        <f t="shared" si="2"/>
        <v>193.5483871</v>
      </c>
      <c r="O115" s="121">
        <f t="shared" si="3"/>
        <v>161000</v>
      </c>
      <c r="P115" s="104">
        <v>80000.0</v>
      </c>
      <c r="Q115" s="60">
        <f t="shared" si="18"/>
        <v>21600</v>
      </c>
      <c r="R115" s="60">
        <f t="shared" si="5"/>
        <v>15030</v>
      </c>
      <c r="S115" s="60">
        <f t="shared" si="6"/>
        <v>300600</v>
      </c>
      <c r="T115" s="60">
        <f t="shared" si="17"/>
        <v>59400</v>
      </c>
      <c r="U115" s="108">
        <f t="shared" si="8"/>
        <v>44370</v>
      </c>
      <c r="V115" s="59">
        <f t="shared" si="9"/>
        <v>0.1976047904</v>
      </c>
      <c r="W115" s="60">
        <f t="shared" si="10"/>
        <v>190000</v>
      </c>
      <c r="X115" s="107"/>
      <c r="AB115" s="61">
        <f t="shared" si="12"/>
        <v>14000</v>
      </c>
      <c r="AC115" s="66">
        <v>8000.0</v>
      </c>
      <c r="AD115" s="66">
        <f t="shared" si="13"/>
        <v>4000</v>
      </c>
      <c r="AE115" s="61">
        <f t="shared" si="14"/>
        <v>0</v>
      </c>
      <c r="AF115" s="61">
        <f t="shared" si="15"/>
        <v>0</v>
      </c>
      <c r="AG115" s="61">
        <f t="shared" si="16"/>
        <v>0</v>
      </c>
      <c r="AI115" s="66">
        <v>2000.0</v>
      </c>
    </row>
    <row r="116" ht="15.75" customHeight="1">
      <c r="A116" s="66" t="s">
        <v>400</v>
      </c>
      <c r="B116" s="66" t="s">
        <v>401</v>
      </c>
      <c r="C116" s="110">
        <v>42669.0</v>
      </c>
      <c r="D116" s="104"/>
      <c r="E116" s="104"/>
      <c r="F116" s="105" t="s">
        <v>57</v>
      </c>
      <c r="G116" s="105" t="s">
        <v>81</v>
      </c>
      <c r="H116" s="104">
        <v>899.0</v>
      </c>
      <c r="I116" s="104">
        <v>129000.0</v>
      </c>
      <c r="J116" s="104">
        <v>130000.0</v>
      </c>
      <c r="K116" s="122">
        <f t="shared" si="1"/>
        <v>144.6051168</v>
      </c>
      <c r="L116" s="104">
        <v>175000.0</v>
      </c>
      <c r="M116" s="107"/>
      <c r="N116" s="123">
        <f t="shared" si="2"/>
        <v>194.6607341</v>
      </c>
      <c r="O116" s="121">
        <f t="shared" si="3"/>
        <v>45000</v>
      </c>
      <c r="P116" s="104">
        <v>10000.0</v>
      </c>
      <c r="Q116" s="60">
        <f t="shared" si="18"/>
        <v>10500</v>
      </c>
      <c r="R116" s="60">
        <f t="shared" si="5"/>
        <v>7525</v>
      </c>
      <c r="S116" s="60">
        <f t="shared" si="6"/>
        <v>150500</v>
      </c>
      <c r="T116" s="60">
        <f t="shared" si="17"/>
        <v>24500</v>
      </c>
      <c r="U116" s="108">
        <f t="shared" si="8"/>
        <v>16975</v>
      </c>
      <c r="V116" s="59">
        <f t="shared" si="9"/>
        <v>0.1627906977</v>
      </c>
      <c r="W116" s="60">
        <f t="shared" si="10"/>
        <v>121250</v>
      </c>
      <c r="X116" s="107"/>
      <c r="Y116" s="66" t="s">
        <v>402</v>
      </c>
      <c r="AB116" s="61">
        <f t="shared" si="12"/>
        <v>12000</v>
      </c>
      <c r="AC116" s="66">
        <v>8000.0</v>
      </c>
      <c r="AD116" s="66">
        <f t="shared" si="13"/>
        <v>2000</v>
      </c>
      <c r="AE116" s="61">
        <f t="shared" si="14"/>
        <v>0</v>
      </c>
      <c r="AF116" s="61">
        <f t="shared" si="15"/>
        <v>0</v>
      </c>
      <c r="AG116" s="61">
        <f t="shared" si="16"/>
        <v>0</v>
      </c>
      <c r="AI116" s="66">
        <v>2000.0</v>
      </c>
    </row>
    <row r="117" ht="15.75" customHeight="1">
      <c r="A117" s="66" t="s">
        <v>403</v>
      </c>
      <c r="B117" s="66" t="s">
        <v>404</v>
      </c>
      <c r="C117" s="110">
        <v>42671.0</v>
      </c>
      <c r="D117" s="104"/>
      <c r="E117" s="104"/>
      <c r="F117" s="105" t="s">
        <v>81</v>
      </c>
      <c r="G117" s="105" t="s">
        <v>81</v>
      </c>
      <c r="H117" s="104">
        <v>400.0</v>
      </c>
      <c r="I117" s="104">
        <v>59000.0</v>
      </c>
      <c r="J117" s="104">
        <v>47000.0</v>
      </c>
      <c r="K117" s="122">
        <f t="shared" si="1"/>
        <v>117.5</v>
      </c>
      <c r="L117" s="104">
        <v>200000.0</v>
      </c>
      <c r="M117" s="107"/>
      <c r="N117" s="123">
        <f t="shared" si="2"/>
        <v>500</v>
      </c>
      <c r="O117" s="121">
        <f t="shared" si="3"/>
        <v>153000</v>
      </c>
      <c r="P117" s="104">
        <v>90000.0</v>
      </c>
      <c r="Q117" s="60">
        <f t="shared" si="18"/>
        <v>12000</v>
      </c>
      <c r="R117" s="60">
        <f t="shared" si="5"/>
        <v>7450</v>
      </c>
      <c r="S117" s="60">
        <f t="shared" si="6"/>
        <v>149000</v>
      </c>
      <c r="T117" s="60">
        <f t="shared" si="17"/>
        <v>51000</v>
      </c>
      <c r="U117" s="108">
        <f t="shared" si="8"/>
        <v>43550</v>
      </c>
      <c r="V117" s="59">
        <f t="shared" si="9"/>
        <v>0.3422818792</v>
      </c>
      <c r="W117" s="60">
        <f t="shared" si="10"/>
        <v>60000</v>
      </c>
      <c r="X117" s="107"/>
      <c r="Y117" s="66" t="s">
        <v>402</v>
      </c>
      <c r="AB117" s="61">
        <f t="shared" si="12"/>
        <v>12000</v>
      </c>
      <c r="AC117" s="66">
        <v>8000.0</v>
      </c>
      <c r="AD117" s="66">
        <f t="shared" si="13"/>
        <v>2000</v>
      </c>
      <c r="AE117" s="61">
        <f t="shared" si="14"/>
        <v>0</v>
      </c>
      <c r="AF117" s="61">
        <f t="shared" si="15"/>
        <v>0</v>
      </c>
      <c r="AG117" s="61">
        <f t="shared" si="16"/>
        <v>0</v>
      </c>
      <c r="AI117" s="66">
        <v>2000.0</v>
      </c>
    </row>
    <row r="118" ht="15.75" customHeight="1">
      <c r="A118" s="66" t="s">
        <v>405</v>
      </c>
      <c r="C118" s="110">
        <v>42674.0</v>
      </c>
      <c r="D118" s="104"/>
      <c r="E118" s="104"/>
      <c r="F118" s="105"/>
      <c r="G118" s="105"/>
      <c r="H118" s="104"/>
      <c r="I118" s="104">
        <v>310000.0</v>
      </c>
      <c r="J118" s="104">
        <v>310000.0</v>
      </c>
      <c r="K118" s="122" t="str">
        <f t="shared" si="1"/>
        <v>#DIV/0!</v>
      </c>
      <c r="L118" s="104">
        <v>500000.0</v>
      </c>
      <c r="M118" s="107"/>
      <c r="N118" s="123" t="str">
        <f t="shared" si="2"/>
        <v>#DIV/0!</v>
      </c>
      <c r="O118" s="121">
        <f t="shared" si="3"/>
        <v>190000</v>
      </c>
      <c r="P118" s="104">
        <v>100000.0</v>
      </c>
      <c r="Q118" s="60">
        <f t="shared" si="18"/>
        <v>30000</v>
      </c>
      <c r="R118" s="60">
        <f t="shared" si="5"/>
        <v>22000</v>
      </c>
      <c r="S118" s="60">
        <f t="shared" si="6"/>
        <v>440000</v>
      </c>
      <c r="T118" s="60">
        <f t="shared" si="17"/>
        <v>60000</v>
      </c>
      <c r="U118" s="108">
        <f t="shared" si="8"/>
        <v>38000</v>
      </c>
      <c r="V118" s="59">
        <f t="shared" si="9"/>
        <v>0.1363636364</v>
      </c>
      <c r="W118" s="60">
        <f t="shared" si="10"/>
        <v>275000</v>
      </c>
      <c r="X118" s="107"/>
      <c r="Y118" s="66" t="s">
        <v>258</v>
      </c>
      <c r="AB118" s="61">
        <f t="shared" si="12"/>
        <v>10000</v>
      </c>
      <c r="AC118" s="66">
        <v>8000.0</v>
      </c>
      <c r="AD118" s="66">
        <f t="shared" si="13"/>
        <v>0</v>
      </c>
      <c r="AE118" s="61">
        <f t="shared" si="14"/>
        <v>0</v>
      </c>
      <c r="AF118" s="61">
        <f t="shared" si="15"/>
        <v>0</v>
      </c>
      <c r="AG118" s="61">
        <f t="shared" si="16"/>
        <v>0</v>
      </c>
      <c r="AI118" s="66">
        <v>2000.0</v>
      </c>
    </row>
    <row r="119" ht="15.75" customHeight="1">
      <c r="A119" s="66" t="s">
        <v>406</v>
      </c>
      <c r="C119" s="110">
        <v>42675.0</v>
      </c>
      <c r="D119" s="104"/>
      <c r="E119" s="104"/>
      <c r="F119" s="105"/>
      <c r="G119" s="105"/>
      <c r="H119" s="104"/>
      <c r="I119" s="104"/>
      <c r="J119" s="104">
        <v>460000.0</v>
      </c>
      <c r="K119" s="122" t="str">
        <f t="shared" si="1"/>
        <v>#DIV/0!</v>
      </c>
      <c r="L119" s="104">
        <v>540000.0</v>
      </c>
      <c r="M119" s="107"/>
      <c r="N119" s="123" t="str">
        <f t="shared" si="2"/>
        <v>#DIV/0!</v>
      </c>
      <c r="O119" s="121">
        <f t="shared" si="3"/>
        <v>80000</v>
      </c>
      <c r="P119" s="104">
        <v>20000.0</v>
      </c>
      <c r="Q119" s="60">
        <f t="shared" si="18"/>
        <v>32400</v>
      </c>
      <c r="R119" s="60">
        <f t="shared" si="5"/>
        <v>25620</v>
      </c>
      <c r="S119" s="60">
        <f t="shared" si="6"/>
        <v>512400</v>
      </c>
      <c r="T119" s="60">
        <f t="shared" si="17"/>
        <v>27600</v>
      </c>
      <c r="U119" s="108">
        <f t="shared" si="8"/>
        <v>1980</v>
      </c>
      <c r="V119" s="59">
        <f t="shared" si="9"/>
        <v>0.05386416862</v>
      </c>
      <c r="W119" s="60">
        <f t="shared" si="10"/>
        <v>385000</v>
      </c>
      <c r="X119" s="107"/>
      <c r="AB119" s="61">
        <f t="shared" si="12"/>
        <v>10000</v>
      </c>
      <c r="AC119" s="66">
        <v>8000.0</v>
      </c>
      <c r="AD119" s="66">
        <f t="shared" si="13"/>
        <v>0</v>
      </c>
      <c r="AE119" s="61">
        <f t="shared" si="14"/>
        <v>0</v>
      </c>
      <c r="AF119" s="61">
        <f t="shared" si="15"/>
        <v>0</v>
      </c>
      <c r="AG119" s="61">
        <f t="shared" si="16"/>
        <v>0</v>
      </c>
      <c r="AI119" s="66">
        <v>2000.0</v>
      </c>
    </row>
    <row r="120" ht="15.75" customHeight="1">
      <c r="A120" s="66" t="s">
        <v>407</v>
      </c>
      <c r="C120" s="110">
        <v>42678.0</v>
      </c>
      <c r="D120" s="104"/>
      <c r="E120" s="104"/>
      <c r="F120" s="105"/>
      <c r="G120" s="105"/>
      <c r="H120" s="104">
        <v>758.0</v>
      </c>
      <c r="I120" s="104">
        <v>175000.0</v>
      </c>
      <c r="J120" s="104">
        <v>170000.0</v>
      </c>
      <c r="K120" s="122">
        <f t="shared" si="1"/>
        <v>224.2744063</v>
      </c>
      <c r="L120" s="104">
        <v>525000.0</v>
      </c>
      <c r="M120" s="107">
        <v>1800.0</v>
      </c>
      <c r="N120" s="123">
        <f t="shared" ref="N120:N164" si="19">L120/M120</f>
        <v>291.6666667</v>
      </c>
      <c r="O120" s="121">
        <f t="shared" si="3"/>
        <v>355000</v>
      </c>
      <c r="P120" s="104">
        <v>150000.0</v>
      </c>
      <c r="Q120" s="60">
        <f t="shared" si="18"/>
        <v>31500</v>
      </c>
      <c r="R120" s="60">
        <f t="shared" si="5"/>
        <v>17575</v>
      </c>
      <c r="S120" s="60">
        <f t="shared" si="6"/>
        <v>351500</v>
      </c>
      <c r="T120" s="60">
        <f t="shared" si="17"/>
        <v>173500</v>
      </c>
      <c r="U120" s="108">
        <f t="shared" si="8"/>
        <v>155925</v>
      </c>
      <c r="V120" s="59">
        <f t="shared" si="9"/>
        <v>0.493598862</v>
      </c>
      <c r="W120" s="60">
        <f t="shared" si="10"/>
        <v>243750</v>
      </c>
      <c r="X120" s="107"/>
      <c r="Y120" s="66" t="s">
        <v>408</v>
      </c>
      <c r="AB120" s="61">
        <f t="shared" si="12"/>
        <v>22600</v>
      </c>
      <c r="AC120" s="66">
        <v>8000.0</v>
      </c>
      <c r="AD120" s="66">
        <f t="shared" si="13"/>
        <v>0</v>
      </c>
      <c r="AE120" s="61">
        <f t="shared" si="14"/>
        <v>3600</v>
      </c>
      <c r="AF120" s="61">
        <f t="shared" si="15"/>
        <v>3600</v>
      </c>
      <c r="AG120" s="61">
        <f t="shared" si="16"/>
        <v>5400</v>
      </c>
      <c r="AI120" s="66">
        <v>2000.0</v>
      </c>
    </row>
    <row r="121" ht="15.75" customHeight="1">
      <c r="A121" s="66" t="s">
        <v>409</v>
      </c>
      <c r="C121" s="110">
        <v>42678.0</v>
      </c>
      <c r="D121" s="104"/>
      <c r="E121" s="104"/>
      <c r="F121" s="105"/>
      <c r="G121" s="105"/>
      <c r="H121" s="104">
        <v>556.0</v>
      </c>
      <c r="I121" s="104">
        <v>150000.0</v>
      </c>
      <c r="J121" s="104">
        <v>145000.0</v>
      </c>
      <c r="K121" s="122">
        <f t="shared" si="1"/>
        <v>260.7913669</v>
      </c>
      <c r="L121" s="104">
        <v>467000.0</v>
      </c>
      <c r="M121" s="107">
        <v>1600.0</v>
      </c>
      <c r="N121" s="123">
        <f t="shared" si="19"/>
        <v>291.875</v>
      </c>
      <c r="O121" s="121">
        <f t="shared" si="3"/>
        <v>322000</v>
      </c>
      <c r="P121" s="104">
        <v>150000.0</v>
      </c>
      <c r="Q121" s="60">
        <f t="shared" si="18"/>
        <v>28020</v>
      </c>
      <c r="R121" s="60">
        <f t="shared" si="5"/>
        <v>16151</v>
      </c>
      <c r="S121" s="60">
        <f t="shared" si="6"/>
        <v>323020</v>
      </c>
      <c r="T121" s="60">
        <f t="shared" si="17"/>
        <v>143980</v>
      </c>
      <c r="U121" s="108">
        <f t="shared" si="8"/>
        <v>127829</v>
      </c>
      <c r="V121" s="59">
        <f t="shared" si="9"/>
        <v>0.4457309145</v>
      </c>
      <c r="W121" s="60">
        <f t="shared" si="10"/>
        <v>200250</v>
      </c>
      <c r="X121" s="107"/>
      <c r="Y121" s="66" t="s">
        <v>408</v>
      </c>
      <c r="AB121" s="61">
        <f t="shared" si="12"/>
        <v>21200</v>
      </c>
      <c r="AC121" s="66">
        <v>8000.0</v>
      </c>
      <c r="AD121" s="66">
        <f t="shared" si="13"/>
        <v>0</v>
      </c>
      <c r="AE121" s="61">
        <f t="shared" si="14"/>
        <v>3200</v>
      </c>
      <c r="AF121" s="61">
        <f t="shared" si="15"/>
        <v>3200</v>
      </c>
      <c r="AG121" s="61">
        <f t="shared" si="16"/>
        <v>4800</v>
      </c>
      <c r="AI121" s="66">
        <v>2000.0</v>
      </c>
    </row>
    <row r="122" ht="15.75" customHeight="1">
      <c r="A122" s="66" t="s">
        <v>410</v>
      </c>
      <c r="B122" s="66" t="s">
        <v>411</v>
      </c>
      <c r="C122" s="110">
        <v>42679.0</v>
      </c>
      <c r="D122" s="104"/>
      <c r="E122" s="104"/>
      <c r="F122" s="105" t="s">
        <v>56</v>
      </c>
      <c r="G122" s="105" t="s">
        <v>57</v>
      </c>
      <c r="H122" s="104">
        <v>1795.0</v>
      </c>
      <c r="I122" s="104">
        <v>350000.0</v>
      </c>
      <c r="J122" s="104">
        <v>325000.0</v>
      </c>
      <c r="K122" s="122">
        <f t="shared" si="1"/>
        <v>181.0584958</v>
      </c>
      <c r="L122" s="104">
        <v>415000.0</v>
      </c>
      <c r="M122" s="104">
        <v>1795.0</v>
      </c>
      <c r="N122" s="123">
        <f t="shared" si="19"/>
        <v>231.1977716</v>
      </c>
      <c r="O122" s="121">
        <f t="shared" si="3"/>
        <v>90000</v>
      </c>
      <c r="P122" s="104">
        <v>20000.0</v>
      </c>
      <c r="Q122" s="60">
        <f t="shared" ref="Q122:Q157" si="20">MULTIPLY(0.07,L122)</f>
        <v>29050</v>
      </c>
      <c r="R122" s="60">
        <f t="shared" si="5"/>
        <v>18702.5</v>
      </c>
      <c r="S122" s="60">
        <f t="shared" si="6"/>
        <v>374050</v>
      </c>
      <c r="T122" s="60">
        <f t="shared" si="17"/>
        <v>40950</v>
      </c>
      <c r="U122" s="108">
        <f t="shared" si="8"/>
        <v>22247.5</v>
      </c>
      <c r="V122" s="59">
        <f t="shared" si="9"/>
        <v>0.1094773426</v>
      </c>
      <c r="W122" s="60">
        <f t="shared" si="10"/>
        <v>291250</v>
      </c>
      <c r="X122" s="107"/>
      <c r="Y122" s="66" t="s">
        <v>194</v>
      </c>
      <c r="AB122" s="61">
        <f t="shared" si="12"/>
        <v>26565</v>
      </c>
      <c r="AC122" s="66">
        <v>8000.0</v>
      </c>
      <c r="AD122" s="66">
        <f t="shared" si="13"/>
        <v>4000</v>
      </c>
      <c r="AE122" s="61">
        <f t="shared" si="14"/>
        <v>3590</v>
      </c>
      <c r="AF122" s="61">
        <f t="shared" si="15"/>
        <v>3590</v>
      </c>
      <c r="AG122" s="61">
        <f t="shared" si="16"/>
        <v>5385</v>
      </c>
      <c r="AI122" s="66">
        <v>2000.0</v>
      </c>
    </row>
    <row r="123" ht="15.75" customHeight="1">
      <c r="A123" s="66" t="s">
        <v>412</v>
      </c>
      <c r="B123" s="66" t="s">
        <v>413</v>
      </c>
      <c r="C123" s="110">
        <v>42680.0</v>
      </c>
      <c r="D123" s="104"/>
      <c r="E123" s="104"/>
      <c r="F123" s="105" t="s">
        <v>56</v>
      </c>
      <c r="G123" s="105" t="s">
        <v>57</v>
      </c>
      <c r="H123" s="104">
        <v>1500.0</v>
      </c>
      <c r="I123" s="104">
        <v>269000.0</v>
      </c>
      <c r="J123" s="104">
        <v>260000.0</v>
      </c>
      <c r="K123" s="122">
        <f t="shared" si="1"/>
        <v>173.3333333</v>
      </c>
      <c r="L123" s="104">
        <v>350000.0</v>
      </c>
      <c r="M123" s="107">
        <v>1500.0</v>
      </c>
      <c r="N123" s="123">
        <f t="shared" si="19"/>
        <v>233.3333333</v>
      </c>
      <c r="O123" s="121">
        <f t="shared" si="3"/>
        <v>90000</v>
      </c>
      <c r="P123" s="104">
        <v>25000.0</v>
      </c>
      <c r="Q123" s="60">
        <f t="shared" si="20"/>
        <v>24500</v>
      </c>
      <c r="R123" s="60">
        <f t="shared" si="5"/>
        <v>15475</v>
      </c>
      <c r="S123" s="60">
        <f t="shared" si="6"/>
        <v>309500</v>
      </c>
      <c r="T123" s="60">
        <f t="shared" si="17"/>
        <v>40500</v>
      </c>
      <c r="U123" s="108">
        <f t="shared" si="8"/>
        <v>25025</v>
      </c>
      <c r="V123" s="59">
        <f t="shared" si="9"/>
        <v>0.1308562197</v>
      </c>
      <c r="W123" s="60">
        <f t="shared" si="10"/>
        <v>237500</v>
      </c>
      <c r="X123" s="107"/>
      <c r="Y123" s="66" t="s">
        <v>414</v>
      </c>
      <c r="AB123" s="61">
        <f t="shared" si="12"/>
        <v>24500</v>
      </c>
      <c r="AC123" s="66">
        <v>8000.0</v>
      </c>
      <c r="AD123" s="66">
        <f t="shared" si="13"/>
        <v>4000</v>
      </c>
      <c r="AE123" s="61">
        <f t="shared" si="14"/>
        <v>3000</v>
      </c>
      <c r="AF123" s="61">
        <f t="shared" si="15"/>
        <v>3000</v>
      </c>
      <c r="AG123" s="61">
        <f t="shared" si="16"/>
        <v>4500</v>
      </c>
      <c r="AI123" s="66">
        <v>2000.0</v>
      </c>
    </row>
    <row r="124" ht="15.75" customHeight="1">
      <c r="A124" s="66" t="s">
        <v>415</v>
      </c>
      <c r="B124" s="66" t="s">
        <v>416</v>
      </c>
      <c r="C124" s="110">
        <v>42681.0</v>
      </c>
      <c r="D124" s="104"/>
      <c r="E124" s="104"/>
      <c r="F124" s="105" t="s">
        <v>56</v>
      </c>
      <c r="G124" s="105" t="s">
        <v>57</v>
      </c>
      <c r="H124" s="104">
        <v>1516.0</v>
      </c>
      <c r="I124" s="104">
        <v>273000.0</v>
      </c>
      <c r="J124" s="104">
        <v>265000.0</v>
      </c>
      <c r="K124" s="122">
        <f t="shared" si="1"/>
        <v>174.8021108</v>
      </c>
      <c r="L124" s="104">
        <v>330000.0</v>
      </c>
      <c r="M124" s="107">
        <v>1516.0</v>
      </c>
      <c r="N124" s="123">
        <f t="shared" si="19"/>
        <v>217.6781003</v>
      </c>
      <c r="O124" s="121">
        <f t="shared" si="3"/>
        <v>65000</v>
      </c>
      <c r="P124" s="104">
        <v>30000.0</v>
      </c>
      <c r="Q124" s="60">
        <f t="shared" si="20"/>
        <v>23100</v>
      </c>
      <c r="R124" s="60">
        <f t="shared" si="5"/>
        <v>15905</v>
      </c>
      <c r="S124" s="60">
        <f t="shared" si="6"/>
        <v>318100</v>
      </c>
      <c r="T124" s="60">
        <f t="shared" si="17"/>
        <v>11900</v>
      </c>
      <c r="U124" s="108">
        <f t="shared" si="8"/>
        <v>-4005</v>
      </c>
      <c r="V124" s="59">
        <f t="shared" si="9"/>
        <v>0.03740961962</v>
      </c>
      <c r="W124" s="60">
        <f t="shared" si="10"/>
        <v>217500</v>
      </c>
      <c r="X124" s="107"/>
      <c r="Y124" s="66" t="s">
        <v>414</v>
      </c>
      <c r="AB124" s="61">
        <f t="shared" si="12"/>
        <v>24612</v>
      </c>
      <c r="AC124" s="66">
        <v>8000.0</v>
      </c>
      <c r="AD124" s="66">
        <f t="shared" si="13"/>
        <v>4000</v>
      </c>
      <c r="AE124" s="61">
        <f t="shared" si="14"/>
        <v>3032</v>
      </c>
      <c r="AF124" s="61">
        <f t="shared" si="15"/>
        <v>3032</v>
      </c>
      <c r="AG124" s="61">
        <f t="shared" si="16"/>
        <v>4548</v>
      </c>
      <c r="AI124" s="66">
        <v>2000.0</v>
      </c>
    </row>
    <row r="125" ht="15.75" customHeight="1">
      <c r="A125" s="66" t="s">
        <v>417</v>
      </c>
      <c r="B125" s="66" t="s">
        <v>270</v>
      </c>
      <c r="C125" s="110">
        <v>42681.0</v>
      </c>
      <c r="D125" s="104"/>
      <c r="E125" s="104"/>
      <c r="F125" s="105" t="s">
        <v>56</v>
      </c>
      <c r="G125" s="105" t="s">
        <v>57</v>
      </c>
      <c r="H125" s="104">
        <v>1318.0</v>
      </c>
      <c r="I125" s="104">
        <v>210000.0</v>
      </c>
      <c r="J125" s="104">
        <v>150000.0</v>
      </c>
      <c r="K125" s="122">
        <f t="shared" si="1"/>
        <v>113.8088012</v>
      </c>
      <c r="L125" s="104">
        <v>235000.0</v>
      </c>
      <c r="M125" s="107">
        <v>1318.0</v>
      </c>
      <c r="N125" s="123">
        <f t="shared" si="19"/>
        <v>178.3004552</v>
      </c>
      <c r="O125" s="121">
        <f t="shared" si="3"/>
        <v>85000</v>
      </c>
      <c r="P125" s="104">
        <v>25000.0</v>
      </c>
      <c r="Q125" s="60">
        <f t="shared" si="20"/>
        <v>16450</v>
      </c>
      <c r="R125" s="60">
        <f t="shared" si="5"/>
        <v>9572.5</v>
      </c>
      <c r="S125" s="60">
        <f t="shared" si="6"/>
        <v>191450</v>
      </c>
      <c r="T125" s="60">
        <f t="shared" si="17"/>
        <v>43550</v>
      </c>
      <c r="U125" s="108">
        <f t="shared" si="8"/>
        <v>33977.5</v>
      </c>
      <c r="V125" s="59">
        <f t="shared" si="9"/>
        <v>0.2274745364</v>
      </c>
      <c r="W125" s="60">
        <f t="shared" si="10"/>
        <v>151250</v>
      </c>
      <c r="X125" s="107"/>
      <c r="AB125" s="61">
        <f t="shared" si="12"/>
        <v>23226</v>
      </c>
      <c r="AC125" s="66">
        <v>8000.0</v>
      </c>
      <c r="AD125" s="66">
        <f t="shared" si="13"/>
        <v>4000</v>
      </c>
      <c r="AE125" s="61">
        <f t="shared" si="14"/>
        <v>2636</v>
      </c>
      <c r="AF125" s="61">
        <f t="shared" si="15"/>
        <v>2636</v>
      </c>
      <c r="AG125" s="61">
        <f t="shared" si="16"/>
        <v>3954</v>
      </c>
      <c r="AI125" s="66">
        <v>2000.0</v>
      </c>
    </row>
    <row r="126" ht="15.75" customHeight="1">
      <c r="A126" s="66" t="s">
        <v>418</v>
      </c>
      <c r="B126" s="66" t="s">
        <v>419</v>
      </c>
      <c r="C126" s="110">
        <v>42681.0</v>
      </c>
      <c r="D126" s="104"/>
      <c r="E126" s="104"/>
      <c r="F126" s="105" t="s">
        <v>56</v>
      </c>
      <c r="G126" s="105" t="s">
        <v>57</v>
      </c>
      <c r="H126" s="104">
        <v>1200.0</v>
      </c>
      <c r="I126" s="104">
        <v>175000.0</v>
      </c>
      <c r="J126" s="104">
        <v>90000.0</v>
      </c>
      <c r="K126" s="122">
        <f t="shared" si="1"/>
        <v>75</v>
      </c>
      <c r="L126" s="104">
        <v>290000.0</v>
      </c>
      <c r="M126" s="107">
        <v>1700.0</v>
      </c>
      <c r="N126" s="123">
        <f t="shared" si="19"/>
        <v>170.5882353</v>
      </c>
      <c r="O126" s="121">
        <f t="shared" si="3"/>
        <v>200000</v>
      </c>
      <c r="P126" s="104">
        <v>100000.0</v>
      </c>
      <c r="Q126" s="60">
        <f t="shared" si="20"/>
        <v>20300</v>
      </c>
      <c r="R126" s="60">
        <f t="shared" si="5"/>
        <v>10515</v>
      </c>
      <c r="S126" s="60">
        <f t="shared" si="6"/>
        <v>210300</v>
      </c>
      <c r="T126" s="60">
        <f t="shared" si="17"/>
        <v>79700</v>
      </c>
      <c r="U126" s="108">
        <f t="shared" si="8"/>
        <v>69185</v>
      </c>
      <c r="V126" s="59">
        <f t="shared" si="9"/>
        <v>0.3789824061</v>
      </c>
      <c r="W126" s="60">
        <f t="shared" si="10"/>
        <v>117500</v>
      </c>
      <c r="X126" s="107"/>
      <c r="Y126" s="66" t="s">
        <v>296</v>
      </c>
      <c r="AB126" s="61">
        <f t="shared" si="12"/>
        <v>25900</v>
      </c>
      <c r="AC126" s="66">
        <v>8000.0</v>
      </c>
      <c r="AD126" s="66">
        <f t="shared" si="13"/>
        <v>4000</v>
      </c>
      <c r="AE126" s="61">
        <f t="shared" si="14"/>
        <v>3400</v>
      </c>
      <c r="AF126" s="61">
        <f t="shared" si="15"/>
        <v>3400</v>
      </c>
      <c r="AG126" s="61">
        <f t="shared" si="16"/>
        <v>5100</v>
      </c>
      <c r="AI126" s="66">
        <v>2000.0</v>
      </c>
    </row>
    <row r="127" ht="15.75" customHeight="1">
      <c r="A127" s="66" t="s">
        <v>420</v>
      </c>
      <c r="B127" s="66" t="s">
        <v>421</v>
      </c>
      <c r="C127" s="110">
        <v>42681.0</v>
      </c>
      <c r="D127" s="104"/>
      <c r="E127" s="104"/>
      <c r="F127" s="105" t="s">
        <v>57</v>
      </c>
      <c r="G127" s="105" t="s">
        <v>81</v>
      </c>
      <c r="H127" s="104">
        <v>944.0</v>
      </c>
      <c r="I127" s="104">
        <v>94000.0</v>
      </c>
      <c r="J127" s="104">
        <v>20000.0</v>
      </c>
      <c r="K127" s="122">
        <f t="shared" si="1"/>
        <v>21.18644068</v>
      </c>
      <c r="L127" s="104">
        <v>240000.0</v>
      </c>
      <c r="M127" s="107">
        <v>944.0</v>
      </c>
      <c r="N127" s="123">
        <f t="shared" si="19"/>
        <v>254.2372881</v>
      </c>
      <c r="O127" s="121">
        <f t="shared" si="3"/>
        <v>220000</v>
      </c>
      <c r="P127" s="104">
        <v>150000.0</v>
      </c>
      <c r="Q127" s="60">
        <f t="shared" si="20"/>
        <v>16800</v>
      </c>
      <c r="R127" s="60">
        <f t="shared" si="5"/>
        <v>9340</v>
      </c>
      <c r="S127" s="60">
        <f t="shared" si="6"/>
        <v>186800</v>
      </c>
      <c r="T127" s="60">
        <f t="shared" si="17"/>
        <v>53200</v>
      </c>
      <c r="U127" s="108">
        <f t="shared" si="8"/>
        <v>43860</v>
      </c>
      <c r="V127" s="59">
        <f t="shared" si="9"/>
        <v>0.2847965739</v>
      </c>
      <c r="W127" s="60">
        <f t="shared" si="10"/>
        <v>30000</v>
      </c>
      <c r="X127" s="107"/>
      <c r="Y127" s="66" t="s">
        <v>296</v>
      </c>
      <c r="AB127" s="61">
        <f t="shared" si="12"/>
        <v>18608</v>
      </c>
      <c r="AC127" s="66">
        <v>8000.0</v>
      </c>
      <c r="AD127" s="66">
        <f t="shared" si="13"/>
        <v>2000</v>
      </c>
      <c r="AE127" s="61">
        <f t="shared" si="14"/>
        <v>1888</v>
      </c>
      <c r="AF127" s="61">
        <f t="shared" si="15"/>
        <v>1888</v>
      </c>
      <c r="AG127" s="61">
        <f t="shared" si="16"/>
        <v>2832</v>
      </c>
      <c r="AI127" s="66">
        <v>2000.0</v>
      </c>
    </row>
    <row r="128" ht="15.75" customHeight="1">
      <c r="A128" s="66" t="s">
        <v>422</v>
      </c>
      <c r="B128" s="66" t="s">
        <v>423</v>
      </c>
      <c r="C128" s="110">
        <v>42682.0</v>
      </c>
      <c r="D128" s="104"/>
      <c r="E128" s="104"/>
      <c r="F128" s="105" t="s">
        <v>56</v>
      </c>
      <c r="G128" s="105" t="s">
        <v>81</v>
      </c>
      <c r="H128" s="104">
        <v>910.0</v>
      </c>
      <c r="I128" s="104">
        <v>100000.0</v>
      </c>
      <c r="J128" s="104">
        <v>110000.0</v>
      </c>
      <c r="K128" s="122">
        <f t="shared" si="1"/>
        <v>120.8791209</v>
      </c>
      <c r="L128" s="104">
        <v>250000.0</v>
      </c>
      <c r="M128" s="107">
        <v>910.0</v>
      </c>
      <c r="N128" s="123">
        <f t="shared" si="19"/>
        <v>274.7252747</v>
      </c>
      <c r="O128" s="121">
        <f t="shared" si="3"/>
        <v>140000</v>
      </c>
      <c r="P128" s="104">
        <v>75000.0</v>
      </c>
      <c r="Q128" s="60">
        <f t="shared" si="20"/>
        <v>17500</v>
      </c>
      <c r="R128" s="60">
        <f t="shared" si="5"/>
        <v>10125</v>
      </c>
      <c r="S128" s="60">
        <f t="shared" si="6"/>
        <v>202500</v>
      </c>
      <c r="T128" s="60">
        <f t="shared" si="17"/>
        <v>47500</v>
      </c>
      <c r="U128" s="108">
        <f t="shared" si="8"/>
        <v>37375</v>
      </c>
      <c r="V128" s="59">
        <f t="shared" si="9"/>
        <v>0.2345679012</v>
      </c>
      <c r="W128" s="60">
        <f t="shared" si="10"/>
        <v>112500</v>
      </c>
      <c r="X128" s="107"/>
      <c r="AB128" s="61">
        <f t="shared" si="12"/>
        <v>18370</v>
      </c>
      <c r="AC128" s="66">
        <v>8000.0</v>
      </c>
      <c r="AD128" s="66">
        <f t="shared" si="13"/>
        <v>2000</v>
      </c>
      <c r="AE128" s="61">
        <f t="shared" si="14"/>
        <v>1820</v>
      </c>
      <c r="AF128" s="61">
        <f t="shared" si="15"/>
        <v>1820</v>
      </c>
      <c r="AG128" s="61">
        <f t="shared" si="16"/>
        <v>2730</v>
      </c>
      <c r="AI128" s="66">
        <v>2000.0</v>
      </c>
    </row>
    <row r="129" ht="15.75" customHeight="1">
      <c r="A129" s="66" t="s">
        <v>424</v>
      </c>
      <c r="B129" s="66" t="s">
        <v>425</v>
      </c>
      <c r="C129" s="110">
        <v>42683.0</v>
      </c>
      <c r="D129" s="104"/>
      <c r="E129" s="104"/>
      <c r="F129" s="105" t="s">
        <v>56</v>
      </c>
      <c r="G129" s="105" t="s">
        <v>81</v>
      </c>
      <c r="H129" s="104">
        <v>1170.0</v>
      </c>
      <c r="I129" s="104">
        <v>205000.0</v>
      </c>
      <c r="J129" s="104">
        <v>205000.0</v>
      </c>
      <c r="K129" s="122">
        <f t="shared" si="1"/>
        <v>175.2136752</v>
      </c>
      <c r="L129" s="104">
        <v>300000.0</v>
      </c>
      <c r="M129" s="107">
        <v>1170.0</v>
      </c>
      <c r="N129" s="123">
        <f t="shared" si="19"/>
        <v>256.4102564</v>
      </c>
      <c r="O129" s="121">
        <f t="shared" si="3"/>
        <v>95000</v>
      </c>
      <c r="P129" s="104">
        <v>50000.0</v>
      </c>
      <c r="Q129" s="60">
        <f t="shared" si="20"/>
        <v>21000</v>
      </c>
      <c r="R129" s="60">
        <f t="shared" si="5"/>
        <v>13800</v>
      </c>
      <c r="S129" s="60">
        <f t="shared" si="6"/>
        <v>276000</v>
      </c>
      <c r="T129" s="60">
        <f t="shared" si="17"/>
        <v>24000</v>
      </c>
      <c r="U129" s="108">
        <f t="shared" si="8"/>
        <v>10200</v>
      </c>
      <c r="V129" s="59">
        <f t="shared" si="9"/>
        <v>0.08695652174</v>
      </c>
      <c r="W129" s="60">
        <f t="shared" si="10"/>
        <v>175000</v>
      </c>
      <c r="X129" s="107"/>
      <c r="AB129" s="61">
        <f t="shared" si="12"/>
        <v>20190</v>
      </c>
      <c r="AC129" s="66">
        <v>8000.0</v>
      </c>
      <c r="AD129" s="66">
        <f t="shared" si="13"/>
        <v>2000</v>
      </c>
      <c r="AE129" s="61">
        <f t="shared" si="14"/>
        <v>2340</v>
      </c>
      <c r="AF129" s="61">
        <f t="shared" si="15"/>
        <v>2340</v>
      </c>
      <c r="AG129" s="61">
        <f t="shared" si="16"/>
        <v>3510</v>
      </c>
      <c r="AI129" s="66">
        <v>2000.0</v>
      </c>
    </row>
    <row r="130" ht="15.75" customHeight="1">
      <c r="A130" s="66" t="s">
        <v>426</v>
      </c>
      <c r="B130" s="66" t="s">
        <v>427</v>
      </c>
      <c r="C130" s="110">
        <v>42684.0</v>
      </c>
      <c r="D130" s="104"/>
      <c r="E130" s="104"/>
      <c r="F130" s="105" t="s">
        <v>56</v>
      </c>
      <c r="G130" s="105" t="s">
        <v>57</v>
      </c>
      <c r="H130" s="104">
        <v>2982.0</v>
      </c>
      <c r="I130" s="104">
        <v>450000.0</v>
      </c>
      <c r="J130" s="104">
        <v>467750.0</v>
      </c>
      <c r="K130" s="122">
        <f t="shared" si="1"/>
        <v>156.8578135</v>
      </c>
      <c r="L130" s="104">
        <v>699000.0</v>
      </c>
      <c r="M130" s="107">
        <v>2982.0</v>
      </c>
      <c r="N130" s="123">
        <f t="shared" si="19"/>
        <v>234.4064386</v>
      </c>
      <c r="O130" s="121">
        <f t="shared" si="3"/>
        <v>231250</v>
      </c>
      <c r="P130" s="104">
        <v>150000.0</v>
      </c>
      <c r="Q130" s="60">
        <f t="shared" si="20"/>
        <v>48930</v>
      </c>
      <c r="R130" s="60">
        <f t="shared" si="5"/>
        <v>33334</v>
      </c>
      <c r="S130" s="60">
        <f t="shared" si="6"/>
        <v>666680</v>
      </c>
      <c r="T130" s="60">
        <f t="shared" si="17"/>
        <v>32320</v>
      </c>
      <c r="U130" s="108">
        <f t="shared" si="8"/>
        <v>-1014</v>
      </c>
      <c r="V130" s="59">
        <f t="shared" si="9"/>
        <v>0.04847903042</v>
      </c>
      <c r="W130" s="60">
        <f t="shared" si="10"/>
        <v>374250</v>
      </c>
      <c r="X130" s="107"/>
      <c r="AB130" s="61">
        <f t="shared" si="12"/>
        <v>34874</v>
      </c>
      <c r="AC130" s="66">
        <v>8000.0</v>
      </c>
      <c r="AD130" s="66">
        <f t="shared" si="13"/>
        <v>4000</v>
      </c>
      <c r="AE130" s="61">
        <f t="shared" si="14"/>
        <v>5964</v>
      </c>
      <c r="AF130" s="61">
        <f t="shared" si="15"/>
        <v>5964</v>
      </c>
      <c r="AG130" s="61">
        <f t="shared" si="16"/>
        <v>8946</v>
      </c>
      <c r="AI130" s="66">
        <v>2000.0</v>
      </c>
    </row>
    <row r="131" ht="15.75" customHeight="1">
      <c r="A131" s="66" t="s">
        <v>428</v>
      </c>
      <c r="B131" s="66" t="s">
        <v>429</v>
      </c>
      <c r="C131" s="110">
        <v>42690.0</v>
      </c>
      <c r="D131" s="104"/>
      <c r="E131" s="104"/>
      <c r="F131" s="105" t="s">
        <v>92</v>
      </c>
      <c r="G131" s="105" t="s">
        <v>256</v>
      </c>
      <c r="H131" s="104">
        <v>3817.0</v>
      </c>
      <c r="I131" s="104">
        <v>399000.0</v>
      </c>
      <c r="J131" s="104">
        <v>399000.0</v>
      </c>
      <c r="K131" s="122">
        <f t="shared" si="1"/>
        <v>104.5323553</v>
      </c>
      <c r="L131" s="104">
        <v>750000.0</v>
      </c>
      <c r="M131" s="104">
        <v>3817.0</v>
      </c>
      <c r="N131" s="123">
        <f t="shared" si="19"/>
        <v>196.4893896</v>
      </c>
      <c r="O131" s="121">
        <f t="shared" si="3"/>
        <v>351000</v>
      </c>
      <c r="P131" s="104">
        <v>240000.0</v>
      </c>
      <c r="Q131" s="60">
        <f t="shared" si="20"/>
        <v>52500</v>
      </c>
      <c r="R131" s="60">
        <f t="shared" si="5"/>
        <v>34575</v>
      </c>
      <c r="S131" s="60">
        <f t="shared" si="6"/>
        <v>691500</v>
      </c>
      <c r="T131" s="60">
        <f t="shared" si="17"/>
        <v>58500</v>
      </c>
      <c r="U131" s="108">
        <f t="shared" si="8"/>
        <v>23925</v>
      </c>
      <c r="V131" s="59">
        <f t="shared" si="9"/>
        <v>0.08459869848</v>
      </c>
      <c r="W131" s="60">
        <f t="shared" si="10"/>
        <v>322500</v>
      </c>
      <c r="X131" s="107"/>
      <c r="AB131" s="61">
        <f t="shared" si="12"/>
        <v>43719</v>
      </c>
      <c r="AC131" s="66">
        <v>8000.0</v>
      </c>
      <c r="AD131" s="66">
        <f t="shared" si="13"/>
        <v>7000</v>
      </c>
      <c r="AE131" s="61">
        <f t="shared" si="14"/>
        <v>7634</v>
      </c>
      <c r="AF131" s="61">
        <f t="shared" si="15"/>
        <v>7634</v>
      </c>
      <c r="AG131" s="61">
        <f t="shared" si="16"/>
        <v>11451</v>
      </c>
      <c r="AI131" s="66">
        <v>2000.0</v>
      </c>
    </row>
    <row r="132" ht="15.75" customHeight="1">
      <c r="A132" s="66" t="s">
        <v>430</v>
      </c>
      <c r="B132" s="66" t="s">
        <v>431</v>
      </c>
      <c r="C132" s="110">
        <v>42690.0</v>
      </c>
      <c r="D132" s="104"/>
      <c r="E132" s="104"/>
      <c r="F132" s="105" t="s">
        <v>56</v>
      </c>
      <c r="G132" s="105" t="s">
        <v>57</v>
      </c>
      <c r="H132" s="104">
        <v>1695.0</v>
      </c>
      <c r="I132" s="104">
        <v>325000.0</v>
      </c>
      <c r="J132" s="104">
        <v>315000.0</v>
      </c>
      <c r="K132" s="122">
        <f t="shared" si="1"/>
        <v>185.840708</v>
      </c>
      <c r="L132" s="104">
        <v>475000.0</v>
      </c>
      <c r="M132" s="107">
        <v>1695.0</v>
      </c>
      <c r="N132" s="123">
        <f t="shared" si="19"/>
        <v>280.2359882</v>
      </c>
      <c r="O132" s="121">
        <f t="shared" si="3"/>
        <v>160000</v>
      </c>
      <c r="P132" s="104">
        <v>30000.0</v>
      </c>
      <c r="Q132" s="60">
        <f t="shared" si="20"/>
        <v>33250</v>
      </c>
      <c r="R132" s="60">
        <f t="shared" si="5"/>
        <v>18912.5</v>
      </c>
      <c r="S132" s="60">
        <f t="shared" si="6"/>
        <v>378250</v>
      </c>
      <c r="T132" s="60">
        <f t="shared" si="17"/>
        <v>96750</v>
      </c>
      <c r="U132" s="108">
        <f t="shared" si="8"/>
        <v>77837.5</v>
      </c>
      <c r="V132" s="59">
        <f t="shared" si="9"/>
        <v>0.2557832122</v>
      </c>
      <c r="W132" s="60">
        <f t="shared" si="10"/>
        <v>326250</v>
      </c>
      <c r="X132" s="107"/>
      <c r="AB132" s="61">
        <f t="shared" si="12"/>
        <v>25865</v>
      </c>
      <c r="AC132" s="66">
        <v>8000.0</v>
      </c>
      <c r="AD132" s="66">
        <f t="shared" si="13"/>
        <v>4000</v>
      </c>
      <c r="AE132" s="61">
        <f t="shared" si="14"/>
        <v>3390</v>
      </c>
      <c r="AF132" s="61">
        <f t="shared" si="15"/>
        <v>3390</v>
      </c>
      <c r="AG132" s="61">
        <f t="shared" si="16"/>
        <v>5085</v>
      </c>
      <c r="AI132" s="66">
        <v>2000.0</v>
      </c>
    </row>
    <row r="133" ht="15.75" customHeight="1">
      <c r="A133" s="81" t="s">
        <v>432</v>
      </c>
      <c r="B133" s="81" t="s">
        <v>433</v>
      </c>
      <c r="C133" s="91">
        <v>42690.0</v>
      </c>
      <c r="D133" s="86"/>
      <c r="E133" s="86"/>
      <c r="F133" s="128" t="s">
        <v>93</v>
      </c>
      <c r="G133" s="128" t="s">
        <v>434</v>
      </c>
      <c r="H133" s="86">
        <v>5300.0</v>
      </c>
      <c r="I133" s="86">
        <v>1100000.0</v>
      </c>
      <c r="J133" s="86">
        <v>800000.0</v>
      </c>
      <c r="K133" s="129">
        <f t="shared" si="1"/>
        <v>150.9433962</v>
      </c>
      <c r="L133" s="86">
        <v>1370000.0</v>
      </c>
      <c r="M133" s="86">
        <v>5300.0</v>
      </c>
      <c r="N133" s="84">
        <f t="shared" si="19"/>
        <v>258.490566</v>
      </c>
      <c r="O133" s="85">
        <f t="shared" si="3"/>
        <v>570000</v>
      </c>
      <c r="P133" s="86">
        <v>200000.0</v>
      </c>
      <c r="Q133" s="87">
        <f t="shared" si="20"/>
        <v>95900</v>
      </c>
      <c r="R133" s="87">
        <f t="shared" si="5"/>
        <v>54795</v>
      </c>
      <c r="S133" s="87">
        <f t="shared" si="6"/>
        <v>1095900</v>
      </c>
      <c r="T133" s="87">
        <f t="shared" si="17"/>
        <v>274100</v>
      </c>
      <c r="U133" s="130">
        <f t="shared" si="8"/>
        <v>219305</v>
      </c>
      <c r="V133" s="88">
        <f t="shared" si="9"/>
        <v>0.2501140615</v>
      </c>
      <c r="W133" s="87">
        <f t="shared" si="10"/>
        <v>827500</v>
      </c>
      <c r="X133" s="83"/>
      <c r="Y133" s="81"/>
      <c r="Z133" s="81"/>
      <c r="AA133" s="81"/>
      <c r="AB133" s="81">
        <f t="shared" si="12"/>
        <v>56100</v>
      </c>
      <c r="AC133" s="81">
        <v>8000.0</v>
      </c>
      <c r="AD133" s="81">
        <f t="shared" si="13"/>
        <v>9000</v>
      </c>
      <c r="AE133" s="81">
        <f t="shared" si="14"/>
        <v>10600</v>
      </c>
      <c r="AF133" s="81">
        <f t="shared" si="15"/>
        <v>10600</v>
      </c>
      <c r="AG133" s="81">
        <f t="shared" si="16"/>
        <v>15900</v>
      </c>
      <c r="AH133" s="81"/>
      <c r="AI133" s="81">
        <v>2000.0</v>
      </c>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row>
    <row r="134" ht="15.75" customHeight="1">
      <c r="A134" s="66" t="s">
        <v>435</v>
      </c>
      <c r="B134" s="66" t="s">
        <v>436</v>
      </c>
      <c r="C134" s="110">
        <v>42693.0</v>
      </c>
      <c r="D134" s="104"/>
      <c r="E134" s="104"/>
      <c r="F134" s="105" t="s">
        <v>56</v>
      </c>
      <c r="G134" s="105" t="s">
        <v>81</v>
      </c>
      <c r="H134" s="104">
        <v>972.0</v>
      </c>
      <c r="I134" s="104">
        <v>134000.0</v>
      </c>
      <c r="J134" s="104">
        <v>150000.0</v>
      </c>
      <c r="K134" s="122">
        <f t="shared" si="1"/>
        <v>154.3209877</v>
      </c>
      <c r="L134" s="104">
        <v>225000.0</v>
      </c>
      <c r="M134" s="107">
        <v>972.0</v>
      </c>
      <c r="N134" s="123">
        <f t="shared" si="19"/>
        <v>231.4814815</v>
      </c>
      <c r="O134" s="121">
        <f t="shared" si="3"/>
        <v>75000</v>
      </c>
      <c r="P134" s="104">
        <v>30000.0</v>
      </c>
      <c r="Q134" s="60">
        <f t="shared" si="20"/>
        <v>15750</v>
      </c>
      <c r="R134" s="60">
        <f t="shared" si="5"/>
        <v>9787.5</v>
      </c>
      <c r="S134" s="60">
        <f t="shared" si="6"/>
        <v>195750</v>
      </c>
      <c r="T134" s="60">
        <f t="shared" si="17"/>
        <v>29250</v>
      </c>
      <c r="U134" s="108">
        <f t="shared" si="8"/>
        <v>19462.5</v>
      </c>
      <c r="V134" s="59">
        <f t="shared" si="9"/>
        <v>0.1494252874</v>
      </c>
      <c r="W134" s="60">
        <f t="shared" si="10"/>
        <v>138750</v>
      </c>
      <c r="X134" s="107"/>
      <c r="AB134" s="61">
        <f t="shared" si="12"/>
        <v>18804</v>
      </c>
      <c r="AC134" s="66">
        <v>8000.0</v>
      </c>
      <c r="AD134" s="66">
        <f t="shared" si="13"/>
        <v>2000</v>
      </c>
      <c r="AE134" s="61">
        <f t="shared" si="14"/>
        <v>1944</v>
      </c>
      <c r="AF134" s="61">
        <f t="shared" si="15"/>
        <v>1944</v>
      </c>
      <c r="AG134" s="61">
        <f t="shared" si="16"/>
        <v>2916</v>
      </c>
      <c r="AI134" s="66">
        <v>2000.0</v>
      </c>
    </row>
    <row r="135" ht="15.75" customHeight="1">
      <c r="A135" s="81" t="s">
        <v>437</v>
      </c>
      <c r="B135" s="81"/>
      <c r="C135" s="91">
        <v>42693.0</v>
      </c>
      <c r="D135" s="86"/>
      <c r="E135" s="86"/>
      <c r="F135" s="128" t="s">
        <v>56</v>
      </c>
      <c r="G135" s="128" t="s">
        <v>81</v>
      </c>
      <c r="H135" s="86">
        <v>840.0</v>
      </c>
      <c r="I135" s="86">
        <v>180000.0</v>
      </c>
      <c r="J135" s="86">
        <v>100000.0</v>
      </c>
      <c r="K135" s="129">
        <f t="shared" si="1"/>
        <v>119.047619</v>
      </c>
      <c r="L135" s="86">
        <v>200000.0</v>
      </c>
      <c r="M135" s="83">
        <v>840.0</v>
      </c>
      <c r="N135" s="84">
        <f t="shared" si="19"/>
        <v>238.0952381</v>
      </c>
      <c r="O135" s="85">
        <f t="shared" si="3"/>
        <v>100000</v>
      </c>
      <c r="P135" s="86">
        <v>30000.0</v>
      </c>
      <c r="Q135" s="87">
        <f t="shared" si="20"/>
        <v>14000</v>
      </c>
      <c r="R135" s="87">
        <f t="shared" si="5"/>
        <v>7200</v>
      </c>
      <c r="S135" s="87">
        <f t="shared" si="6"/>
        <v>144000</v>
      </c>
      <c r="T135" s="87">
        <f t="shared" si="17"/>
        <v>56000</v>
      </c>
      <c r="U135" s="130">
        <f t="shared" si="8"/>
        <v>48800</v>
      </c>
      <c r="V135" s="88">
        <f t="shared" si="9"/>
        <v>0.3888888889</v>
      </c>
      <c r="W135" s="87">
        <f t="shared" si="10"/>
        <v>120000</v>
      </c>
      <c r="X135" s="83"/>
      <c r="Y135" s="81" t="s">
        <v>438</v>
      </c>
      <c r="Z135" s="81"/>
      <c r="AA135" s="81"/>
      <c r="AB135" s="81">
        <f t="shared" si="12"/>
        <v>59880</v>
      </c>
      <c r="AC135" s="81">
        <v>8000.0</v>
      </c>
      <c r="AD135" s="81">
        <f t="shared" si="13"/>
        <v>2000</v>
      </c>
      <c r="AE135" s="81">
        <f t="shared" si="14"/>
        <v>1680</v>
      </c>
      <c r="AF135" s="81">
        <f t="shared" si="15"/>
        <v>1680</v>
      </c>
      <c r="AG135" s="81">
        <f t="shared" si="16"/>
        <v>2520</v>
      </c>
      <c r="AH135" s="81">
        <v>4000.0</v>
      </c>
      <c r="AI135" s="81">
        <v>2000.0</v>
      </c>
      <c r="AJ135" s="81">
        <v>10000.0</v>
      </c>
      <c r="AK135" s="81">
        <v>3000.0</v>
      </c>
      <c r="AL135" s="81"/>
      <c r="AM135" s="81">
        <v>5000.0</v>
      </c>
      <c r="AN135" s="81">
        <v>5000.0</v>
      </c>
      <c r="AO135" s="81">
        <v>10000.0</v>
      </c>
      <c r="AP135" s="81">
        <v>5000.0</v>
      </c>
      <c r="AQ135" s="81">
        <v>10000.0</v>
      </c>
      <c r="AR135" s="81"/>
      <c r="AS135" s="81"/>
      <c r="AT135" s="81"/>
      <c r="AU135" s="81"/>
      <c r="AV135" s="81"/>
      <c r="AW135" s="81"/>
      <c r="AX135" s="81"/>
      <c r="AY135" s="81"/>
      <c r="AZ135" s="81"/>
      <c r="BA135" s="81"/>
      <c r="BB135" s="81"/>
      <c r="BC135" s="81"/>
      <c r="BD135" s="81"/>
      <c r="BE135" s="81"/>
      <c r="BF135" s="81"/>
      <c r="BG135" s="81"/>
      <c r="BH135" s="81"/>
      <c r="BI135" s="81"/>
      <c r="BJ135" s="81"/>
      <c r="BK135" s="81"/>
      <c r="BL135" s="81"/>
    </row>
    <row r="136" ht="15.75" customHeight="1">
      <c r="A136" s="81" t="s">
        <v>439</v>
      </c>
      <c r="B136" s="81"/>
      <c r="C136" s="91">
        <v>42693.0</v>
      </c>
      <c r="D136" s="86"/>
      <c r="E136" s="86"/>
      <c r="F136" s="128" t="s">
        <v>57</v>
      </c>
      <c r="G136" s="128" t="s">
        <v>81</v>
      </c>
      <c r="H136" s="86">
        <v>672.0</v>
      </c>
      <c r="I136" s="86" t="s">
        <v>440</v>
      </c>
      <c r="J136" s="86">
        <v>100000.0</v>
      </c>
      <c r="K136" s="129">
        <f t="shared" si="1"/>
        <v>148.8095238</v>
      </c>
      <c r="L136" s="86">
        <v>200000.0</v>
      </c>
      <c r="M136" s="83">
        <v>672.0</v>
      </c>
      <c r="N136" s="84">
        <f t="shared" si="19"/>
        <v>297.6190476</v>
      </c>
      <c r="O136" s="85">
        <f t="shared" si="3"/>
        <v>100000</v>
      </c>
      <c r="P136" s="86">
        <v>30000.0</v>
      </c>
      <c r="Q136" s="87">
        <f t="shared" si="20"/>
        <v>14000</v>
      </c>
      <c r="R136" s="87">
        <f t="shared" si="5"/>
        <v>7200</v>
      </c>
      <c r="S136" s="87">
        <f t="shared" si="6"/>
        <v>144000</v>
      </c>
      <c r="T136" s="87">
        <f t="shared" si="17"/>
        <v>56000</v>
      </c>
      <c r="U136" s="130">
        <f t="shared" si="8"/>
        <v>48800</v>
      </c>
      <c r="V136" s="88">
        <f t="shared" si="9"/>
        <v>0.3888888889</v>
      </c>
      <c r="W136" s="87">
        <f t="shared" si="10"/>
        <v>120000</v>
      </c>
      <c r="X136" s="83"/>
      <c r="Y136" s="81" t="s">
        <v>438</v>
      </c>
      <c r="Z136" s="81"/>
      <c r="AA136" s="81"/>
      <c r="AB136" s="81">
        <f t="shared" si="12"/>
        <v>58704</v>
      </c>
      <c r="AC136" s="81">
        <v>8000.0</v>
      </c>
      <c r="AD136" s="81">
        <f t="shared" si="13"/>
        <v>2000</v>
      </c>
      <c r="AE136" s="81">
        <f t="shared" si="14"/>
        <v>1344</v>
      </c>
      <c r="AF136" s="81">
        <f t="shared" si="15"/>
        <v>1344</v>
      </c>
      <c r="AG136" s="81">
        <f t="shared" si="16"/>
        <v>2016</v>
      </c>
      <c r="AH136" s="81">
        <v>4000.0</v>
      </c>
      <c r="AI136" s="81">
        <v>2000.0</v>
      </c>
      <c r="AJ136" s="81">
        <v>10000.0</v>
      </c>
      <c r="AK136" s="81">
        <v>3000.0</v>
      </c>
      <c r="AL136" s="81"/>
      <c r="AM136" s="81">
        <v>5000.0</v>
      </c>
      <c r="AN136" s="81">
        <v>5000.0</v>
      </c>
      <c r="AO136" s="81">
        <v>10000.0</v>
      </c>
      <c r="AP136" s="81">
        <v>5000.0</v>
      </c>
      <c r="AQ136" s="81">
        <v>10000.0</v>
      </c>
      <c r="AR136" s="81"/>
      <c r="AS136" s="81"/>
      <c r="AT136" s="81"/>
      <c r="AU136" s="81"/>
      <c r="AV136" s="81"/>
      <c r="AW136" s="81"/>
      <c r="AX136" s="81"/>
      <c r="AY136" s="81"/>
      <c r="AZ136" s="81"/>
      <c r="BA136" s="81"/>
      <c r="BB136" s="81"/>
      <c r="BC136" s="81"/>
      <c r="BD136" s="81"/>
      <c r="BE136" s="81"/>
      <c r="BF136" s="81"/>
      <c r="BG136" s="81"/>
      <c r="BH136" s="81"/>
      <c r="BI136" s="81"/>
      <c r="BJ136" s="81"/>
      <c r="BK136" s="81"/>
      <c r="BL136" s="81"/>
    </row>
    <row r="137" ht="15.75" customHeight="1">
      <c r="A137" s="66" t="s">
        <v>441</v>
      </c>
      <c r="C137" s="110">
        <v>42696.0</v>
      </c>
      <c r="D137" s="104"/>
      <c r="E137" s="104"/>
      <c r="F137" s="105" t="s">
        <v>56</v>
      </c>
      <c r="G137" s="105" t="s">
        <v>57</v>
      </c>
      <c r="H137" s="104">
        <v>1695.0</v>
      </c>
      <c r="I137" s="104">
        <v>340000.0</v>
      </c>
      <c r="J137" s="104">
        <v>290000.0</v>
      </c>
      <c r="K137" s="122">
        <f t="shared" si="1"/>
        <v>171.0914454</v>
      </c>
      <c r="L137" s="104">
        <v>400000.0</v>
      </c>
      <c r="M137" s="107">
        <v>1695.0</v>
      </c>
      <c r="N137" s="123">
        <f t="shared" si="19"/>
        <v>235.9882006</v>
      </c>
      <c r="O137" s="121">
        <f t="shared" si="3"/>
        <v>110000</v>
      </c>
      <c r="P137" s="104">
        <v>25000.0</v>
      </c>
      <c r="Q137" s="60">
        <f t="shared" si="20"/>
        <v>28000</v>
      </c>
      <c r="R137" s="60">
        <f t="shared" si="5"/>
        <v>17150</v>
      </c>
      <c r="S137" s="60">
        <f t="shared" si="6"/>
        <v>343000</v>
      </c>
      <c r="T137" s="60">
        <f t="shared" si="17"/>
        <v>57000</v>
      </c>
      <c r="U137" s="108">
        <f t="shared" si="8"/>
        <v>39850</v>
      </c>
      <c r="V137" s="59">
        <f t="shared" si="9"/>
        <v>0.166180758</v>
      </c>
      <c r="W137" s="60">
        <f t="shared" si="10"/>
        <v>275000</v>
      </c>
      <c r="X137" s="107"/>
      <c r="AB137" s="61">
        <f t="shared" si="12"/>
        <v>25865</v>
      </c>
      <c r="AC137" s="66">
        <v>8000.0</v>
      </c>
      <c r="AD137" s="66">
        <f t="shared" si="13"/>
        <v>4000</v>
      </c>
      <c r="AE137" s="61">
        <f t="shared" si="14"/>
        <v>3390</v>
      </c>
      <c r="AF137" s="61">
        <f t="shared" si="15"/>
        <v>3390</v>
      </c>
      <c r="AG137" s="61">
        <f t="shared" si="16"/>
        <v>5085</v>
      </c>
      <c r="AI137" s="66">
        <v>2000.0</v>
      </c>
    </row>
    <row r="138" ht="15.75" customHeight="1">
      <c r="A138" s="66" t="s">
        <v>442</v>
      </c>
      <c r="C138" s="110">
        <v>42702.0</v>
      </c>
      <c r="D138" s="104"/>
      <c r="E138" s="104"/>
      <c r="F138" s="105"/>
      <c r="G138" s="105"/>
      <c r="H138" s="104"/>
      <c r="I138" s="104">
        <v>375000.0</v>
      </c>
      <c r="J138" s="104">
        <v>375000.0</v>
      </c>
      <c r="K138" s="122" t="str">
        <f t="shared" si="1"/>
        <v>#DIV/0!</v>
      </c>
      <c r="L138" s="104">
        <v>1180000.0</v>
      </c>
      <c r="M138" s="107">
        <v>5000.0</v>
      </c>
      <c r="N138" s="123">
        <f t="shared" si="19"/>
        <v>236</v>
      </c>
      <c r="O138" s="121">
        <f t="shared" si="3"/>
        <v>805000</v>
      </c>
      <c r="P138" s="104">
        <v>650000.0</v>
      </c>
      <c r="Q138" s="60">
        <f t="shared" si="20"/>
        <v>82600</v>
      </c>
      <c r="R138" s="60">
        <f t="shared" si="5"/>
        <v>55380</v>
      </c>
      <c r="S138" s="60">
        <f t="shared" si="6"/>
        <v>1107600</v>
      </c>
      <c r="T138" s="60">
        <f t="shared" si="17"/>
        <v>72400</v>
      </c>
      <c r="U138" s="108">
        <f t="shared" si="8"/>
        <v>17020</v>
      </c>
      <c r="V138" s="59">
        <f t="shared" si="9"/>
        <v>0.06536655832</v>
      </c>
      <c r="W138" s="60">
        <f t="shared" si="10"/>
        <v>235000</v>
      </c>
      <c r="X138" s="107"/>
      <c r="AB138" s="61">
        <f t="shared" si="12"/>
        <v>45000</v>
      </c>
      <c r="AC138" s="66">
        <v>8000.0</v>
      </c>
      <c r="AD138" s="66">
        <f t="shared" si="13"/>
        <v>0</v>
      </c>
      <c r="AE138" s="61">
        <f t="shared" si="14"/>
        <v>10000</v>
      </c>
      <c r="AF138" s="61">
        <f t="shared" si="15"/>
        <v>10000</v>
      </c>
      <c r="AG138" s="61">
        <f t="shared" si="16"/>
        <v>15000</v>
      </c>
      <c r="AI138" s="66">
        <v>2000.0</v>
      </c>
    </row>
    <row r="139" ht="15.75" customHeight="1">
      <c r="A139" s="66" t="s">
        <v>443</v>
      </c>
      <c r="C139" s="110">
        <v>42704.0</v>
      </c>
      <c r="D139" s="104"/>
      <c r="E139" s="104"/>
      <c r="F139" s="105"/>
      <c r="G139" s="105"/>
      <c r="H139" s="104">
        <v>1325.0</v>
      </c>
      <c r="I139" s="104">
        <v>169000.0</v>
      </c>
      <c r="J139" s="104">
        <v>150000.0</v>
      </c>
      <c r="K139" s="122">
        <f t="shared" si="1"/>
        <v>113.2075472</v>
      </c>
      <c r="L139" s="104">
        <v>200000.0</v>
      </c>
      <c r="M139" s="107">
        <v>1325.0</v>
      </c>
      <c r="N139" s="123">
        <f t="shared" si="19"/>
        <v>150.9433962</v>
      </c>
      <c r="O139" s="121">
        <f t="shared" si="3"/>
        <v>50000</v>
      </c>
      <c r="P139" s="104">
        <v>10000.0</v>
      </c>
      <c r="Q139" s="60">
        <f t="shared" si="20"/>
        <v>14000</v>
      </c>
      <c r="R139" s="60">
        <f t="shared" si="5"/>
        <v>8700</v>
      </c>
      <c r="S139" s="60">
        <f t="shared" si="6"/>
        <v>174000</v>
      </c>
      <c r="T139" s="60">
        <f t="shared" si="17"/>
        <v>26000</v>
      </c>
      <c r="U139" s="108">
        <f t="shared" si="8"/>
        <v>17300</v>
      </c>
      <c r="V139" s="59">
        <f t="shared" si="9"/>
        <v>0.1494252874</v>
      </c>
      <c r="W139" s="60">
        <f t="shared" si="10"/>
        <v>140000</v>
      </c>
      <c r="X139" s="107"/>
      <c r="AB139" s="61">
        <f t="shared" si="12"/>
        <v>19275</v>
      </c>
      <c r="AC139" s="66">
        <v>8000.0</v>
      </c>
      <c r="AD139" s="66">
        <f t="shared" si="13"/>
        <v>0</v>
      </c>
      <c r="AE139" s="61">
        <f t="shared" si="14"/>
        <v>2650</v>
      </c>
      <c r="AF139" s="61">
        <f t="shared" si="15"/>
        <v>2650</v>
      </c>
      <c r="AG139" s="61">
        <f t="shared" si="16"/>
        <v>3975</v>
      </c>
      <c r="AI139" s="66">
        <v>2000.0</v>
      </c>
    </row>
    <row r="140" ht="15.75" customHeight="1">
      <c r="A140" s="66" t="s">
        <v>444</v>
      </c>
      <c r="C140" s="110">
        <v>42704.0</v>
      </c>
      <c r="D140" s="104"/>
      <c r="E140" s="104"/>
      <c r="F140" s="105"/>
      <c r="G140" s="105"/>
      <c r="H140" s="104"/>
      <c r="I140" s="104"/>
      <c r="J140" s="104"/>
      <c r="K140" s="122" t="str">
        <f t="shared" si="1"/>
        <v>#DIV/0!</v>
      </c>
      <c r="L140" s="104"/>
      <c r="M140" s="107"/>
      <c r="N140" s="123" t="str">
        <f t="shared" si="19"/>
        <v>#DIV/0!</v>
      </c>
      <c r="O140" s="121">
        <f t="shared" si="3"/>
        <v>0</v>
      </c>
      <c r="P140" s="104"/>
      <c r="Q140" s="60">
        <f t="shared" si="20"/>
        <v>0</v>
      </c>
      <c r="R140" s="60">
        <f t="shared" si="5"/>
        <v>0</v>
      </c>
      <c r="S140" s="60">
        <f t="shared" si="6"/>
        <v>0</v>
      </c>
      <c r="T140" s="60">
        <f t="shared" si="17"/>
        <v>0</v>
      </c>
      <c r="U140" s="108">
        <f t="shared" si="8"/>
        <v>0</v>
      </c>
      <c r="V140" s="59" t="str">
        <f t="shared" si="9"/>
        <v>#DIV/0!</v>
      </c>
      <c r="W140" s="60">
        <f t="shared" si="10"/>
        <v>0</v>
      </c>
      <c r="X140" s="107"/>
      <c r="AB140" s="61">
        <f t="shared" si="12"/>
        <v>10000</v>
      </c>
      <c r="AC140" s="66">
        <v>8000.0</v>
      </c>
      <c r="AD140" s="66">
        <f t="shared" si="13"/>
        <v>0</v>
      </c>
      <c r="AE140" s="61">
        <f t="shared" si="14"/>
        <v>0</v>
      </c>
      <c r="AF140" s="61">
        <f t="shared" si="15"/>
        <v>0</v>
      </c>
      <c r="AG140" s="61">
        <f t="shared" si="16"/>
        <v>0</v>
      </c>
      <c r="AI140" s="66">
        <v>2000.0</v>
      </c>
    </row>
    <row r="141" ht="15.75" customHeight="1">
      <c r="A141" s="66" t="s">
        <v>445</v>
      </c>
      <c r="C141" s="110">
        <v>42704.0</v>
      </c>
      <c r="D141" s="127">
        <v>1.6074472E7</v>
      </c>
      <c r="E141" s="104"/>
      <c r="F141" s="105"/>
      <c r="G141" s="105"/>
      <c r="H141" s="104">
        <v>1400.0</v>
      </c>
      <c r="I141" s="104">
        <v>250000.0</v>
      </c>
      <c r="J141" s="104">
        <v>225000.0</v>
      </c>
      <c r="K141" s="122">
        <f t="shared" si="1"/>
        <v>160.7142857</v>
      </c>
      <c r="L141" s="104">
        <v>350000.0</v>
      </c>
      <c r="M141" s="107">
        <v>1400.0</v>
      </c>
      <c r="N141" s="123">
        <f t="shared" si="19"/>
        <v>250</v>
      </c>
      <c r="O141" s="121">
        <f t="shared" si="3"/>
        <v>125000</v>
      </c>
      <c r="P141" s="104">
        <v>50000.0</v>
      </c>
      <c r="Q141" s="60">
        <f t="shared" si="20"/>
        <v>24500</v>
      </c>
      <c r="R141" s="60">
        <f t="shared" si="5"/>
        <v>14975</v>
      </c>
      <c r="S141" s="60">
        <f t="shared" si="6"/>
        <v>299500</v>
      </c>
      <c r="T141" s="60">
        <f t="shared" si="17"/>
        <v>50500</v>
      </c>
      <c r="U141" s="108">
        <f t="shared" si="8"/>
        <v>35525</v>
      </c>
      <c r="V141" s="59">
        <f t="shared" si="9"/>
        <v>0.1686143573</v>
      </c>
      <c r="W141" s="60">
        <f t="shared" si="10"/>
        <v>212500</v>
      </c>
      <c r="X141" s="107"/>
      <c r="AB141" s="61">
        <f t="shared" si="12"/>
        <v>19800</v>
      </c>
      <c r="AC141" s="66">
        <v>8000.0</v>
      </c>
      <c r="AD141" s="66">
        <f t="shared" si="13"/>
        <v>0</v>
      </c>
      <c r="AE141" s="61">
        <f t="shared" si="14"/>
        <v>2800</v>
      </c>
      <c r="AF141" s="61">
        <f t="shared" si="15"/>
        <v>2800</v>
      </c>
      <c r="AG141" s="61">
        <f t="shared" si="16"/>
        <v>4200</v>
      </c>
      <c r="AI141" s="66">
        <v>2000.0</v>
      </c>
    </row>
    <row r="142" ht="15.75" customHeight="1">
      <c r="A142" s="66" t="s">
        <v>446</v>
      </c>
      <c r="C142" s="110">
        <v>42704.0</v>
      </c>
      <c r="D142" s="104"/>
      <c r="E142" s="104"/>
      <c r="F142" s="105"/>
      <c r="G142" s="105"/>
      <c r="H142" s="104">
        <v>840.0</v>
      </c>
      <c r="I142" s="104">
        <v>46000.0</v>
      </c>
      <c r="J142" s="104">
        <v>40000.0</v>
      </c>
      <c r="K142" s="122">
        <f t="shared" si="1"/>
        <v>47.61904762</v>
      </c>
      <c r="L142" s="104">
        <v>75000.0</v>
      </c>
      <c r="M142" s="107">
        <v>1400.0</v>
      </c>
      <c r="N142" s="123">
        <f t="shared" si="19"/>
        <v>53.57142857</v>
      </c>
      <c r="O142" s="121">
        <f t="shared" si="3"/>
        <v>35000</v>
      </c>
      <c r="P142" s="104">
        <v>20000.0</v>
      </c>
      <c r="Q142" s="60">
        <f t="shared" si="20"/>
        <v>5250</v>
      </c>
      <c r="R142" s="60">
        <f t="shared" si="5"/>
        <v>3262.5</v>
      </c>
      <c r="S142" s="60">
        <f t="shared" si="6"/>
        <v>65250</v>
      </c>
      <c r="T142" s="60">
        <f t="shared" si="17"/>
        <v>9750</v>
      </c>
      <c r="U142" s="108">
        <f t="shared" si="8"/>
        <v>6487.5</v>
      </c>
      <c r="V142" s="59">
        <f t="shared" si="9"/>
        <v>0.1494252874</v>
      </c>
      <c r="W142" s="60">
        <f t="shared" si="10"/>
        <v>36250</v>
      </c>
      <c r="X142" s="107"/>
      <c r="AB142" s="61">
        <f t="shared" si="12"/>
        <v>19800</v>
      </c>
      <c r="AC142" s="66">
        <v>8000.0</v>
      </c>
      <c r="AD142" s="66">
        <f t="shared" si="13"/>
        <v>0</v>
      </c>
      <c r="AE142" s="61">
        <f t="shared" si="14"/>
        <v>2800</v>
      </c>
      <c r="AF142" s="61">
        <f t="shared" si="15"/>
        <v>2800</v>
      </c>
      <c r="AG142" s="61">
        <f t="shared" si="16"/>
        <v>4200</v>
      </c>
      <c r="AI142" s="66">
        <v>2000.0</v>
      </c>
    </row>
    <row r="143" ht="15.75" customHeight="1">
      <c r="A143" s="66" t="s">
        <v>447</v>
      </c>
      <c r="B143" s="66" t="s">
        <v>416</v>
      </c>
      <c r="C143" s="110">
        <v>42705.0</v>
      </c>
      <c r="D143" s="104"/>
      <c r="E143" s="104"/>
      <c r="F143" s="105" t="s">
        <v>56</v>
      </c>
      <c r="G143" s="105" t="s">
        <v>57</v>
      </c>
      <c r="H143" s="104">
        <v>1337.0</v>
      </c>
      <c r="I143" s="104">
        <v>250000.0</v>
      </c>
      <c r="J143" s="104">
        <v>155000.0</v>
      </c>
      <c r="K143" s="122">
        <f t="shared" si="1"/>
        <v>115.9311892</v>
      </c>
      <c r="L143" s="104">
        <v>290000.0</v>
      </c>
      <c r="M143" s="107">
        <v>1337.0</v>
      </c>
      <c r="N143" s="123">
        <f t="shared" si="19"/>
        <v>216.9035153</v>
      </c>
      <c r="O143" s="121">
        <f t="shared" si="3"/>
        <v>135000</v>
      </c>
      <c r="P143" s="104">
        <v>50000.0</v>
      </c>
      <c r="Q143" s="60">
        <f t="shared" si="20"/>
        <v>20300</v>
      </c>
      <c r="R143" s="60">
        <f t="shared" si="5"/>
        <v>11265</v>
      </c>
      <c r="S143" s="60">
        <f t="shared" si="6"/>
        <v>225300</v>
      </c>
      <c r="T143" s="60">
        <f t="shared" si="17"/>
        <v>64700</v>
      </c>
      <c r="U143" s="108">
        <f t="shared" si="8"/>
        <v>53435</v>
      </c>
      <c r="V143" s="59">
        <f t="shared" si="9"/>
        <v>0.2871726587</v>
      </c>
      <c r="W143" s="60">
        <f t="shared" si="10"/>
        <v>167500</v>
      </c>
      <c r="X143" s="107"/>
      <c r="Y143" s="66" t="s">
        <v>448</v>
      </c>
      <c r="AB143" s="61">
        <f t="shared" si="12"/>
        <v>23359</v>
      </c>
      <c r="AC143" s="66">
        <v>8000.0</v>
      </c>
      <c r="AD143" s="66">
        <f t="shared" si="13"/>
        <v>4000</v>
      </c>
      <c r="AE143" s="61">
        <f t="shared" si="14"/>
        <v>2674</v>
      </c>
      <c r="AF143" s="61">
        <f t="shared" si="15"/>
        <v>2674</v>
      </c>
      <c r="AG143" s="61">
        <f t="shared" si="16"/>
        <v>4011</v>
      </c>
      <c r="AI143" s="66">
        <v>2000.0</v>
      </c>
    </row>
    <row r="144" ht="15.75" customHeight="1">
      <c r="A144" s="66" t="s">
        <v>449</v>
      </c>
      <c r="B144" s="66" t="s">
        <v>450</v>
      </c>
      <c r="C144" s="110">
        <v>42705.0</v>
      </c>
      <c r="D144" s="104"/>
      <c r="E144" s="104" t="s">
        <v>451</v>
      </c>
      <c r="F144" s="105" t="s">
        <v>56</v>
      </c>
      <c r="G144" s="105" t="s">
        <v>57</v>
      </c>
      <c r="H144" s="104">
        <v>1334.0</v>
      </c>
      <c r="I144" s="104">
        <v>145000.0</v>
      </c>
      <c r="J144" s="104">
        <v>150000.0</v>
      </c>
      <c r="K144" s="122">
        <f t="shared" si="1"/>
        <v>112.4437781</v>
      </c>
      <c r="L144" s="104"/>
      <c r="M144" s="107"/>
      <c r="N144" s="123" t="str">
        <f t="shared" si="19"/>
        <v>#DIV/0!</v>
      </c>
      <c r="O144" s="121">
        <f t="shared" si="3"/>
        <v>-150000</v>
      </c>
      <c r="P144" s="104"/>
      <c r="Q144" s="60">
        <f t="shared" si="20"/>
        <v>0</v>
      </c>
      <c r="R144" s="60">
        <f t="shared" si="5"/>
        <v>7500</v>
      </c>
      <c r="S144" s="60">
        <f t="shared" si="6"/>
        <v>150000</v>
      </c>
      <c r="T144" s="60">
        <f t="shared" si="17"/>
        <v>-150000</v>
      </c>
      <c r="U144" s="108">
        <f t="shared" si="8"/>
        <v>-157500</v>
      </c>
      <c r="V144" s="59">
        <f t="shared" si="9"/>
        <v>-1</v>
      </c>
      <c r="W144" s="60">
        <f t="shared" si="10"/>
        <v>0</v>
      </c>
      <c r="X144" s="107"/>
      <c r="Y144" s="66" t="s">
        <v>296</v>
      </c>
      <c r="AB144" s="61">
        <f t="shared" si="12"/>
        <v>14000</v>
      </c>
      <c r="AC144" s="66">
        <v>8000.0</v>
      </c>
      <c r="AD144" s="66">
        <f t="shared" si="13"/>
        <v>4000</v>
      </c>
      <c r="AE144" s="61">
        <f t="shared" si="14"/>
        <v>0</v>
      </c>
      <c r="AF144" s="61">
        <f t="shared" si="15"/>
        <v>0</v>
      </c>
      <c r="AG144" s="61">
        <f t="shared" si="16"/>
        <v>0</v>
      </c>
      <c r="AI144" s="66">
        <v>2000.0</v>
      </c>
    </row>
    <row r="145" ht="15.75" customHeight="1">
      <c r="A145" s="66" t="s">
        <v>452</v>
      </c>
      <c r="B145" s="66" t="s">
        <v>453</v>
      </c>
      <c r="C145" s="110">
        <v>42709.0</v>
      </c>
      <c r="D145" s="104"/>
      <c r="E145" s="104"/>
      <c r="F145" s="105" t="s">
        <v>81</v>
      </c>
      <c r="G145" s="105" t="s">
        <v>81</v>
      </c>
      <c r="H145" s="104">
        <v>795.0</v>
      </c>
      <c r="I145" s="104">
        <v>74000.0</v>
      </c>
      <c r="J145" s="104">
        <v>30000.0</v>
      </c>
      <c r="K145" s="122">
        <f t="shared" si="1"/>
        <v>37.73584906</v>
      </c>
      <c r="L145" s="104">
        <v>210000.0</v>
      </c>
      <c r="M145" s="107">
        <v>900.0</v>
      </c>
      <c r="N145" s="123">
        <f t="shared" si="19"/>
        <v>233.3333333</v>
      </c>
      <c r="O145" s="121">
        <f t="shared" si="3"/>
        <v>180000</v>
      </c>
      <c r="P145" s="104">
        <v>100000.0</v>
      </c>
      <c r="Q145" s="60">
        <f t="shared" si="20"/>
        <v>14700</v>
      </c>
      <c r="R145" s="60">
        <f t="shared" si="5"/>
        <v>7235</v>
      </c>
      <c r="S145" s="60">
        <f t="shared" si="6"/>
        <v>144700</v>
      </c>
      <c r="T145" s="60">
        <f t="shared" si="17"/>
        <v>65300</v>
      </c>
      <c r="U145" s="108">
        <f t="shared" si="8"/>
        <v>58065</v>
      </c>
      <c r="V145" s="59">
        <f t="shared" si="9"/>
        <v>0.4512785073</v>
      </c>
      <c r="W145" s="60">
        <f t="shared" si="10"/>
        <v>57500</v>
      </c>
      <c r="X145" s="107"/>
      <c r="Y145" s="66" t="s">
        <v>296</v>
      </c>
      <c r="AB145" s="61">
        <f t="shared" si="12"/>
        <v>18300</v>
      </c>
      <c r="AC145" s="66">
        <v>8000.0</v>
      </c>
      <c r="AD145" s="66">
        <f t="shared" si="13"/>
        <v>2000</v>
      </c>
      <c r="AE145" s="61">
        <f t="shared" si="14"/>
        <v>1800</v>
      </c>
      <c r="AF145" s="61">
        <f t="shared" si="15"/>
        <v>1800</v>
      </c>
      <c r="AG145" s="61">
        <f t="shared" si="16"/>
        <v>2700</v>
      </c>
      <c r="AI145" s="66">
        <v>2000.0</v>
      </c>
    </row>
    <row r="146" ht="15.75" customHeight="1">
      <c r="A146" s="66" t="s">
        <v>454</v>
      </c>
      <c r="B146" s="66" t="s">
        <v>455</v>
      </c>
      <c r="C146" s="110">
        <v>42709.0</v>
      </c>
      <c r="D146" s="104"/>
      <c r="E146" s="104"/>
      <c r="F146" s="105" t="s">
        <v>56</v>
      </c>
      <c r="G146" s="105" t="s">
        <v>57</v>
      </c>
      <c r="H146" s="104">
        <v>1478.0</v>
      </c>
      <c r="I146" s="104">
        <v>334000.0</v>
      </c>
      <c r="J146" s="104">
        <v>300000.0</v>
      </c>
      <c r="K146" s="122">
        <f t="shared" si="1"/>
        <v>202.9769959</v>
      </c>
      <c r="L146" s="104">
        <v>365000.0</v>
      </c>
      <c r="M146" s="104">
        <v>1478.0</v>
      </c>
      <c r="N146" s="123">
        <f t="shared" si="19"/>
        <v>246.9553451</v>
      </c>
      <c r="O146" s="121">
        <f t="shared" si="3"/>
        <v>65000</v>
      </c>
      <c r="P146" s="104">
        <v>25000.0</v>
      </c>
      <c r="Q146" s="60">
        <f t="shared" si="20"/>
        <v>25550</v>
      </c>
      <c r="R146" s="60">
        <f t="shared" si="5"/>
        <v>17527.5</v>
      </c>
      <c r="S146" s="60">
        <f t="shared" si="6"/>
        <v>350550</v>
      </c>
      <c r="T146" s="60">
        <f t="shared" si="17"/>
        <v>14450</v>
      </c>
      <c r="U146" s="108">
        <f t="shared" si="8"/>
        <v>-3077.5</v>
      </c>
      <c r="V146" s="59">
        <f t="shared" si="9"/>
        <v>0.04122093853</v>
      </c>
      <c r="W146" s="60">
        <f t="shared" si="10"/>
        <v>248750</v>
      </c>
      <c r="X146" s="107"/>
      <c r="Y146" s="66" t="s">
        <v>296</v>
      </c>
      <c r="AB146" s="61">
        <f t="shared" si="12"/>
        <v>24346</v>
      </c>
      <c r="AC146" s="66">
        <v>8000.0</v>
      </c>
      <c r="AD146" s="66">
        <f t="shared" si="13"/>
        <v>4000</v>
      </c>
      <c r="AE146" s="61">
        <f t="shared" si="14"/>
        <v>2956</v>
      </c>
      <c r="AF146" s="61">
        <f t="shared" si="15"/>
        <v>2956</v>
      </c>
      <c r="AG146" s="61">
        <f t="shared" si="16"/>
        <v>4434</v>
      </c>
      <c r="AI146" s="66">
        <v>2000.0</v>
      </c>
    </row>
    <row r="147" ht="15.75" customHeight="1">
      <c r="A147" s="66" t="s">
        <v>456</v>
      </c>
      <c r="B147" s="66" t="s">
        <v>451</v>
      </c>
      <c r="C147" s="110">
        <v>42710.0</v>
      </c>
      <c r="D147" s="104"/>
      <c r="E147" s="104"/>
      <c r="F147" s="105" t="s">
        <v>93</v>
      </c>
      <c r="G147" s="105" t="s">
        <v>56</v>
      </c>
      <c r="H147" s="104">
        <v>2915.0</v>
      </c>
      <c r="I147" s="104">
        <v>600000.0</v>
      </c>
      <c r="J147" s="104">
        <v>600000.0</v>
      </c>
      <c r="K147" s="122">
        <f t="shared" si="1"/>
        <v>205.8319039</v>
      </c>
      <c r="L147" s="104">
        <v>780000.0</v>
      </c>
      <c r="M147" s="104">
        <v>2915.0</v>
      </c>
      <c r="N147" s="123">
        <f t="shared" si="19"/>
        <v>267.5814751</v>
      </c>
      <c r="O147" s="121">
        <f t="shared" si="3"/>
        <v>180000</v>
      </c>
      <c r="P147" s="104">
        <v>50000.0</v>
      </c>
      <c r="Q147" s="60">
        <f t="shared" si="20"/>
        <v>54600</v>
      </c>
      <c r="R147" s="60">
        <f t="shared" si="5"/>
        <v>35230</v>
      </c>
      <c r="S147" s="60">
        <f t="shared" si="6"/>
        <v>704600</v>
      </c>
      <c r="T147" s="60">
        <f t="shared" si="17"/>
        <v>75400</v>
      </c>
      <c r="U147" s="108">
        <f t="shared" si="8"/>
        <v>40170</v>
      </c>
      <c r="V147" s="59">
        <f t="shared" si="9"/>
        <v>0.1070110701</v>
      </c>
      <c r="W147" s="60">
        <f t="shared" si="10"/>
        <v>535000</v>
      </c>
      <c r="X147" s="107"/>
      <c r="AB147" s="61">
        <f t="shared" si="12"/>
        <v>36405</v>
      </c>
      <c r="AC147" s="66">
        <v>8000.0</v>
      </c>
      <c r="AD147" s="66">
        <f t="shared" si="13"/>
        <v>6000</v>
      </c>
      <c r="AE147" s="61">
        <f t="shared" si="14"/>
        <v>5830</v>
      </c>
      <c r="AF147" s="61">
        <f t="shared" si="15"/>
        <v>5830</v>
      </c>
      <c r="AG147" s="61">
        <f t="shared" si="16"/>
        <v>8745</v>
      </c>
      <c r="AI147" s="66">
        <v>2000.0</v>
      </c>
    </row>
    <row r="148" ht="15.75" customHeight="1">
      <c r="A148" s="67" t="s">
        <v>457</v>
      </c>
      <c r="C148" s="110">
        <v>42713.0</v>
      </c>
      <c r="D148" s="127">
        <v>1.6076098E7</v>
      </c>
      <c r="E148" s="104"/>
      <c r="F148" s="105" t="s">
        <v>57</v>
      </c>
      <c r="G148" s="105" t="s">
        <v>56</v>
      </c>
      <c r="H148" s="104">
        <v>2347.0</v>
      </c>
      <c r="I148" s="104">
        <v>299000.0</v>
      </c>
      <c r="J148" s="104">
        <v>260000.0</v>
      </c>
      <c r="K148" s="122">
        <f t="shared" si="1"/>
        <v>110.7797188</v>
      </c>
      <c r="L148" s="104">
        <v>425000.0</v>
      </c>
      <c r="M148" s="107">
        <v>2347.0</v>
      </c>
      <c r="N148" s="123">
        <f t="shared" si="19"/>
        <v>181.0822326</v>
      </c>
      <c r="O148" s="121">
        <f t="shared" si="3"/>
        <v>165000</v>
      </c>
      <c r="P148" s="104">
        <v>75000.0</v>
      </c>
      <c r="Q148" s="60">
        <f t="shared" si="20"/>
        <v>29750</v>
      </c>
      <c r="R148" s="60">
        <f t="shared" si="5"/>
        <v>18237.5</v>
      </c>
      <c r="S148" s="60">
        <f t="shared" si="6"/>
        <v>364750</v>
      </c>
      <c r="T148" s="60">
        <f t="shared" si="17"/>
        <v>60250</v>
      </c>
      <c r="U148" s="108">
        <f t="shared" si="8"/>
        <v>42012.5</v>
      </c>
      <c r="V148" s="59">
        <f t="shared" si="9"/>
        <v>0.1651816313</v>
      </c>
      <c r="W148" s="60">
        <f t="shared" si="10"/>
        <v>243750</v>
      </c>
      <c r="X148" s="107"/>
      <c r="AB148" s="61">
        <f t="shared" si="12"/>
        <v>32429</v>
      </c>
      <c r="AC148" s="66">
        <v>8000.0</v>
      </c>
      <c r="AD148" s="66">
        <f t="shared" si="13"/>
        <v>6000</v>
      </c>
      <c r="AE148" s="61">
        <f t="shared" si="14"/>
        <v>4694</v>
      </c>
      <c r="AF148" s="61">
        <f t="shared" si="15"/>
        <v>4694</v>
      </c>
      <c r="AG148" s="61">
        <f t="shared" si="16"/>
        <v>7041</v>
      </c>
      <c r="AI148" s="66">
        <v>2000.0</v>
      </c>
    </row>
    <row r="149" ht="15.75" customHeight="1">
      <c r="A149" s="66" t="s">
        <v>458</v>
      </c>
      <c r="C149" s="110">
        <v>42714.0</v>
      </c>
      <c r="D149" s="104"/>
      <c r="E149" s="104"/>
      <c r="F149" s="105" t="s">
        <v>92</v>
      </c>
      <c r="G149" s="105" t="s">
        <v>256</v>
      </c>
      <c r="H149" s="104">
        <v>4022.0</v>
      </c>
      <c r="I149" s="104">
        <v>668000.0</v>
      </c>
      <c r="J149" s="104">
        <v>550000.0</v>
      </c>
      <c r="K149" s="122">
        <f t="shared" si="1"/>
        <v>136.7478866</v>
      </c>
      <c r="L149" s="104">
        <v>750000.0</v>
      </c>
      <c r="M149" s="107">
        <v>4022.0</v>
      </c>
      <c r="N149" s="123">
        <f t="shared" si="19"/>
        <v>186.4743909</v>
      </c>
      <c r="O149" s="121">
        <f t="shared" si="3"/>
        <v>200000</v>
      </c>
      <c r="P149" s="104">
        <v>50000.0</v>
      </c>
      <c r="Q149" s="60">
        <f t="shared" si="20"/>
        <v>52500</v>
      </c>
      <c r="R149" s="60">
        <f t="shared" si="5"/>
        <v>32625</v>
      </c>
      <c r="S149" s="60">
        <f t="shared" si="6"/>
        <v>652500</v>
      </c>
      <c r="T149" s="60">
        <f t="shared" si="17"/>
        <v>97500</v>
      </c>
      <c r="U149" s="108">
        <f t="shared" si="8"/>
        <v>64875</v>
      </c>
      <c r="V149" s="59">
        <f t="shared" si="9"/>
        <v>0.1494252874</v>
      </c>
      <c r="W149" s="60">
        <f t="shared" si="10"/>
        <v>512500</v>
      </c>
      <c r="X149" s="107"/>
      <c r="AB149" s="61">
        <f t="shared" si="12"/>
        <v>45154</v>
      </c>
      <c r="AC149" s="66">
        <v>8000.0</v>
      </c>
      <c r="AD149" s="66">
        <f t="shared" si="13"/>
        <v>7000</v>
      </c>
      <c r="AE149" s="61">
        <f t="shared" si="14"/>
        <v>8044</v>
      </c>
      <c r="AF149" s="61">
        <f t="shared" si="15"/>
        <v>8044</v>
      </c>
      <c r="AG149" s="61">
        <f t="shared" si="16"/>
        <v>12066</v>
      </c>
      <c r="AI149" s="66">
        <v>2000.0</v>
      </c>
    </row>
    <row r="150" ht="15.75" customHeight="1">
      <c r="A150" s="67" t="s">
        <v>459</v>
      </c>
      <c r="C150" s="110">
        <v>42716.0</v>
      </c>
      <c r="D150" s="104"/>
      <c r="E150" s="104"/>
      <c r="F150" s="105" t="s">
        <v>56</v>
      </c>
      <c r="G150" s="105" t="s">
        <v>57</v>
      </c>
      <c r="H150" s="104">
        <v>1251.0</v>
      </c>
      <c r="I150" s="104">
        <v>207000.0</v>
      </c>
      <c r="J150" s="104">
        <v>170000.0</v>
      </c>
      <c r="K150" s="122">
        <f t="shared" si="1"/>
        <v>135.891287</v>
      </c>
      <c r="L150" s="104">
        <v>259000.0</v>
      </c>
      <c r="M150" s="107">
        <f t="shared" ref="M150:M155" si="21">H150</f>
        <v>1251</v>
      </c>
      <c r="N150" s="123">
        <f t="shared" si="19"/>
        <v>207.0343725</v>
      </c>
      <c r="O150" s="121">
        <f t="shared" si="3"/>
        <v>89000</v>
      </c>
      <c r="P150" s="104">
        <v>25000.0</v>
      </c>
      <c r="Q150" s="60">
        <f t="shared" si="20"/>
        <v>18130</v>
      </c>
      <c r="R150" s="60">
        <f t="shared" si="5"/>
        <v>10656.5</v>
      </c>
      <c r="S150" s="60">
        <f t="shared" si="6"/>
        <v>213130</v>
      </c>
      <c r="T150" s="60">
        <f t="shared" si="17"/>
        <v>45870</v>
      </c>
      <c r="U150" s="108">
        <f t="shared" si="8"/>
        <v>35213.5</v>
      </c>
      <c r="V150" s="59">
        <f t="shared" si="9"/>
        <v>0.2152207573</v>
      </c>
      <c r="W150" s="60">
        <f t="shared" si="10"/>
        <v>169250</v>
      </c>
      <c r="X150" s="107"/>
      <c r="AB150" s="61">
        <f t="shared" si="12"/>
        <v>22757</v>
      </c>
      <c r="AC150" s="66">
        <v>8000.0</v>
      </c>
      <c r="AD150" s="66">
        <f t="shared" si="13"/>
        <v>4000</v>
      </c>
      <c r="AE150" s="61">
        <f t="shared" si="14"/>
        <v>2502</v>
      </c>
      <c r="AF150" s="61">
        <f t="shared" si="15"/>
        <v>2502</v>
      </c>
      <c r="AG150" s="61">
        <f t="shared" si="16"/>
        <v>3753</v>
      </c>
      <c r="AI150" s="66">
        <v>2000.0</v>
      </c>
    </row>
    <row r="151" ht="15.75" customHeight="1">
      <c r="A151" s="67" t="s">
        <v>460</v>
      </c>
      <c r="C151" s="110">
        <v>42716.0</v>
      </c>
      <c r="D151" s="104"/>
      <c r="E151" s="104"/>
      <c r="F151" s="105" t="s">
        <v>56</v>
      </c>
      <c r="G151" s="105" t="s">
        <v>57</v>
      </c>
      <c r="H151" s="104">
        <v>1122.0</v>
      </c>
      <c r="I151" s="104">
        <v>179000.0</v>
      </c>
      <c r="J151" s="104">
        <v>160000.0</v>
      </c>
      <c r="K151" s="122">
        <f t="shared" si="1"/>
        <v>142.6024955</v>
      </c>
      <c r="L151" s="104">
        <v>240000.0</v>
      </c>
      <c r="M151" s="107">
        <f t="shared" si="21"/>
        <v>1122</v>
      </c>
      <c r="N151" s="123">
        <f t="shared" si="19"/>
        <v>213.9037433</v>
      </c>
      <c r="O151" s="121">
        <f t="shared" si="3"/>
        <v>80000</v>
      </c>
      <c r="P151" s="104">
        <v>15000.0</v>
      </c>
      <c r="Q151" s="60">
        <f t="shared" si="20"/>
        <v>16800</v>
      </c>
      <c r="R151" s="60">
        <f t="shared" si="5"/>
        <v>9590</v>
      </c>
      <c r="S151" s="60">
        <f t="shared" si="6"/>
        <v>191800</v>
      </c>
      <c r="T151" s="60">
        <f t="shared" si="17"/>
        <v>48200</v>
      </c>
      <c r="U151" s="108">
        <f t="shared" si="8"/>
        <v>38610</v>
      </c>
      <c r="V151" s="59">
        <f t="shared" si="9"/>
        <v>0.2513034411</v>
      </c>
      <c r="W151" s="60">
        <f t="shared" si="10"/>
        <v>165000</v>
      </c>
      <c r="X151" s="107"/>
      <c r="AB151" s="61">
        <f t="shared" si="12"/>
        <v>21854</v>
      </c>
      <c r="AC151" s="66">
        <v>8000.0</v>
      </c>
      <c r="AD151" s="66">
        <f t="shared" si="13"/>
        <v>4000</v>
      </c>
      <c r="AE151" s="61">
        <f t="shared" si="14"/>
        <v>2244</v>
      </c>
      <c r="AF151" s="61">
        <f t="shared" si="15"/>
        <v>2244</v>
      </c>
      <c r="AG151" s="61">
        <f t="shared" si="16"/>
        <v>3366</v>
      </c>
      <c r="AI151" s="66">
        <v>2000.0</v>
      </c>
    </row>
    <row r="152" ht="15.75" customHeight="1">
      <c r="A152" s="66" t="s">
        <v>461</v>
      </c>
      <c r="C152" s="110">
        <v>42716.0</v>
      </c>
      <c r="D152" s="104"/>
      <c r="E152" s="104"/>
      <c r="F152" s="105" t="s">
        <v>57</v>
      </c>
      <c r="G152" s="105" t="s">
        <v>81</v>
      </c>
      <c r="H152" s="104">
        <v>1547.0</v>
      </c>
      <c r="I152" s="104">
        <v>225000.0</v>
      </c>
      <c r="J152" s="104">
        <v>180000.0</v>
      </c>
      <c r="K152" s="122">
        <f t="shared" si="1"/>
        <v>116.354234</v>
      </c>
      <c r="L152" s="104">
        <v>280000.0</v>
      </c>
      <c r="M152" s="107">
        <f t="shared" si="21"/>
        <v>1547</v>
      </c>
      <c r="N152" s="123">
        <f t="shared" si="19"/>
        <v>180.9954751</v>
      </c>
      <c r="O152" s="121">
        <f t="shared" si="3"/>
        <v>100000</v>
      </c>
      <c r="P152" s="104">
        <v>40000.0</v>
      </c>
      <c r="Q152" s="60">
        <f t="shared" si="20"/>
        <v>19600</v>
      </c>
      <c r="R152" s="60">
        <f t="shared" si="5"/>
        <v>11980</v>
      </c>
      <c r="S152" s="60">
        <f t="shared" si="6"/>
        <v>239600</v>
      </c>
      <c r="T152" s="60">
        <f t="shared" si="17"/>
        <v>40400</v>
      </c>
      <c r="U152" s="108">
        <f t="shared" si="8"/>
        <v>28420</v>
      </c>
      <c r="V152" s="59">
        <f t="shared" si="9"/>
        <v>0.1686143573</v>
      </c>
      <c r="W152" s="60">
        <f t="shared" si="10"/>
        <v>170000</v>
      </c>
      <c r="X152" s="107"/>
      <c r="AB152" s="61">
        <f t="shared" si="12"/>
        <v>22829</v>
      </c>
      <c r="AC152" s="66">
        <v>8000.0</v>
      </c>
      <c r="AD152" s="66">
        <f t="shared" si="13"/>
        <v>2000</v>
      </c>
      <c r="AE152" s="61">
        <f t="shared" si="14"/>
        <v>3094</v>
      </c>
      <c r="AF152" s="61">
        <f t="shared" si="15"/>
        <v>3094</v>
      </c>
      <c r="AG152" s="61">
        <f t="shared" si="16"/>
        <v>4641</v>
      </c>
      <c r="AI152" s="66">
        <v>2000.0</v>
      </c>
    </row>
    <row r="153" ht="15.75" customHeight="1">
      <c r="A153" s="66" t="s">
        <v>462</v>
      </c>
      <c r="C153" s="110">
        <v>42719.0</v>
      </c>
      <c r="D153" s="104"/>
      <c r="E153" s="104"/>
      <c r="F153" s="105" t="s">
        <v>93</v>
      </c>
      <c r="G153" s="105" t="s">
        <v>56</v>
      </c>
      <c r="H153" s="104">
        <v>2658.0</v>
      </c>
      <c r="I153" s="104">
        <v>410000.0</v>
      </c>
      <c r="J153" s="104">
        <v>410000.0</v>
      </c>
      <c r="K153" s="122">
        <f t="shared" si="1"/>
        <v>154.2513168</v>
      </c>
      <c r="L153" s="104">
        <v>460000.0</v>
      </c>
      <c r="M153" s="107">
        <f t="shared" si="21"/>
        <v>2658</v>
      </c>
      <c r="N153" s="123">
        <f t="shared" si="19"/>
        <v>173.062453</v>
      </c>
      <c r="O153" s="121">
        <f t="shared" si="3"/>
        <v>50000</v>
      </c>
      <c r="P153" s="104">
        <v>10000.0</v>
      </c>
      <c r="Q153" s="60">
        <f t="shared" si="20"/>
        <v>32200</v>
      </c>
      <c r="R153" s="60">
        <f t="shared" si="5"/>
        <v>22610</v>
      </c>
      <c r="S153" s="60">
        <f t="shared" si="6"/>
        <v>452200</v>
      </c>
      <c r="T153" s="60">
        <f t="shared" si="17"/>
        <v>7800</v>
      </c>
      <c r="U153" s="108">
        <f t="shared" si="8"/>
        <v>-14810</v>
      </c>
      <c r="V153" s="59">
        <f t="shared" si="9"/>
        <v>0.01724900487</v>
      </c>
      <c r="W153" s="60">
        <f t="shared" si="10"/>
        <v>335000</v>
      </c>
      <c r="X153" s="107"/>
      <c r="AB153" s="61">
        <f t="shared" si="12"/>
        <v>34606</v>
      </c>
      <c r="AC153" s="66">
        <v>8000.0</v>
      </c>
      <c r="AD153" s="66">
        <f t="shared" si="13"/>
        <v>6000</v>
      </c>
      <c r="AE153" s="61">
        <f t="shared" si="14"/>
        <v>5316</v>
      </c>
      <c r="AF153" s="61">
        <f t="shared" si="15"/>
        <v>5316</v>
      </c>
      <c r="AG153" s="61">
        <f t="shared" si="16"/>
        <v>7974</v>
      </c>
      <c r="AI153" s="66">
        <v>2000.0</v>
      </c>
    </row>
    <row r="154" ht="15.75" customHeight="1">
      <c r="A154" s="66" t="s">
        <v>463</v>
      </c>
      <c r="C154" s="110">
        <v>42719.0</v>
      </c>
      <c r="D154" s="104"/>
      <c r="E154" s="104"/>
      <c r="F154" s="105" t="s">
        <v>93</v>
      </c>
      <c r="G154" s="105" t="s">
        <v>57</v>
      </c>
      <c r="H154" s="104">
        <v>1814.0</v>
      </c>
      <c r="I154" s="104">
        <v>320000.0</v>
      </c>
      <c r="J154" s="104">
        <v>270000.0</v>
      </c>
      <c r="K154" s="122">
        <f t="shared" si="1"/>
        <v>148.8423374</v>
      </c>
      <c r="L154" s="104">
        <v>335000.0</v>
      </c>
      <c r="M154" s="107">
        <f t="shared" si="21"/>
        <v>1814</v>
      </c>
      <c r="N154" s="123">
        <f t="shared" si="19"/>
        <v>184.6747519</v>
      </c>
      <c r="O154" s="121">
        <f t="shared" si="3"/>
        <v>65000</v>
      </c>
      <c r="P154" s="104">
        <v>10000.0</v>
      </c>
      <c r="Q154" s="60">
        <f t="shared" si="20"/>
        <v>23450</v>
      </c>
      <c r="R154" s="60">
        <f t="shared" si="5"/>
        <v>15172.5</v>
      </c>
      <c r="S154" s="60">
        <f t="shared" si="6"/>
        <v>303450</v>
      </c>
      <c r="T154" s="60">
        <f t="shared" si="17"/>
        <v>31550</v>
      </c>
      <c r="U154" s="108">
        <f t="shared" si="8"/>
        <v>16377.5</v>
      </c>
      <c r="V154" s="59">
        <f t="shared" si="9"/>
        <v>0.1039710002</v>
      </c>
      <c r="W154" s="60">
        <f t="shared" si="10"/>
        <v>241250</v>
      </c>
      <c r="X154" s="107"/>
      <c r="AB154" s="61">
        <f t="shared" si="12"/>
        <v>26698</v>
      </c>
      <c r="AC154" s="66">
        <v>8000.0</v>
      </c>
      <c r="AD154" s="66">
        <f t="shared" si="13"/>
        <v>4000</v>
      </c>
      <c r="AE154" s="61">
        <f t="shared" si="14"/>
        <v>3628</v>
      </c>
      <c r="AF154" s="61">
        <f t="shared" si="15"/>
        <v>3628</v>
      </c>
      <c r="AG154" s="61">
        <f t="shared" si="16"/>
        <v>5442</v>
      </c>
      <c r="AI154" s="66">
        <v>2000.0</v>
      </c>
    </row>
    <row r="155" ht="15.75" customHeight="1">
      <c r="A155" s="66" t="s">
        <v>464</v>
      </c>
      <c r="C155" s="110">
        <v>42725.0</v>
      </c>
      <c r="D155" s="104"/>
      <c r="E155" s="104"/>
      <c r="F155" s="105"/>
      <c r="G155" s="105"/>
      <c r="H155" s="104"/>
      <c r="I155" s="104">
        <v>195000.0</v>
      </c>
      <c r="J155" s="104">
        <v>170000.0</v>
      </c>
      <c r="K155" s="122" t="str">
        <f t="shared" si="1"/>
        <v>#DIV/0!</v>
      </c>
      <c r="L155" s="104">
        <v>235000.0</v>
      </c>
      <c r="M155" s="107" t="str">
        <f t="shared" si="21"/>
        <v/>
      </c>
      <c r="N155" s="123" t="str">
        <f t="shared" si="19"/>
        <v>#DIV/0!</v>
      </c>
      <c r="O155" s="121">
        <f t="shared" si="3"/>
        <v>65000</v>
      </c>
      <c r="P155" s="104">
        <v>10000.0</v>
      </c>
      <c r="Q155" s="60">
        <f t="shared" si="20"/>
        <v>16450</v>
      </c>
      <c r="R155" s="60">
        <f t="shared" si="5"/>
        <v>9822.5</v>
      </c>
      <c r="S155" s="60">
        <f t="shared" si="6"/>
        <v>196450</v>
      </c>
      <c r="T155" s="60">
        <f t="shared" si="17"/>
        <v>38550</v>
      </c>
      <c r="U155" s="108">
        <f t="shared" si="8"/>
        <v>28727.5</v>
      </c>
      <c r="V155" s="59">
        <f t="shared" si="9"/>
        <v>0.1962331382</v>
      </c>
      <c r="W155" s="60">
        <f t="shared" si="10"/>
        <v>166250</v>
      </c>
      <c r="X155" s="107"/>
      <c r="AB155" s="61">
        <f t="shared" si="12"/>
        <v>10000</v>
      </c>
      <c r="AC155" s="66">
        <v>8000.0</v>
      </c>
      <c r="AD155" s="66">
        <f t="shared" si="13"/>
        <v>0</v>
      </c>
      <c r="AE155" s="61">
        <f t="shared" si="14"/>
        <v>0</v>
      </c>
      <c r="AF155" s="61">
        <f t="shared" si="15"/>
        <v>0</v>
      </c>
      <c r="AG155" s="61">
        <f t="shared" si="16"/>
        <v>0</v>
      </c>
      <c r="AI155" s="66">
        <v>2000.0</v>
      </c>
    </row>
    <row r="156" ht="15.75" customHeight="1">
      <c r="A156" s="67" t="s">
        <v>465</v>
      </c>
      <c r="C156" s="110">
        <v>42726.0</v>
      </c>
      <c r="D156" s="104"/>
      <c r="E156" s="104"/>
      <c r="F156" s="105"/>
      <c r="G156" s="105"/>
      <c r="H156" s="104">
        <v>1269.0</v>
      </c>
      <c r="I156" s="104">
        <v>210000.0</v>
      </c>
      <c r="J156" s="104">
        <v>150000.0</v>
      </c>
      <c r="K156" s="122">
        <f t="shared" si="1"/>
        <v>118.2033097</v>
      </c>
      <c r="L156" s="104">
        <v>265000.0</v>
      </c>
      <c r="M156" s="107">
        <v>1269.0</v>
      </c>
      <c r="N156" s="123">
        <f t="shared" si="19"/>
        <v>208.8258471</v>
      </c>
      <c r="O156" s="121">
        <f t="shared" si="3"/>
        <v>115000</v>
      </c>
      <c r="P156" s="104">
        <v>35000.0</v>
      </c>
      <c r="Q156" s="60">
        <f t="shared" si="20"/>
        <v>18550</v>
      </c>
      <c r="R156" s="60">
        <f t="shared" si="5"/>
        <v>10177.5</v>
      </c>
      <c r="S156" s="60">
        <f t="shared" si="6"/>
        <v>203550</v>
      </c>
      <c r="T156" s="60">
        <f t="shared" si="17"/>
        <v>61450</v>
      </c>
      <c r="U156" s="108">
        <f t="shared" si="8"/>
        <v>51272.5</v>
      </c>
      <c r="V156" s="59">
        <f t="shared" si="9"/>
        <v>0.3018914272</v>
      </c>
      <c r="W156" s="60">
        <f t="shared" si="10"/>
        <v>163750</v>
      </c>
      <c r="X156" s="107"/>
      <c r="AB156" s="61">
        <f t="shared" si="12"/>
        <v>18883</v>
      </c>
      <c r="AC156" s="66">
        <v>8000.0</v>
      </c>
      <c r="AD156" s="66">
        <f t="shared" si="13"/>
        <v>0</v>
      </c>
      <c r="AE156" s="61">
        <f t="shared" si="14"/>
        <v>2538</v>
      </c>
      <c r="AF156" s="61">
        <f t="shared" si="15"/>
        <v>2538</v>
      </c>
      <c r="AG156" s="61">
        <f t="shared" si="16"/>
        <v>3807</v>
      </c>
      <c r="AI156" s="66">
        <v>2000.0</v>
      </c>
    </row>
    <row r="157" ht="15.75" customHeight="1">
      <c r="A157" s="66" t="s">
        <v>466</v>
      </c>
      <c r="B157" s="66" t="s">
        <v>467</v>
      </c>
      <c r="C157" s="110">
        <v>42727.0</v>
      </c>
      <c r="D157" s="104"/>
      <c r="E157" s="104"/>
      <c r="F157" s="105" t="s">
        <v>56</v>
      </c>
      <c r="G157" s="105" t="s">
        <v>57</v>
      </c>
      <c r="H157" s="104">
        <v>1250.0</v>
      </c>
      <c r="I157" s="104">
        <v>141000.0</v>
      </c>
      <c r="J157" s="104">
        <v>141000.0</v>
      </c>
      <c r="K157" s="122">
        <f t="shared" si="1"/>
        <v>112.8</v>
      </c>
      <c r="L157" s="104">
        <v>285000.0</v>
      </c>
      <c r="M157" s="107">
        <v>1250.0</v>
      </c>
      <c r="N157" s="123">
        <f t="shared" si="19"/>
        <v>228</v>
      </c>
      <c r="O157" s="121">
        <f t="shared" si="3"/>
        <v>144000</v>
      </c>
      <c r="P157" s="104">
        <v>40000.0</v>
      </c>
      <c r="Q157" s="60">
        <f t="shared" si="20"/>
        <v>19950</v>
      </c>
      <c r="R157" s="60">
        <f t="shared" si="5"/>
        <v>10047.5</v>
      </c>
      <c r="S157" s="60">
        <f t="shared" si="6"/>
        <v>200950</v>
      </c>
      <c r="T157" s="60">
        <f t="shared" si="17"/>
        <v>84050</v>
      </c>
      <c r="U157" s="108">
        <f t="shared" si="8"/>
        <v>74002.5</v>
      </c>
      <c r="V157" s="59">
        <f t="shared" si="9"/>
        <v>0.4182632496</v>
      </c>
      <c r="W157" s="60">
        <f t="shared" si="10"/>
        <v>173750</v>
      </c>
      <c r="X157" s="107"/>
      <c r="AB157" s="61">
        <f t="shared" si="12"/>
        <v>22750</v>
      </c>
      <c r="AC157" s="66">
        <v>8000.0</v>
      </c>
      <c r="AD157" s="66">
        <f t="shared" si="13"/>
        <v>4000</v>
      </c>
      <c r="AE157" s="61">
        <f t="shared" si="14"/>
        <v>2500</v>
      </c>
      <c r="AF157" s="61">
        <f t="shared" si="15"/>
        <v>2500</v>
      </c>
      <c r="AG157" s="61">
        <f t="shared" si="16"/>
        <v>3750</v>
      </c>
      <c r="AI157" s="66">
        <v>2000.0</v>
      </c>
    </row>
    <row r="158" ht="15.75" customHeight="1">
      <c r="D158" s="104"/>
      <c r="E158" s="104"/>
      <c r="F158" s="105"/>
      <c r="G158" s="105"/>
      <c r="H158" s="104"/>
      <c r="I158" s="104"/>
      <c r="J158" s="104"/>
      <c r="K158" s="106"/>
      <c r="L158" s="104"/>
      <c r="M158" s="107"/>
      <c r="N158" s="84" t="str">
        <f t="shared" si="19"/>
        <v>#DIV/0!</v>
      </c>
      <c r="O158" s="85">
        <f t="shared" si="3"/>
        <v>0</v>
      </c>
      <c r="P158" s="104"/>
      <c r="Q158" s="60">
        <f t="shared" ref="Q158:Q179" si="22">MULTIPLY(0.04,L158)</f>
        <v>0</v>
      </c>
      <c r="R158" s="87">
        <f t="shared" si="5"/>
        <v>0</v>
      </c>
      <c r="S158" s="60">
        <f t="shared" si="6"/>
        <v>0</v>
      </c>
      <c r="T158" s="60">
        <f t="shared" si="17"/>
        <v>0</v>
      </c>
      <c r="U158" s="108">
        <f t="shared" si="8"/>
        <v>0</v>
      </c>
      <c r="V158" s="59" t="str">
        <f t="shared" si="9"/>
        <v>#DIV/0!</v>
      </c>
      <c r="W158" s="60">
        <f t="shared" si="10"/>
        <v>0</v>
      </c>
      <c r="X158" s="107"/>
    </row>
    <row r="159" ht="15.75" customHeight="1">
      <c r="D159" s="104"/>
      <c r="E159" s="104"/>
      <c r="F159" s="105"/>
      <c r="G159" s="105"/>
      <c r="H159" s="104"/>
      <c r="I159" s="104"/>
      <c r="J159" s="104"/>
      <c r="K159" s="106"/>
      <c r="L159" s="104"/>
      <c r="M159" s="107"/>
      <c r="N159" s="84" t="str">
        <f t="shared" si="19"/>
        <v>#DIV/0!</v>
      </c>
      <c r="O159" s="85">
        <f t="shared" si="3"/>
        <v>0</v>
      </c>
      <c r="P159" s="104"/>
      <c r="Q159" s="60">
        <f t="shared" si="22"/>
        <v>0</v>
      </c>
      <c r="R159" s="87">
        <f t="shared" si="5"/>
        <v>0</v>
      </c>
      <c r="S159" s="60">
        <f t="shared" si="6"/>
        <v>0</v>
      </c>
      <c r="T159" s="60">
        <f t="shared" si="17"/>
        <v>0</v>
      </c>
      <c r="U159" s="108">
        <f t="shared" si="8"/>
        <v>0</v>
      </c>
      <c r="V159" s="59" t="str">
        <f t="shared" si="9"/>
        <v>#DIV/0!</v>
      </c>
      <c r="W159" s="60">
        <f t="shared" si="10"/>
        <v>0</v>
      </c>
      <c r="X159" s="107"/>
    </row>
    <row r="160" ht="15.75" customHeight="1">
      <c r="D160" s="104"/>
      <c r="E160" s="104"/>
      <c r="F160" s="105"/>
      <c r="G160" s="105"/>
      <c r="H160" s="104"/>
      <c r="I160" s="104"/>
      <c r="J160" s="104"/>
      <c r="K160" s="106"/>
      <c r="L160" s="104"/>
      <c r="M160" s="107"/>
      <c r="N160" s="84" t="str">
        <f t="shared" si="19"/>
        <v>#DIV/0!</v>
      </c>
      <c r="O160" s="85">
        <f t="shared" si="3"/>
        <v>0</v>
      </c>
      <c r="P160" s="104"/>
      <c r="Q160" s="60">
        <f t="shared" si="22"/>
        <v>0</v>
      </c>
      <c r="R160" s="87">
        <f t="shared" si="5"/>
        <v>0</v>
      </c>
      <c r="S160" s="60">
        <f t="shared" si="6"/>
        <v>0</v>
      </c>
      <c r="T160" s="60">
        <f t="shared" si="17"/>
        <v>0</v>
      </c>
      <c r="U160" s="108">
        <f t="shared" si="8"/>
        <v>0</v>
      </c>
      <c r="V160" s="59" t="str">
        <f t="shared" si="9"/>
        <v>#DIV/0!</v>
      </c>
      <c r="W160" s="60">
        <f t="shared" si="10"/>
        <v>0</v>
      </c>
      <c r="X160" s="107"/>
    </row>
    <row r="161" ht="15.75" customHeight="1">
      <c r="D161" s="104"/>
      <c r="E161" s="104"/>
      <c r="F161" s="105"/>
      <c r="G161" s="105"/>
      <c r="H161" s="104"/>
      <c r="I161" s="104"/>
      <c r="J161" s="104"/>
      <c r="K161" s="106"/>
      <c r="L161" s="104"/>
      <c r="M161" s="107"/>
      <c r="N161" s="84" t="str">
        <f t="shared" si="19"/>
        <v>#DIV/0!</v>
      </c>
      <c r="O161" s="85">
        <f t="shared" si="3"/>
        <v>0</v>
      </c>
      <c r="P161" s="104"/>
      <c r="Q161" s="60">
        <f t="shared" si="22"/>
        <v>0</v>
      </c>
      <c r="R161" s="87">
        <f t="shared" si="5"/>
        <v>0</v>
      </c>
      <c r="S161" s="60">
        <f t="shared" si="6"/>
        <v>0</v>
      </c>
      <c r="T161" s="60">
        <f t="shared" si="17"/>
        <v>0</v>
      </c>
      <c r="U161" s="108">
        <f t="shared" si="8"/>
        <v>0</v>
      </c>
      <c r="V161" s="59" t="str">
        <f t="shared" si="9"/>
        <v>#DIV/0!</v>
      </c>
      <c r="W161" s="60">
        <f t="shared" si="10"/>
        <v>0</v>
      </c>
      <c r="X161" s="107"/>
    </row>
    <row r="162" ht="15.75" customHeight="1">
      <c r="D162" s="104"/>
      <c r="E162" s="104"/>
      <c r="F162" s="105"/>
      <c r="G162" s="105"/>
      <c r="H162" s="104"/>
      <c r="I162" s="104"/>
      <c r="J162" s="104"/>
      <c r="K162" s="106"/>
      <c r="L162" s="104"/>
      <c r="M162" s="107"/>
      <c r="N162" s="84" t="str">
        <f t="shared" si="19"/>
        <v>#DIV/0!</v>
      </c>
      <c r="O162" s="85">
        <f t="shared" si="3"/>
        <v>0</v>
      </c>
      <c r="P162" s="104"/>
      <c r="Q162" s="60">
        <f t="shared" si="22"/>
        <v>0</v>
      </c>
      <c r="R162" s="87">
        <f t="shared" si="5"/>
        <v>0</v>
      </c>
      <c r="S162" s="60">
        <f t="shared" si="6"/>
        <v>0</v>
      </c>
      <c r="T162" s="60">
        <f t="shared" si="17"/>
        <v>0</v>
      </c>
      <c r="U162" s="108">
        <f t="shared" si="8"/>
        <v>0</v>
      </c>
      <c r="V162" s="59" t="str">
        <f t="shared" si="9"/>
        <v>#DIV/0!</v>
      </c>
      <c r="W162" s="60">
        <f t="shared" si="10"/>
        <v>0</v>
      </c>
      <c r="X162" s="107"/>
    </row>
    <row r="163" ht="15.75" customHeight="1">
      <c r="D163" s="104"/>
      <c r="E163" s="104"/>
      <c r="F163" s="105"/>
      <c r="G163" s="105"/>
      <c r="H163" s="104"/>
      <c r="I163" s="104"/>
      <c r="J163" s="104"/>
      <c r="K163" s="106"/>
      <c r="L163" s="104"/>
      <c r="M163" s="107"/>
      <c r="N163" s="84" t="str">
        <f t="shared" si="19"/>
        <v>#DIV/0!</v>
      </c>
      <c r="O163" s="85">
        <f t="shared" si="3"/>
        <v>0</v>
      </c>
      <c r="P163" s="104"/>
      <c r="Q163" s="60">
        <f t="shared" si="22"/>
        <v>0</v>
      </c>
      <c r="R163" s="87">
        <f t="shared" si="5"/>
        <v>0</v>
      </c>
      <c r="S163" s="60">
        <f t="shared" si="6"/>
        <v>0</v>
      </c>
      <c r="T163" s="60">
        <f t="shared" si="17"/>
        <v>0</v>
      </c>
      <c r="U163" s="108">
        <f t="shared" si="8"/>
        <v>0</v>
      </c>
      <c r="V163" s="59" t="str">
        <f t="shared" si="9"/>
        <v>#DIV/0!</v>
      </c>
      <c r="W163" s="60">
        <f t="shared" si="10"/>
        <v>0</v>
      </c>
      <c r="X163" s="107"/>
    </row>
    <row r="164" ht="15.75" customHeight="1">
      <c r="D164" s="104"/>
      <c r="E164" s="104"/>
      <c r="F164" s="105"/>
      <c r="G164" s="105"/>
      <c r="H164" s="104"/>
      <c r="I164" s="104"/>
      <c r="J164" s="104"/>
      <c r="K164" s="106"/>
      <c r="L164" s="104"/>
      <c r="M164" s="107"/>
      <c r="N164" s="84" t="str">
        <f t="shared" si="19"/>
        <v>#DIV/0!</v>
      </c>
      <c r="O164" s="85">
        <f t="shared" si="3"/>
        <v>0</v>
      </c>
      <c r="P164" s="104"/>
      <c r="Q164" s="60">
        <f t="shared" si="22"/>
        <v>0</v>
      </c>
      <c r="R164" s="87">
        <f t="shared" si="5"/>
        <v>0</v>
      </c>
      <c r="S164" s="60">
        <f t="shared" si="6"/>
        <v>0</v>
      </c>
      <c r="T164" s="60">
        <f t="shared" si="17"/>
        <v>0</v>
      </c>
      <c r="U164" s="108">
        <f t="shared" si="8"/>
        <v>0</v>
      </c>
      <c r="V164" s="59" t="str">
        <f t="shared" si="9"/>
        <v>#DIV/0!</v>
      </c>
      <c r="W164" s="60">
        <f t="shared" si="10"/>
        <v>0</v>
      </c>
      <c r="X164" s="107"/>
    </row>
    <row r="165" ht="15.75" customHeight="1">
      <c r="D165" s="104"/>
      <c r="E165" s="104"/>
      <c r="F165" s="105"/>
      <c r="G165" s="105"/>
      <c r="H165" s="104"/>
      <c r="I165" s="104"/>
      <c r="J165" s="104"/>
      <c r="K165" s="106"/>
      <c r="L165" s="104"/>
      <c r="M165" s="107"/>
      <c r="N165" s="106"/>
      <c r="O165" s="85">
        <f t="shared" si="3"/>
        <v>0</v>
      </c>
      <c r="P165" s="104"/>
      <c r="Q165" s="60">
        <f t="shared" si="22"/>
        <v>0</v>
      </c>
      <c r="R165" s="87">
        <f t="shared" si="5"/>
        <v>0</v>
      </c>
      <c r="S165" s="60">
        <f t="shared" si="6"/>
        <v>0</v>
      </c>
      <c r="T165" s="60">
        <f t="shared" si="17"/>
        <v>0</v>
      </c>
      <c r="U165" s="108">
        <f t="shared" si="8"/>
        <v>0</v>
      </c>
      <c r="V165" s="59" t="str">
        <f t="shared" si="9"/>
        <v>#DIV/0!</v>
      </c>
      <c r="W165" s="60">
        <f t="shared" si="10"/>
        <v>0</v>
      </c>
      <c r="X165" s="107"/>
    </row>
    <row r="166" ht="15.75" customHeight="1">
      <c r="D166" s="104"/>
      <c r="E166" s="104"/>
      <c r="F166" s="105"/>
      <c r="G166" s="105"/>
      <c r="H166" s="104"/>
      <c r="I166" s="104"/>
      <c r="J166" s="104"/>
      <c r="K166" s="106"/>
      <c r="L166" s="104"/>
      <c r="M166" s="107"/>
      <c r="N166" s="106"/>
      <c r="O166" s="85">
        <f t="shared" si="3"/>
        <v>0</v>
      </c>
      <c r="P166" s="104"/>
      <c r="Q166" s="60">
        <f t="shared" si="22"/>
        <v>0</v>
      </c>
      <c r="R166" s="87">
        <f t="shared" si="5"/>
        <v>0</v>
      </c>
      <c r="S166" s="60">
        <f t="shared" si="6"/>
        <v>0</v>
      </c>
      <c r="T166" s="60">
        <f t="shared" si="17"/>
        <v>0</v>
      </c>
      <c r="U166" s="108">
        <f t="shared" si="8"/>
        <v>0</v>
      </c>
      <c r="V166" s="59" t="str">
        <f t="shared" si="9"/>
        <v>#DIV/0!</v>
      </c>
      <c r="W166" s="60">
        <f t="shared" si="10"/>
        <v>0</v>
      </c>
      <c r="X166" s="107"/>
    </row>
    <row r="167" ht="15.75" customHeight="1">
      <c r="D167" s="104"/>
      <c r="E167" s="104"/>
      <c r="F167" s="105"/>
      <c r="G167" s="105"/>
      <c r="H167" s="104"/>
      <c r="I167" s="104"/>
      <c r="J167" s="104"/>
      <c r="K167" s="106"/>
      <c r="L167" s="104"/>
      <c r="M167" s="107"/>
      <c r="N167" s="106"/>
      <c r="O167" s="85">
        <f t="shared" si="3"/>
        <v>0</v>
      </c>
      <c r="P167" s="104"/>
      <c r="Q167" s="60">
        <f t="shared" si="22"/>
        <v>0</v>
      </c>
      <c r="R167" s="87">
        <f t="shared" si="5"/>
        <v>0</v>
      </c>
      <c r="S167" s="60">
        <f t="shared" si="6"/>
        <v>0</v>
      </c>
      <c r="T167" s="60">
        <f t="shared" si="17"/>
        <v>0</v>
      </c>
      <c r="U167" s="108">
        <f t="shared" si="8"/>
        <v>0</v>
      </c>
      <c r="V167" s="59" t="str">
        <f t="shared" si="9"/>
        <v>#DIV/0!</v>
      </c>
      <c r="W167" s="60">
        <f t="shared" si="10"/>
        <v>0</v>
      </c>
      <c r="X167" s="107"/>
    </row>
    <row r="168" ht="15.75" customHeight="1">
      <c r="D168" s="104"/>
      <c r="E168" s="104"/>
      <c r="F168" s="105"/>
      <c r="G168" s="105"/>
      <c r="H168" s="104"/>
      <c r="I168" s="104"/>
      <c r="J168" s="104"/>
      <c r="K168" s="106"/>
      <c r="L168" s="104"/>
      <c r="M168" s="107"/>
      <c r="N168" s="106"/>
      <c r="O168" s="104"/>
      <c r="P168" s="104"/>
      <c r="Q168" s="60">
        <f t="shared" si="22"/>
        <v>0</v>
      </c>
      <c r="R168" s="87">
        <f t="shared" si="5"/>
        <v>0</v>
      </c>
      <c r="S168" s="60">
        <f t="shared" si="6"/>
        <v>0</v>
      </c>
      <c r="T168" s="60">
        <f t="shared" si="17"/>
        <v>0</v>
      </c>
      <c r="U168" s="108">
        <f t="shared" si="8"/>
        <v>0</v>
      </c>
      <c r="V168" s="59" t="str">
        <f t="shared" si="9"/>
        <v>#DIV/0!</v>
      </c>
      <c r="W168" s="60">
        <f t="shared" si="10"/>
        <v>0</v>
      </c>
      <c r="X168" s="107"/>
    </row>
    <row r="169" ht="15.75" customHeight="1">
      <c r="D169" s="104"/>
      <c r="E169" s="104"/>
      <c r="F169" s="105"/>
      <c r="G169" s="105"/>
      <c r="H169" s="104"/>
      <c r="I169" s="104"/>
      <c r="J169" s="104"/>
      <c r="K169" s="106"/>
      <c r="L169" s="104"/>
      <c r="M169" s="107"/>
      <c r="N169" s="106"/>
      <c r="O169" s="104"/>
      <c r="P169" s="104"/>
      <c r="Q169" s="60">
        <f t="shared" si="22"/>
        <v>0</v>
      </c>
      <c r="R169" s="87">
        <f t="shared" si="5"/>
        <v>0</v>
      </c>
      <c r="S169" s="60">
        <f t="shared" si="6"/>
        <v>0</v>
      </c>
      <c r="T169" s="60">
        <f t="shared" si="17"/>
        <v>0</v>
      </c>
      <c r="U169" s="108">
        <f t="shared" si="8"/>
        <v>0</v>
      </c>
      <c r="V169" s="59" t="str">
        <f t="shared" si="9"/>
        <v>#DIV/0!</v>
      </c>
      <c r="W169" s="60">
        <f t="shared" si="10"/>
        <v>0</v>
      </c>
      <c r="X169" s="107"/>
    </row>
    <row r="170" ht="15.75" customHeight="1">
      <c r="D170" s="104"/>
      <c r="E170" s="104"/>
      <c r="F170" s="105"/>
      <c r="G170" s="105"/>
      <c r="H170" s="104"/>
      <c r="I170" s="104"/>
      <c r="J170" s="104"/>
      <c r="K170" s="106"/>
      <c r="L170" s="104"/>
      <c r="M170" s="107"/>
      <c r="N170" s="106"/>
      <c r="O170" s="104"/>
      <c r="P170" s="104"/>
      <c r="Q170" s="60">
        <f t="shared" si="22"/>
        <v>0</v>
      </c>
      <c r="R170" s="87">
        <f t="shared" si="5"/>
        <v>0</v>
      </c>
      <c r="S170" s="60">
        <f t="shared" si="6"/>
        <v>0</v>
      </c>
      <c r="T170" s="60">
        <f t="shared" si="17"/>
        <v>0</v>
      </c>
      <c r="U170" s="108">
        <f t="shared" si="8"/>
        <v>0</v>
      </c>
      <c r="V170" s="59" t="str">
        <f t="shared" si="9"/>
        <v>#DIV/0!</v>
      </c>
      <c r="W170" s="60">
        <f t="shared" si="10"/>
        <v>0</v>
      </c>
      <c r="X170" s="107"/>
    </row>
    <row r="171" ht="15.75" customHeight="1">
      <c r="D171" s="104"/>
      <c r="E171" s="104"/>
      <c r="F171" s="105"/>
      <c r="G171" s="105"/>
      <c r="H171" s="104"/>
      <c r="I171" s="104"/>
      <c r="J171" s="104"/>
      <c r="K171" s="106"/>
      <c r="L171" s="104"/>
      <c r="M171" s="107"/>
      <c r="N171" s="106"/>
      <c r="O171" s="104"/>
      <c r="P171" s="104"/>
      <c r="Q171" s="60">
        <f t="shared" si="22"/>
        <v>0</v>
      </c>
      <c r="R171" s="87">
        <f t="shared" si="5"/>
        <v>0</v>
      </c>
      <c r="S171" s="60">
        <f t="shared" si="6"/>
        <v>0</v>
      </c>
      <c r="T171" s="60">
        <f t="shared" si="17"/>
        <v>0</v>
      </c>
      <c r="U171" s="108">
        <f t="shared" si="8"/>
        <v>0</v>
      </c>
      <c r="V171" s="59" t="str">
        <f t="shared" si="9"/>
        <v>#DIV/0!</v>
      </c>
      <c r="W171" s="60">
        <f t="shared" si="10"/>
        <v>0</v>
      </c>
      <c r="X171" s="107"/>
    </row>
    <row r="172" ht="15.75" customHeight="1">
      <c r="D172" s="104"/>
      <c r="E172" s="104"/>
      <c r="F172" s="105"/>
      <c r="G172" s="105"/>
      <c r="H172" s="104"/>
      <c r="I172" s="104"/>
      <c r="J172" s="104"/>
      <c r="K172" s="106"/>
      <c r="L172" s="104"/>
      <c r="M172" s="107"/>
      <c r="N172" s="106"/>
      <c r="O172" s="104"/>
      <c r="P172" s="104"/>
      <c r="Q172" s="60">
        <f t="shared" si="22"/>
        <v>0</v>
      </c>
      <c r="R172" s="87">
        <f t="shared" si="5"/>
        <v>0</v>
      </c>
      <c r="S172" s="60">
        <f t="shared" si="6"/>
        <v>0</v>
      </c>
      <c r="T172" s="60">
        <f t="shared" si="17"/>
        <v>0</v>
      </c>
      <c r="U172" s="108">
        <f t="shared" si="8"/>
        <v>0</v>
      </c>
      <c r="V172" s="59" t="str">
        <f t="shared" si="9"/>
        <v>#DIV/0!</v>
      </c>
      <c r="W172" s="60">
        <f t="shared" si="10"/>
        <v>0</v>
      </c>
      <c r="X172" s="107"/>
    </row>
    <row r="173" ht="15.75" customHeight="1">
      <c r="D173" s="104"/>
      <c r="E173" s="104"/>
      <c r="F173" s="105"/>
      <c r="G173" s="105"/>
      <c r="H173" s="104"/>
      <c r="I173" s="104"/>
      <c r="J173" s="104"/>
      <c r="K173" s="106"/>
      <c r="L173" s="104"/>
      <c r="M173" s="107"/>
      <c r="N173" s="106"/>
      <c r="O173" s="104"/>
      <c r="P173" s="104"/>
      <c r="Q173" s="60">
        <f t="shared" si="22"/>
        <v>0</v>
      </c>
      <c r="R173" s="87">
        <f t="shared" si="5"/>
        <v>0</v>
      </c>
      <c r="S173" s="60">
        <f t="shared" si="6"/>
        <v>0</v>
      </c>
      <c r="T173" s="60">
        <f t="shared" si="17"/>
        <v>0</v>
      </c>
      <c r="U173" s="108">
        <f t="shared" si="8"/>
        <v>0</v>
      </c>
      <c r="V173" s="59" t="str">
        <f t="shared" si="9"/>
        <v>#DIV/0!</v>
      </c>
      <c r="W173" s="60">
        <f t="shared" si="10"/>
        <v>0</v>
      </c>
      <c r="X173" s="107"/>
    </row>
    <row r="174" ht="15.75" customHeight="1">
      <c r="D174" s="104"/>
      <c r="E174" s="104"/>
      <c r="F174" s="105"/>
      <c r="G174" s="105"/>
      <c r="H174" s="104"/>
      <c r="I174" s="104"/>
      <c r="J174" s="104"/>
      <c r="K174" s="106"/>
      <c r="L174" s="104"/>
      <c r="M174" s="107"/>
      <c r="N174" s="106"/>
      <c r="O174" s="104"/>
      <c r="P174" s="104"/>
      <c r="Q174" s="60">
        <f t="shared" si="22"/>
        <v>0</v>
      </c>
      <c r="R174" s="87">
        <f t="shared" si="5"/>
        <v>0</v>
      </c>
      <c r="S174" s="60">
        <f t="shared" si="6"/>
        <v>0</v>
      </c>
      <c r="T174" s="60">
        <f t="shared" si="17"/>
        <v>0</v>
      </c>
      <c r="U174" s="108">
        <f t="shared" si="8"/>
        <v>0</v>
      </c>
      <c r="V174" s="59" t="str">
        <f t="shared" si="9"/>
        <v>#DIV/0!</v>
      </c>
      <c r="W174" s="60">
        <f t="shared" si="10"/>
        <v>0</v>
      </c>
      <c r="X174" s="107"/>
    </row>
    <row r="175" ht="15.75" customHeight="1">
      <c r="D175" s="104"/>
      <c r="E175" s="104"/>
      <c r="F175" s="105"/>
      <c r="G175" s="105"/>
      <c r="H175" s="104"/>
      <c r="I175" s="104"/>
      <c r="J175" s="104"/>
      <c r="K175" s="106"/>
      <c r="L175" s="104"/>
      <c r="M175" s="107"/>
      <c r="N175" s="106"/>
      <c r="O175" s="104"/>
      <c r="P175" s="104"/>
      <c r="Q175" s="60">
        <f t="shared" si="22"/>
        <v>0</v>
      </c>
      <c r="R175" s="87">
        <f t="shared" si="5"/>
        <v>0</v>
      </c>
      <c r="S175" s="60">
        <f t="shared" si="6"/>
        <v>0</v>
      </c>
      <c r="T175" s="60">
        <f t="shared" si="17"/>
        <v>0</v>
      </c>
      <c r="U175" s="108">
        <f t="shared" si="8"/>
        <v>0</v>
      </c>
      <c r="V175" s="59" t="str">
        <f t="shared" si="9"/>
        <v>#DIV/0!</v>
      </c>
      <c r="W175" s="60">
        <f t="shared" si="10"/>
        <v>0</v>
      </c>
      <c r="X175" s="107"/>
    </row>
    <row r="176" ht="15.75" customHeight="1">
      <c r="D176" s="104"/>
      <c r="E176" s="104"/>
      <c r="F176" s="105"/>
      <c r="G176" s="105"/>
      <c r="H176" s="104"/>
      <c r="I176" s="104"/>
      <c r="J176" s="104"/>
      <c r="K176" s="106"/>
      <c r="L176" s="104"/>
      <c r="M176" s="107"/>
      <c r="N176" s="106"/>
      <c r="O176" s="104"/>
      <c r="P176" s="104"/>
      <c r="Q176" s="60">
        <f t="shared" si="22"/>
        <v>0</v>
      </c>
      <c r="R176" s="87">
        <f t="shared" si="5"/>
        <v>0</v>
      </c>
      <c r="S176" s="60">
        <f t="shared" si="6"/>
        <v>0</v>
      </c>
      <c r="T176" s="60">
        <f t="shared" si="17"/>
        <v>0</v>
      </c>
      <c r="U176" s="108">
        <f t="shared" si="8"/>
        <v>0</v>
      </c>
      <c r="V176" s="59" t="str">
        <f t="shared" si="9"/>
        <v>#DIV/0!</v>
      </c>
      <c r="W176" s="60">
        <f t="shared" si="10"/>
        <v>0</v>
      </c>
      <c r="X176" s="107"/>
    </row>
    <row r="177" ht="15.75" customHeight="1">
      <c r="D177" s="104"/>
      <c r="E177" s="104"/>
      <c r="F177" s="105"/>
      <c r="G177" s="105"/>
      <c r="H177" s="104"/>
      <c r="I177" s="104"/>
      <c r="J177" s="104"/>
      <c r="K177" s="106"/>
      <c r="L177" s="104"/>
      <c r="M177" s="107"/>
      <c r="N177" s="106"/>
      <c r="O177" s="104"/>
      <c r="P177" s="104"/>
      <c r="Q177" s="60">
        <f t="shared" si="22"/>
        <v>0</v>
      </c>
      <c r="R177" s="87">
        <f t="shared" si="5"/>
        <v>0</v>
      </c>
      <c r="S177" s="60">
        <f t="shared" si="6"/>
        <v>0</v>
      </c>
      <c r="T177" s="60">
        <f t="shared" si="17"/>
        <v>0</v>
      </c>
      <c r="U177" s="108">
        <f t="shared" si="8"/>
        <v>0</v>
      </c>
      <c r="V177" s="59" t="str">
        <f t="shared" si="9"/>
        <v>#DIV/0!</v>
      </c>
      <c r="W177" s="60">
        <f t="shared" si="10"/>
        <v>0</v>
      </c>
      <c r="X177" s="107"/>
    </row>
    <row r="178" ht="15.75" customHeight="1">
      <c r="D178" s="104"/>
      <c r="E178" s="104"/>
      <c r="F178" s="105"/>
      <c r="G178" s="105"/>
      <c r="H178" s="104"/>
      <c r="I178" s="104"/>
      <c r="J178" s="104"/>
      <c r="K178" s="106"/>
      <c r="L178" s="104"/>
      <c r="M178" s="107"/>
      <c r="N178" s="106"/>
      <c r="O178" s="104"/>
      <c r="P178" s="104"/>
      <c r="Q178" s="60">
        <f t="shared" si="22"/>
        <v>0</v>
      </c>
      <c r="R178" s="87">
        <f t="shared" si="5"/>
        <v>0</v>
      </c>
      <c r="S178" s="60">
        <f t="shared" si="6"/>
        <v>0</v>
      </c>
      <c r="T178" s="60">
        <f t="shared" si="17"/>
        <v>0</v>
      </c>
      <c r="U178" s="108">
        <f t="shared" si="8"/>
        <v>0</v>
      </c>
      <c r="V178" s="59" t="str">
        <f t="shared" si="9"/>
        <v>#DIV/0!</v>
      </c>
      <c r="W178" s="60">
        <f t="shared" si="10"/>
        <v>0</v>
      </c>
      <c r="X178" s="107"/>
    </row>
    <row r="179" ht="15.75" customHeight="1">
      <c r="D179" s="104"/>
      <c r="E179" s="104"/>
      <c r="F179" s="105"/>
      <c r="G179" s="105"/>
      <c r="H179" s="104"/>
      <c r="I179" s="104"/>
      <c r="J179" s="104"/>
      <c r="K179" s="106"/>
      <c r="L179" s="104"/>
      <c r="M179" s="107"/>
      <c r="N179" s="106"/>
      <c r="O179" s="104"/>
      <c r="P179" s="104"/>
      <c r="Q179" s="60">
        <f t="shared" si="22"/>
        <v>0</v>
      </c>
      <c r="R179" s="87">
        <f t="shared" si="5"/>
        <v>0</v>
      </c>
      <c r="S179" s="60">
        <f t="shared" si="6"/>
        <v>0</v>
      </c>
      <c r="T179" s="60">
        <f t="shared" si="17"/>
        <v>0</v>
      </c>
      <c r="U179" s="108">
        <f t="shared" si="8"/>
        <v>0</v>
      </c>
      <c r="V179" s="59" t="str">
        <f t="shared" si="9"/>
        <v>#DIV/0!</v>
      </c>
      <c r="W179" s="60">
        <f t="shared" si="10"/>
        <v>0</v>
      </c>
      <c r="X179" s="107"/>
    </row>
    <row r="180" ht="15.75" customHeight="1">
      <c r="D180" s="104"/>
      <c r="E180" s="104"/>
      <c r="F180" s="105"/>
      <c r="G180" s="105"/>
      <c r="H180" s="104"/>
      <c r="I180" s="104"/>
      <c r="J180" s="104"/>
      <c r="K180" s="106"/>
      <c r="L180" s="104"/>
      <c r="M180" s="107"/>
      <c r="N180" s="106"/>
      <c r="O180" s="104"/>
      <c r="P180" s="104"/>
      <c r="Q180" s="107"/>
      <c r="R180" s="87">
        <f t="shared" si="5"/>
        <v>0</v>
      </c>
      <c r="S180" s="107"/>
      <c r="T180" s="107"/>
      <c r="U180" s="105"/>
      <c r="V180" s="107"/>
      <c r="W180" s="107"/>
      <c r="X180" s="107"/>
    </row>
    <row r="181" ht="15.75" customHeight="1">
      <c r="D181" s="104"/>
      <c r="E181" s="104"/>
      <c r="F181" s="105"/>
      <c r="G181" s="105"/>
      <c r="H181" s="104"/>
      <c r="I181" s="104"/>
      <c r="J181" s="104"/>
      <c r="K181" s="106"/>
      <c r="L181" s="104"/>
      <c r="M181" s="107"/>
      <c r="N181" s="106"/>
      <c r="O181" s="104"/>
      <c r="P181" s="104"/>
      <c r="Q181" s="107"/>
      <c r="R181" s="87">
        <f t="shared" si="5"/>
        <v>0</v>
      </c>
      <c r="S181" s="107"/>
      <c r="T181" s="107"/>
      <c r="U181" s="105"/>
      <c r="V181" s="107"/>
      <c r="W181" s="107"/>
      <c r="X181" s="107"/>
    </row>
    <row r="182" ht="15.75" customHeight="1">
      <c r="D182" s="104"/>
      <c r="E182" s="104"/>
      <c r="F182" s="105"/>
      <c r="G182" s="105"/>
      <c r="H182" s="104"/>
      <c r="I182" s="104"/>
      <c r="J182" s="104"/>
      <c r="K182" s="106"/>
      <c r="L182" s="104"/>
      <c r="M182" s="107"/>
      <c r="N182" s="106"/>
      <c r="O182" s="104"/>
      <c r="P182" s="104"/>
      <c r="Q182" s="107"/>
      <c r="R182" s="87">
        <f t="shared" si="5"/>
        <v>0</v>
      </c>
      <c r="S182" s="107"/>
      <c r="T182" s="107"/>
      <c r="U182" s="105"/>
      <c r="V182" s="107"/>
      <c r="W182" s="107"/>
      <c r="X182" s="107"/>
    </row>
    <row r="183" ht="15.75" customHeight="1">
      <c r="D183" s="104"/>
      <c r="E183" s="104"/>
      <c r="F183" s="105"/>
      <c r="G183" s="105"/>
      <c r="H183" s="104"/>
      <c r="I183" s="104"/>
      <c r="J183" s="104"/>
      <c r="K183" s="106"/>
      <c r="L183" s="104"/>
      <c r="M183" s="107"/>
      <c r="N183" s="106"/>
      <c r="O183" s="104"/>
      <c r="P183" s="104"/>
      <c r="Q183" s="107"/>
      <c r="R183" s="87">
        <f t="shared" si="5"/>
        <v>0</v>
      </c>
      <c r="S183" s="107"/>
      <c r="T183" s="107"/>
      <c r="U183" s="105"/>
      <c r="V183" s="107"/>
      <c r="W183" s="107"/>
      <c r="X183" s="107"/>
    </row>
    <row r="184" ht="15.75" customHeight="1">
      <c r="D184" s="104"/>
      <c r="E184" s="104"/>
      <c r="F184" s="105"/>
      <c r="G184" s="105"/>
      <c r="H184" s="104"/>
      <c r="I184" s="104"/>
      <c r="J184" s="104"/>
      <c r="K184" s="106"/>
      <c r="L184" s="104"/>
      <c r="M184" s="107"/>
      <c r="N184" s="106"/>
      <c r="O184" s="104"/>
      <c r="P184" s="104"/>
      <c r="Q184" s="107"/>
      <c r="R184" s="87">
        <f t="shared" si="5"/>
        <v>0</v>
      </c>
      <c r="S184" s="107"/>
      <c r="T184" s="107"/>
      <c r="U184" s="105"/>
      <c r="V184" s="107"/>
      <c r="W184" s="107"/>
      <c r="X184" s="107"/>
    </row>
    <row r="185" ht="15.75" customHeight="1">
      <c r="D185" s="104"/>
      <c r="E185" s="104"/>
      <c r="F185" s="105"/>
      <c r="G185" s="105"/>
      <c r="H185" s="104"/>
      <c r="I185" s="104"/>
      <c r="J185" s="104"/>
      <c r="K185" s="106"/>
      <c r="L185" s="104"/>
      <c r="M185" s="107"/>
      <c r="N185" s="106"/>
      <c r="O185" s="104"/>
      <c r="P185" s="104"/>
      <c r="Q185" s="107"/>
      <c r="R185" s="87">
        <f t="shared" si="5"/>
        <v>0</v>
      </c>
      <c r="S185" s="107"/>
      <c r="T185" s="107"/>
      <c r="U185" s="105"/>
      <c r="V185" s="107"/>
      <c r="W185" s="107"/>
      <c r="X185" s="107"/>
    </row>
    <row r="186" ht="15.75" customHeight="1">
      <c r="D186" s="104"/>
      <c r="E186" s="104"/>
      <c r="F186" s="105"/>
      <c r="G186" s="105"/>
      <c r="H186" s="104"/>
      <c r="I186" s="104"/>
      <c r="J186" s="104"/>
      <c r="K186" s="106"/>
      <c r="L186" s="104"/>
      <c r="M186" s="107"/>
      <c r="N186" s="106"/>
      <c r="O186" s="104"/>
      <c r="P186" s="104"/>
      <c r="Q186" s="107"/>
      <c r="R186" s="87">
        <f t="shared" si="5"/>
        <v>0</v>
      </c>
      <c r="S186" s="107"/>
      <c r="T186" s="107"/>
      <c r="U186" s="105"/>
      <c r="V186" s="107"/>
      <c r="W186" s="107"/>
      <c r="X186" s="107"/>
    </row>
    <row r="187" ht="15.75" customHeight="1">
      <c r="D187" s="104"/>
      <c r="E187" s="104"/>
      <c r="F187" s="105"/>
      <c r="G187" s="105"/>
      <c r="H187" s="104"/>
      <c r="I187" s="104"/>
      <c r="J187" s="104"/>
      <c r="K187" s="106"/>
      <c r="L187" s="104"/>
      <c r="M187" s="107"/>
      <c r="N187" s="106"/>
      <c r="O187" s="104"/>
      <c r="P187" s="104"/>
      <c r="Q187" s="107"/>
      <c r="R187" s="87">
        <f t="shared" si="5"/>
        <v>0</v>
      </c>
      <c r="S187" s="107"/>
      <c r="T187" s="107"/>
      <c r="U187" s="105"/>
      <c r="V187" s="107"/>
      <c r="W187" s="107"/>
      <c r="X187" s="107"/>
    </row>
    <row r="188" ht="15.75" customHeight="1">
      <c r="D188" s="104"/>
      <c r="E188" s="104"/>
      <c r="F188" s="105"/>
      <c r="G188" s="105"/>
      <c r="H188" s="104"/>
      <c r="I188" s="104"/>
      <c r="J188" s="104"/>
      <c r="K188" s="106"/>
      <c r="L188" s="104"/>
      <c r="M188" s="107"/>
      <c r="N188" s="106"/>
      <c r="O188" s="104"/>
      <c r="P188" s="104"/>
      <c r="Q188" s="107"/>
      <c r="R188" s="87">
        <f t="shared" si="5"/>
        <v>0</v>
      </c>
      <c r="S188" s="107"/>
      <c r="T188" s="107"/>
      <c r="U188" s="105"/>
      <c r="V188" s="107"/>
      <c r="W188" s="107"/>
      <c r="X188" s="107"/>
    </row>
    <row r="189" ht="15.75" customHeight="1">
      <c r="D189" s="104"/>
      <c r="E189" s="104"/>
      <c r="F189" s="105"/>
      <c r="G189" s="105"/>
      <c r="H189" s="104"/>
      <c r="I189" s="104"/>
      <c r="J189" s="104"/>
      <c r="K189" s="106"/>
      <c r="L189" s="104"/>
      <c r="M189" s="107"/>
      <c r="N189" s="106"/>
      <c r="O189" s="104"/>
      <c r="P189" s="104"/>
      <c r="Q189" s="107"/>
      <c r="R189" s="87">
        <f t="shared" si="5"/>
        <v>0</v>
      </c>
      <c r="S189" s="107"/>
      <c r="T189" s="107"/>
      <c r="U189" s="105"/>
      <c r="V189" s="107"/>
      <c r="W189" s="107"/>
      <c r="X189" s="107"/>
    </row>
    <row r="190" ht="15.75" customHeight="1">
      <c r="D190" s="104"/>
      <c r="E190" s="104"/>
      <c r="F190" s="105"/>
      <c r="G190" s="105"/>
      <c r="H190" s="104"/>
      <c r="I190" s="104"/>
      <c r="J190" s="104"/>
      <c r="K190" s="106"/>
      <c r="L190" s="104"/>
      <c r="M190" s="107"/>
      <c r="N190" s="106"/>
      <c r="O190" s="104"/>
      <c r="P190" s="104"/>
      <c r="Q190" s="107"/>
      <c r="R190" s="87">
        <f t="shared" si="5"/>
        <v>0</v>
      </c>
      <c r="S190" s="107"/>
      <c r="T190" s="107"/>
      <c r="U190" s="105"/>
      <c r="V190" s="107"/>
      <c r="W190" s="107"/>
      <c r="X190" s="107"/>
    </row>
    <row r="191" ht="15.75" customHeight="1">
      <c r="D191" s="104"/>
      <c r="E191" s="104"/>
      <c r="F191" s="105"/>
      <c r="G191" s="105"/>
      <c r="H191" s="104"/>
      <c r="I191" s="104"/>
      <c r="J191" s="104"/>
      <c r="K191" s="106"/>
      <c r="L191" s="104"/>
      <c r="M191" s="107"/>
      <c r="N191" s="106"/>
      <c r="O191" s="104"/>
      <c r="P191" s="104"/>
      <c r="Q191" s="107"/>
      <c r="R191" s="87">
        <f t="shared" si="5"/>
        <v>0</v>
      </c>
      <c r="S191" s="107"/>
      <c r="T191" s="107"/>
      <c r="U191" s="105"/>
      <c r="V191" s="107"/>
      <c r="W191" s="107"/>
      <c r="X191" s="107"/>
    </row>
    <row r="192" ht="15.75" customHeight="1">
      <c r="D192" s="104"/>
      <c r="E192" s="104"/>
      <c r="F192" s="105"/>
      <c r="G192" s="105"/>
      <c r="H192" s="104"/>
      <c r="I192" s="104"/>
      <c r="J192" s="104"/>
      <c r="K192" s="106"/>
      <c r="L192" s="104"/>
      <c r="M192" s="107"/>
      <c r="N192" s="106"/>
      <c r="O192" s="104"/>
      <c r="P192" s="104"/>
      <c r="Q192" s="107"/>
      <c r="R192" s="87">
        <f t="shared" si="5"/>
        <v>0</v>
      </c>
      <c r="S192" s="107"/>
      <c r="T192" s="107"/>
      <c r="U192" s="105"/>
      <c r="V192" s="107"/>
      <c r="W192" s="107"/>
      <c r="X192" s="107"/>
    </row>
    <row r="193" ht="15.75" customHeight="1">
      <c r="D193" s="104"/>
      <c r="E193" s="104"/>
      <c r="F193" s="105"/>
      <c r="G193" s="105"/>
      <c r="H193" s="104"/>
      <c r="I193" s="104"/>
      <c r="J193" s="104"/>
      <c r="K193" s="106"/>
      <c r="L193" s="104"/>
      <c r="M193" s="107"/>
      <c r="N193" s="106"/>
      <c r="O193" s="104"/>
      <c r="P193" s="104"/>
      <c r="Q193" s="107"/>
      <c r="R193" s="87">
        <f t="shared" si="5"/>
        <v>0</v>
      </c>
      <c r="S193" s="107"/>
      <c r="T193" s="107"/>
      <c r="U193" s="105"/>
      <c r="V193" s="107"/>
      <c r="W193" s="107"/>
      <c r="X193" s="107"/>
    </row>
    <row r="194" ht="15.75" customHeight="1">
      <c r="D194" s="104"/>
      <c r="E194" s="104"/>
      <c r="F194" s="105"/>
      <c r="G194" s="105"/>
      <c r="H194" s="104"/>
      <c r="I194" s="104"/>
      <c r="J194" s="104"/>
      <c r="K194" s="106"/>
      <c r="L194" s="104"/>
      <c r="M194" s="107"/>
      <c r="N194" s="106"/>
      <c r="O194" s="104"/>
      <c r="P194" s="104"/>
      <c r="Q194" s="107"/>
      <c r="R194" s="87">
        <f t="shared" si="5"/>
        <v>0</v>
      </c>
      <c r="S194" s="107"/>
      <c r="T194" s="107"/>
      <c r="U194" s="105"/>
      <c r="V194" s="107"/>
      <c r="W194" s="107"/>
      <c r="X194" s="107"/>
    </row>
    <row r="195" ht="15.75" customHeight="1">
      <c r="D195" s="104"/>
      <c r="E195" s="104"/>
      <c r="F195" s="105"/>
      <c r="G195" s="105"/>
      <c r="H195" s="104"/>
      <c r="I195" s="104"/>
      <c r="J195" s="104"/>
      <c r="K195" s="106"/>
      <c r="L195" s="104"/>
      <c r="M195" s="107"/>
      <c r="N195" s="106"/>
      <c r="O195" s="104"/>
      <c r="P195" s="104"/>
      <c r="Q195" s="107"/>
      <c r="R195" s="87">
        <f t="shared" si="5"/>
        <v>0</v>
      </c>
      <c r="S195" s="107"/>
      <c r="T195" s="107"/>
      <c r="U195" s="105"/>
      <c r="V195" s="107"/>
      <c r="W195" s="107"/>
      <c r="X195" s="107"/>
    </row>
    <row r="196" ht="15.75" customHeight="1">
      <c r="D196" s="104"/>
      <c r="E196" s="104"/>
      <c r="F196" s="105"/>
      <c r="G196" s="105"/>
      <c r="H196" s="104"/>
      <c r="I196" s="104"/>
      <c r="J196" s="104"/>
      <c r="K196" s="106"/>
      <c r="L196" s="104"/>
      <c r="M196" s="107"/>
      <c r="N196" s="106"/>
      <c r="O196" s="104"/>
      <c r="P196" s="104"/>
      <c r="Q196" s="107"/>
      <c r="R196" s="87">
        <f t="shared" si="5"/>
        <v>0</v>
      </c>
      <c r="S196" s="107"/>
      <c r="T196" s="107"/>
      <c r="U196" s="105"/>
      <c r="V196" s="107"/>
      <c r="W196" s="107"/>
      <c r="X196" s="107"/>
    </row>
    <row r="197" ht="15.75" customHeight="1">
      <c r="D197" s="104"/>
      <c r="E197" s="104"/>
      <c r="F197" s="105"/>
      <c r="G197" s="105"/>
      <c r="H197" s="104"/>
      <c r="I197" s="104"/>
      <c r="J197" s="104"/>
      <c r="K197" s="106"/>
      <c r="L197" s="104"/>
      <c r="M197" s="107"/>
      <c r="N197" s="106"/>
      <c r="O197" s="104"/>
      <c r="P197" s="104"/>
      <c r="Q197" s="107"/>
      <c r="R197" s="87">
        <f t="shared" si="5"/>
        <v>0</v>
      </c>
      <c r="S197" s="107"/>
      <c r="T197" s="107"/>
      <c r="U197" s="105"/>
      <c r="V197" s="107"/>
      <c r="W197" s="107"/>
      <c r="X197" s="107"/>
    </row>
    <row r="198" ht="15.75" customHeight="1">
      <c r="D198" s="104"/>
      <c r="E198" s="104"/>
      <c r="F198" s="105"/>
      <c r="G198" s="105"/>
      <c r="H198" s="104"/>
      <c r="I198" s="104"/>
      <c r="J198" s="104"/>
      <c r="K198" s="106"/>
      <c r="L198" s="104"/>
      <c r="M198" s="107"/>
      <c r="N198" s="106"/>
      <c r="O198" s="104"/>
      <c r="P198" s="104"/>
      <c r="Q198" s="107"/>
      <c r="R198" s="87">
        <f t="shared" si="5"/>
        <v>0</v>
      </c>
      <c r="S198" s="107"/>
      <c r="T198" s="107"/>
      <c r="U198" s="105"/>
      <c r="V198" s="107"/>
      <c r="W198" s="107"/>
      <c r="X198" s="107"/>
    </row>
    <row r="199" ht="15.75" customHeight="1">
      <c r="D199" s="104"/>
      <c r="E199" s="104"/>
      <c r="F199" s="105"/>
      <c r="G199" s="105"/>
      <c r="H199" s="104"/>
      <c r="I199" s="104"/>
      <c r="J199" s="104"/>
      <c r="K199" s="106"/>
      <c r="L199" s="104"/>
      <c r="M199" s="107"/>
      <c r="N199" s="106"/>
      <c r="O199" s="104"/>
      <c r="P199" s="104"/>
      <c r="Q199" s="107"/>
      <c r="R199" s="87">
        <f t="shared" si="5"/>
        <v>0</v>
      </c>
      <c r="S199" s="107"/>
      <c r="T199" s="107"/>
      <c r="U199" s="105"/>
      <c r="V199" s="107"/>
      <c r="W199" s="107"/>
      <c r="X199" s="107"/>
    </row>
    <row r="200" ht="15.75" customHeight="1">
      <c r="D200" s="104"/>
      <c r="E200" s="104"/>
      <c r="F200" s="105"/>
      <c r="G200" s="105"/>
      <c r="H200" s="104"/>
      <c r="I200" s="104"/>
      <c r="J200" s="104"/>
      <c r="K200" s="106"/>
      <c r="L200" s="104"/>
      <c r="M200" s="107"/>
      <c r="N200" s="106"/>
      <c r="O200" s="104"/>
      <c r="P200" s="104"/>
      <c r="Q200" s="107"/>
      <c r="R200" s="87">
        <f t="shared" si="5"/>
        <v>0</v>
      </c>
      <c r="S200" s="107"/>
      <c r="T200" s="107"/>
      <c r="U200" s="105"/>
      <c r="V200" s="107"/>
      <c r="W200" s="107"/>
      <c r="X200" s="107"/>
    </row>
    <row r="201" ht="15.75" customHeight="1">
      <c r="D201" s="104"/>
      <c r="E201" s="104"/>
      <c r="F201" s="105"/>
      <c r="G201" s="105"/>
      <c r="H201" s="104"/>
      <c r="I201" s="104"/>
      <c r="J201" s="104"/>
      <c r="K201" s="106"/>
      <c r="L201" s="104"/>
      <c r="M201" s="107"/>
      <c r="N201" s="106"/>
      <c r="O201" s="104"/>
      <c r="P201" s="104"/>
      <c r="Q201" s="107"/>
      <c r="R201" s="87">
        <f t="shared" si="5"/>
        <v>0</v>
      </c>
      <c r="S201" s="107"/>
      <c r="T201" s="107"/>
      <c r="U201" s="105"/>
      <c r="V201" s="107"/>
      <c r="W201" s="107"/>
      <c r="X201" s="107"/>
    </row>
    <row r="202" ht="15.75" customHeight="1">
      <c r="D202" s="104"/>
      <c r="E202" s="104"/>
      <c r="F202" s="105"/>
      <c r="G202" s="105"/>
      <c r="H202" s="104"/>
      <c r="I202" s="104"/>
      <c r="J202" s="104"/>
      <c r="K202" s="106"/>
      <c r="L202" s="104"/>
      <c r="M202" s="107"/>
      <c r="N202" s="106"/>
      <c r="O202" s="104"/>
      <c r="P202" s="104"/>
      <c r="Q202" s="107"/>
      <c r="R202" s="87">
        <f t="shared" si="5"/>
        <v>0</v>
      </c>
      <c r="S202" s="107"/>
      <c r="T202" s="107"/>
      <c r="U202" s="105"/>
      <c r="V202" s="107"/>
      <c r="W202" s="107"/>
      <c r="X202" s="107"/>
    </row>
    <row r="203" ht="15.75" customHeight="1">
      <c r="D203" s="104"/>
      <c r="E203" s="104"/>
      <c r="F203" s="105"/>
      <c r="G203" s="105"/>
      <c r="H203" s="104"/>
      <c r="I203" s="104"/>
      <c r="J203" s="104"/>
      <c r="K203" s="106"/>
      <c r="L203" s="104"/>
      <c r="M203" s="107"/>
      <c r="N203" s="106"/>
      <c r="O203" s="104"/>
      <c r="P203" s="104"/>
      <c r="Q203" s="107"/>
      <c r="R203" s="107"/>
      <c r="S203" s="107"/>
      <c r="T203" s="107"/>
      <c r="U203" s="105"/>
      <c r="V203" s="107"/>
      <c r="W203" s="107"/>
      <c r="X203" s="107"/>
    </row>
    <row r="204" ht="15.75" customHeight="1">
      <c r="D204" s="104"/>
      <c r="E204" s="104"/>
      <c r="F204" s="105"/>
      <c r="G204" s="105"/>
      <c r="H204" s="104"/>
      <c r="I204" s="104"/>
      <c r="J204" s="104"/>
      <c r="K204" s="106"/>
      <c r="L204" s="104"/>
      <c r="M204" s="107"/>
      <c r="N204" s="106"/>
      <c r="O204" s="104"/>
      <c r="P204" s="104"/>
      <c r="Q204" s="107"/>
      <c r="R204" s="107"/>
      <c r="S204" s="107"/>
      <c r="T204" s="107"/>
      <c r="U204" s="105"/>
      <c r="V204" s="107"/>
      <c r="W204" s="107"/>
      <c r="X204" s="107"/>
    </row>
    <row r="205" ht="15.75" customHeight="1">
      <c r="D205" s="104"/>
      <c r="E205" s="104"/>
      <c r="F205" s="105"/>
      <c r="G205" s="105"/>
      <c r="H205" s="104"/>
      <c r="I205" s="104"/>
      <c r="J205" s="104"/>
      <c r="K205" s="106"/>
      <c r="L205" s="104"/>
      <c r="M205" s="107"/>
      <c r="N205" s="106"/>
      <c r="O205" s="104"/>
      <c r="P205" s="104"/>
      <c r="Q205" s="107"/>
      <c r="R205" s="107"/>
      <c r="S205" s="107"/>
      <c r="T205" s="107"/>
      <c r="U205" s="105"/>
      <c r="V205" s="107"/>
      <c r="W205" s="107"/>
      <c r="X205" s="107"/>
    </row>
    <row r="206" ht="15.75" customHeight="1">
      <c r="D206" s="104"/>
      <c r="E206" s="104"/>
      <c r="F206" s="105"/>
      <c r="G206" s="105"/>
      <c r="H206" s="104"/>
      <c r="I206" s="104"/>
      <c r="J206" s="104"/>
      <c r="K206" s="106"/>
      <c r="L206" s="104"/>
      <c r="M206" s="107"/>
      <c r="N206" s="106"/>
      <c r="O206" s="104"/>
      <c r="P206" s="104"/>
      <c r="Q206" s="107"/>
      <c r="R206" s="107"/>
      <c r="S206" s="107"/>
      <c r="T206" s="107"/>
      <c r="U206" s="105"/>
      <c r="V206" s="107"/>
      <c r="W206" s="107"/>
      <c r="X206" s="107"/>
    </row>
    <row r="207" ht="15.75" customHeight="1">
      <c r="D207" s="104"/>
      <c r="E207" s="104"/>
      <c r="F207" s="105"/>
      <c r="G207" s="105"/>
      <c r="H207" s="104"/>
      <c r="I207" s="104"/>
      <c r="J207" s="104"/>
      <c r="K207" s="106"/>
      <c r="L207" s="104"/>
      <c r="M207" s="107"/>
      <c r="N207" s="106"/>
      <c r="O207" s="104"/>
      <c r="P207" s="104"/>
      <c r="Q207" s="107"/>
      <c r="R207" s="107"/>
      <c r="S207" s="107"/>
      <c r="T207" s="107"/>
      <c r="U207" s="105"/>
      <c r="V207" s="107"/>
      <c r="W207" s="107"/>
      <c r="X207" s="107"/>
    </row>
    <row r="208" ht="15.75" customHeight="1">
      <c r="D208" s="104"/>
      <c r="E208" s="104"/>
      <c r="F208" s="105"/>
      <c r="G208" s="105"/>
      <c r="H208" s="104"/>
      <c r="I208" s="104"/>
      <c r="J208" s="104"/>
      <c r="K208" s="106"/>
      <c r="L208" s="104"/>
      <c r="M208" s="107"/>
      <c r="N208" s="106"/>
      <c r="O208" s="104"/>
      <c r="P208" s="104"/>
      <c r="Q208" s="107"/>
      <c r="R208" s="107"/>
      <c r="S208" s="107"/>
      <c r="T208" s="107"/>
      <c r="U208" s="105"/>
      <c r="V208" s="107"/>
      <c r="W208" s="107"/>
      <c r="X208" s="107"/>
    </row>
    <row r="209" ht="15.75" customHeight="1">
      <c r="D209" s="104"/>
      <c r="E209" s="104"/>
      <c r="F209" s="105"/>
      <c r="G209" s="105"/>
      <c r="H209" s="104"/>
      <c r="I209" s="104"/>
      <c r="J209" s="104"/>
      <c r="K209" s="106"/>
      <c r="L209" s="104"/>
      <c r="M209" s="107"/>
      <c r="N209" s="106"/>
      <c r="O209" s="104"/>
      <c r="P209" s="104"/>
      <c r="Q209" s="107"/>
      <c r="R209" s="107"/>
      <c r="S209" s="107"/>
      <c r="T209" s="107"/>
      <c r="U209" s="105"/>
      <c r="V209" s="107"/>
      <c r="W209" s="107"/>
      <c r="X209" s="107"/>
    </row>
    <row r="210" ht="15.75" customHeight="1">
      <c r="D210" s="104"/>
      <c r="E210" s="104"/>
      <c r="F210" s="105"/>
      <c r="G210" s="105"/>
      <c r="H210" s="104"/>
      <c r="I210" s="104"/>
      <c r="J210" s="104"/>
      <c r="K210" s="106"/>
      <c r="L210" s="104"/>
      <c r="M210" s="107"/>
      <c r="N210" s="106"/>
      <c r="O210" s="104"/>
      <c r="P210" s="104"/>
      <c r="Q210" s="107"/>
      <c r="R210" s="107"/>
      <c r="S210" s="107"/>
      <c r="T210" s="107"/>
      <c r="U210" s="105"/>
      <c r="V210" s="107"/>
      <c r="W210" s="107"/>
      <c r="X210" s="107"/>
    </row>
    <row r="211" ht="15.75" customHeight="1">
      <c r="D211" s="104"/>
      <c r="E211" s="104"/>
      <c r="F211" s="105"/>
      <c r="G211" s="105"/>
      <c r="H211" s="104"/>
      <c r="I211" s="104"/>
      <c r="J211" s="104"/>
      <c r="K211" s="106"/>
      <c r="L211" s="104"/>
      <c r="M211" s="107"/>
      <c r="N211" s="106"/>
      <c r="O211" s="104"/>
      <c r="P211" s="104"/>
      <c r="Q211" s="107"/>
      <c r="R211" s="107"/>
      <c r="S211" s="107"/>
      <c r="T211" s="107"/>
      <c r="U211" s="105"/>
      <c r="V211" s="107"/>
      <c r="W211" s="107"/>
      <c r="X211" s="107"/>
    </row>
    <row r="212" ht="15.75" customHeight="1">
      <c r="D212" s="104"/>
      <c r="E212" s="104"/>
      <c r="F212" s="105"/>
      <c r="G212" s="105"/>
      <c r="H212" s="104"/>
      <c r="I212" s="104"/>
      <c r="J212" s="104"/>
      <c r="K212" s="106"/>
      <c r="L212" s="104"/>
      <c r="M212" s="107"/>
      <c r="N212" s="106"/>
      <c r="O212" s="104"/>
      <c r="P212" s="104"/>
      <c r="Q212" s="107"/>
      <c r="R212" s="107"/>
      <c r="S212" s="107"/>
      <c r="T212" s="107"/>
      <c r="U212" s="105"/>
      <c r="V212" s="107"/>
      <c r="W212" s="107"/>
      <c r="X212" s="107"/>
    </row>
    <row r="213" ht="15.75" customHeight="1">
      <c r="D213" s="104"/>
      <c r="E213" s="104"/>
      <c r="F213" s="105"/>
      <c r="G213" s="105"/>
      <c r="H213" s="104"/>
      <c r="I213" s="104"/>
      <c r="J213" s="104"/>
      <c r="K213" s="106"/>
      <c r="L213" s="104"/>
      <c r="M213" s="107"/>
      <c r="N213" s="106"/>
      <c r="O213" s="104"/>
      <c r="P213" s="104"/>
      <c r="Q213" s="107"/>
      <c r="R213" s="107"/>
      <c r="S213" s="107"/>
      <c r="T213" s="107"/>
      <c r="U213" s="105"/>
      <c r="V213" s="107"/>
      <c r="W213" s="107"/>
      <c r="X213" s="107"/>
    </row>
    <row r="214" ht="15.75" customHeight="1">
      <c r="D214" s="104"/>
      <c r="E214" s="104"/>
      <c r="F214" s="105"/>
      <c r="G214" s="105"/>
      <c r="H214" s="104"/>
      <c r="I214" s="104"/>
      <c r="J214" s="104"/>
      <c r="K214" s="106"/>
      <c r="L214" s="104"/>
      <c r="M214" s="107"/>
      <c r="N214" s="106"/>
      <c r="O214" s="104"/>
      <c r="P214" s="104"/>
      <c r="Q214" s="107"/>
      <c r="R214" s="107"/>
      <c r="S214" s="107"/>
      <c r="T214" s="107"/>
      <c r="U214" s="105"/>
      <c r="V214" s="107"/>
      <c r="W214" s="107"/>
      <c r="X214" s="107"/>
    </row>
    <row r="215" ht="15.75" customHeight="1">
      <c r="D215" s="104"/>
      <c r="E215" s="104"/>
      <c r="F215" s="105"/>
      <c r="G215" s="105"/>
      <c r="H215" s="104"/>
      <c r="I215" s="104"/>
      <c r="J215" s="104"/>
      <c r="K215" s="106"/>
      <c r="L215" s="104"/>
      <c r="M215" s="107"/>
      <c r="N215" s="106"/>
      <c r="O215" s="104"/>
      <c r="P215" s="104"/>
      <c r="Q215" s="107"/>
      <c r="R215" s="107"/>
      <c r="S215" s="107"/>
      <c r="T215" s="107"/>
      <c r="U215" s="105"/>
      <c r="V215" s="107"/>
      <c r="W215" s="107"/>
      <c r="X215" s="107"/>
    </row>
    <row r="216" ht="15.75" customHeight="1">
      <c r="D216" s="104"/>
      <c r="E216" s="104"/>
      <c r="F216" s="105"/>
      <c r="G216" s="105"/>
      <c r="H216" s="104"/>
      <c r="I216" s="104"/>
      <c r="J216" s="104"/>
      <c r="K216" s="106"/>
      <c r="L216" s="104"/>
      <c r="M216" s="107"/>
      <c r="N216" s="106"/>
      <c r="O216" s="104"/>
      <c r="P216" s="104"/>
      <c r="Q216" s="107"/>
      <c r="R216" s="107"/>
      <c r="S216" s="107"/>
      <c r="T216" s="107"/>
      <c r="U216" s="105"/>
      <c r="V216" s="107"/>
      <c r="W216" s="107"/>
      <c r="X216" s="107"/>
    </row>
    <row r="217" ht="15.75" customHeight="1">
      <c r="D217" s="104"/>
      <c r="E217" s="104"/>
      <c r="F217" s="105"/>
      <c r="G217" s="105"/>
      <c r="H217" s="104"/>
      <c r="I217" s="104"/>
      <c r="J217" s="104"/>
      <c r="K217" s="106"/>
      <c r="L217" s="104"/>
      <c r="M217" s="107"/>
      <c r="N217" s="106"/>
      <c r="O217" s="104"/>
      <c r="P217" s="104"/>
      <c r="Q217" s="107"/>
      <c r="R217" s="107"/>
      <c r="S217" s="107"/>
      <c r="T217" s="107"/>
      <c r="U217" s="105"/>
      <c r="V217" s="107"/>
      <c r="W217" s="107"/>
      <c r="X217" s="107"/>
    </row>
    <row r="218" ht="15.75" customHeight="1">
      <c r="D218" s="104"/>
      <c r="E218" s="104"/>
      <c r="F218" s="105"/>
      <c r="G218" s="105"/>
      <c r="H218" s="104"/>
      <c r="I218" s="104"/>
      <c r="J218" s="104"/>
      <c r="K218" s="106"/>
      <c r="L218" s="104"/>
      <c r="M218" s="107"/>
      <c r="N218" s="106"/>
      <c r="O218" s="104"/>
      <c r="P218" s="104"/>
      <c r="Q218" s="107"/>
      <c r="R218" s="107"/>
      <c r="S218" s="107"/>
      <c r="T218" s="107"/>
      <c r="U218" s="105"/>
      <c r="V218" s="107"/>
      <c r="W218" s="107"/>
      <c r="X218" s="107"/>
    </row>
    <row r="219" ht="15.75" customHeight="1">
      <c r="D219" s="104"/>
      <c r="E219" s="104"/>
      <c r="F219" s="105"/>
      <c r="G219" s="105"/>
      <c r="H219" s="104"/>
      <c r="I219" s="104"/>
      <c r="J219" s="104"/>
      <c r="K219" s="106"/>
      <c r="L219" s="104"/>
      <c r="M219" s="107"/>
      <c r="N219" s="106"/>
      <c r="O219" s="104"/>
      <c r="P219" s="104"/>
      <c r="Q219" s="107"/>
      <c r="R219" s="107"/>
      <c r="S219" s="107"/>
      <c r="T219" s="107"/>
      <c r="U219" s="105"/>
      <c r="V219" s="107"/>
      <c r="W219" s="107"/>
      <c r="X219" s="107"/>
    </row>
    <row r="220" ht="15.75" customHeight="1">
      <c r="D220" s="104"/>
      <c r="E220" s="104"/>
      <c r="F220" s="105"/>
      <c r="G220" s="105"/>
      <c r="H220" s="104"/>
      <c r="I220" s="104"/>
      <c r="J220" s="104"/>
      <c r="K220" s="106"/>
      <c r="L220" s="104"/>
      <c r="M220" s="107"/>
      <c r="N220" s="106"/>
      <c r="O220" s="104"/>
      <c r="P220" s="104"/>
      <c r="Q220" s="107"/>
      <c r="R220" s="107"/>
      <c r="S220" s="107"/>
      <c r="T220" s="107"/>
      <c r="U220" s="105"/>
      <c r="V220" s="107"/>
      <c r="W220" s="107"/>
      <c r="X220" s="107"/>
    </row>
    <row r="221" ht="15.75" customHeight="1">
      <c r="D221" s="104"/>
      <c r="E221" s="104"/>
      <c r="F221" s="105"/>
      <c r="G221" s="105"/>
      <c r="H221" s="104"/>
      <c r="I221" s="104"/>
      <c r="J221" s="104"/>
      <c r="K221" s="106"/>
      <c r="L221" s="104"/>
      <c r="M221" s="107"/>
      <c r="N221" s="106"/>
      <c r="O221" s="104"/>
      <c r="P221" s="104"/>
      <c r="Q221" s="107"/>
      <c r="R221" s="107"/>
      <c r="S221" s="107"/>
      <c r="T221" s="107"/>
      <c r="U221" s="105"/>
      <c r="V221" s="107"/>
      <c r="W221" s="107"/>
      <c r="X221" s="107"/>
    </row>
    <row r="222" ht="15.75" customHeight="1">
      <c r="D222" s="104"/>
      <c r="E222" s="104"/>
      <c r="F222" s="105"/>
      <c r="G222" s="105"/>
      <c r="H222" s="104"/>
      <c r="I222" s="104"/>
      <c r="J222" s="104"/>
      <c r="K222" s="106"/>
      <c r="L222" s="104"/>
      <c r="M222" s="107"/>
      <c r="N222" s="106"/>
      <c r="O222" s="104"/>
      <c r="P222" s="104"/>
      <c r="Q222" s="107"/>
      <c r="R222" s="107"/>
      <c r="S222" s="107"/>
      <c r="T222" s="107"/>
      <c r="U222" s="105"/>
      <c r="V222" s="107"/>
      <c r="W222" s="107"/>
      <c r="X222" s="107"/>
    </row>
    <row r="223" ht="15.75" customHeight="1">
      <c r="D223" s="104"/>
      <c r="E223" s="104"/>
      <c r="F223" s="105"/>
      <c r="G223" s="105"/>
      <c r="H223" s="104"/>
      <c r="I223" s="104"/>
      <c r="J223" s="104"/>
      <c r="K223" s="106"/>
      <c r="L223" s="104"/>
      <c r="M223" s="107"/>
      <c r="N223" s="106"/>
      <c r="O223" s="104"/>
      <c r="P223" s="104"/>
      <c r="Q223" s="107"/>
      <c r="R223" s="107"/>
      <c r="S223" s="107"/>
      <c r="T223" s="107"/>
      <c r="U223" s="105"/>
      <c r="V223" s="107"/>
      <c r="W223" s="107"/>
      <c r="X223" s="107"/>
    </row>
    <row r="224" ht="15.75" customHeight="1">
      <c r="D224" s="104"/>
      <c r="E224" s="104"/>
      <c r="F224" s="105"/>
      <c r="G224" s="105"/>
      <c r="H224" s="104"/>
      <c r="I224" s="104"/>
      <c r="J224" s="104"/>
      <c r="K224" s="106"/>
      <c r="L224" s="104"/>
      <c r="M224" s="107"/>
      <c r="N224" s="106"/>
      <c r="O224" s="104"/>
      <c r="P224" s="104"/>
      <c r="Q224" s="107"/>
      <c r="R224" s="107"/>
      <c r="S224" s="107"/>
      <c r="T224" s="107"/>
      <c r="U224" s="105"/>
      <c r="V224" s="107"/>
      <c r="W224" s="107"/>
      <c r="X224" s="107"/>
    </row>
    <row r="225" ht="15.75" customHeight="1">
      <c r="D225" s="104"/>
      <c r="E225" s="104"/>
      <c r="F225" s="105"/>
      <c r="G225" s="105"/>
      <c r="H225" s="104"/>
      <c r="I225" s="104"/>
      <c r="J225" s="104"/>
      <c r="K225" s="106"/>
      <c r="L225" s="104"/>
      <c r="M225" s="107"/>
      <c r="N225" s="106"/>
      <c r="O225" s="104"/>
      <c r="P225" s="104"/>
      <c r="Q225" s="107"/>
      <c r="R225" s="107"/>
      <c r="S225" s="107"/>
      <c r="T225" s="107"/>
      <c r="U225" s="105"/>
      <c r="V225" s="107"/>
      <c r="W225" s="107"/>
      <c r="X225" s="107"/>
    </row>
    <row r="226" ht="15.75" customHeight="1">
      <c r="D226" s="104"/>
      <c r="E226" s="104"/>
      <c r="F226" s="105"/>
      <c r="G226" s="105"/>
      <c r="H226" s="104"/>
      <c r="I226" s="104"/>
      <c r="J226" s="104"/>
      <c r="K226" s="106"/>
      <c r="L226" s="104"/>
      <c r="M226" s="107"/>
      <c r="N226" s="106"/>
      <c r="O226" s="104"/>
      <c r="P226" s="104"/>
      <c r="Q226" s="107"/>
      <c r="R226" s="107"/>
      <c r="S226" s="107"/>
      <c r="T226" s="107"/>
      <c r="U226" s="105"/>
      <c r="V226" s="107"/>
      <c r="W226" s="107"/>
      <c r="X226" s="107"/>
    </row>
    <row r="227" ht="15.75" customHeight="1">
      <c r="D227" s="104"/>
      <c r="E227" s="104"/>
      <c r="F227" s="105"/>
      <c r="G227" s="105"/>
      <c r="H227" s="104"/>
      <c r="I227" s="104"/>
      <c r="J227" s="104"/>
      <c r="K227" s="106"/>
      <c r="L227" s="104"/>
      <c r="M227" s="107"/>
      <c r="N227" s="106"/>
      <c r="O227" s="104"/>
      <c r="P227" s="104"/>
      <c r="Q227" s="107"/>
      <c r="R227" s="107"/>
      <c r="S227" s="107"/>
      <c r="T227" s="107"/>
      <c r="U227" s="105"/>
      <c r="V227" s="107"/>
      <c r="W227" s="107"/>
      <c r="X227" s="107"/>
    </row>
    <row r="228" ht="15.75" customHeight="1">
      <c r="D228" s="104"/>
      <c r="E228" s="104"/>
      <c r="F228" s="105"/>
      <c r="G228" s="105"/>
      <c r="H228" s="104"/>
      <c r="I228" s="104"/>
      <c r="J228" s="104"/>
      <c r="K228" s="106"/>
      <c r="L228" s="104"/>
      <c r="M228" s="107"/>
      <c r="N228" s="106"/>
      <c r="O228" s="104"/>
      <c r="P228" s="104"/>
      <c r="Q228" s="107"/>
      <c r="R228" s="107"/>
      <c r="S228" s="107"/>
      <c r="T228" s="107"/>
      <c r="U228" s="105"/>
      <c r="V228" s="107"/>
      <c r="W228" s="107"/>
      <c r="X228" s="107"/>
    </row>
    <row r="229" ht="15.75" customHeight="1">
      <c r="D229" s="104"/>
      <c r="E229" s="104"/>
      <c r="F229" s="105"/>
      <c r="G229" s="105"/>
      <c r="H229" s="104"/>
      <c r="I229" s="104"/>
      <c r="J229" s="104"/>
      <c r="K229" s="106"/>
      <c r="L229" s="104"/>
      <c r="M229" s="107"/>
      <c r="N229" s="106"/>
      <c r="O229" s="104"/>
      <c r="P229" s="104"/>
      <c r="Q229" s="107"/>
      <c r="R229" s="107"/>
      <c r="S229" s="107"/>
      <c r="T229" s="107"/>
      <c r="U229" s="105"/>
      <c r="V229" s="107"/>
      <c r="W229" s="107"/>
      <c r="X229" s="107"/>
    </row>
    <row r="230" ht="15.75" customHeight="1">
      <c r="D230" s="104"/>
      <c r="E230" s="104"/>
      <c r="F230" s="105"/>
      <c r="G230" s="105"/>
      <c r="H230" s="104"/>
      <c r="I230" s="104"/>
      <c r="J230" s="104"/>
      <c r="K230" s="106"/>
      <c r="L230" s="104"/>
      <c r="M230" s="107"/>
      <c r="N230" s="106"/>
      <c r="O230" s="104"/>
      <c r="P230" s="104"/>
      <c r="Q230" s="107"/>
      <c r="R230" s="107"/>
      <c r="S230" s="107"/>
      <c r="T230" s="107"/>
      <c r="U230" s="105"/>
      <c r="V230" s="107"/>
      <c r="W230" s="107"/>
      <c r="X230" s="107"/>
    </row>
    <row r="231" ht="15.75" customHeight="1">
      <c r="D231" s="104"/>
      <c r="E231" s="104"/>
      <c r="F231" s="105"/>
      <c r="G231" s="105"/>
      <c r="H231" s="104"/>
      <c r="I231" s="104"/>
      <c r="J231" s="104"/>
      <c r="K231" s="106"/>
      <c r="L231" s="104"/>
      <c r="M231" s="107"/>
      <c r="N231" s="106"/>
      <c r="O231" s="104"/>
      <c r="P231" s="104"/>
      <c r="Q231" s="107"/>
      <c r="R231" s="107"/>
      <c r="S231" s="107"/>
      <c r="T231" s="107"/>
      <c r="U231" s="105"/>
      <c r="V231" s="107"/>
      <c r="W231" s="107"/>
      <c r="X231" s="107"/>
    </row>
    <row r="232" ht="15.75" customHeight="1">
      <c r="D232" s="104"/>
      <c r="E232" s="104"/>
      <c r="F232" s="105"/>
      <c r="G232" s="105"/>
      <c r="H232" s="104"/>
      <c r="I232" s="104"/>
      <c r="J232" s="104"/>
      <c r="K232" s="106"/>
      <c r="L232" s="104"/>
      <c r="M232" s="107"/>
      <c r="N232" s="106"/>
      <c r="O232" s="104"/>
      <c r="P232" s="104"/>
      <c r="Q232" s="107"/>
      <c r="R232" s="107"/>
      <c r="S232" s="107"/>
      <c r="T232" s="107"/>
      <c r="U232" s="105"/>
      <c r="V232" s="107"/>
      <c r="W232" s="107"/>
      <c r="X232" s="107"/>
    </row>
    <row r="233" ht="15.75" customHeight="1">
      <c r="D233" s="104"/>
      <c r="E233" s="104"/>
      <c r="F233" s="105"/>
      <c r="G233" s="105"/>
      <c r="H233" s="104"/>
      <c r="I233" s="104"/>
      <c r="J233" s="104"/>
      <c r="K233" s="106"/>
      <c r="L233" s="104"/>
      <c r="M233" s="107"/>
      <c r="N233" s="106"/>
      <c r="O233" s="104"/>
      <c r="P233" s="104"/>
      <c r="Q233" s="107"/>
      <c r="R233" s="107"/>
      <c r="S233" s="107"/>
      <c r="T233" s="107"/>
      <c r="U233" s="105"/>
      <c r="V233" s="107"/>
      <c r="W233" s="107"/>
      <c r="X233" s="107"/>
    </row>
    <row r="234" ht="15.75" customHeight="1">
      <c r="D234" s="104"/>
      <c r="E234" s="104"/>
      <c r="F234" s="105"/>
      <c r="G234" s="105"/>
      <c r="H234" s="104"/>
      <c r="I234" s="104"/>
      <c r="J234" s="104"/>
      <c r="K234" s="106"/>
      <c r="L234" s="104"/>
      <c r="M234" s="107"/>
      <c r="N234" s="106"/>
      <c r="O234" s="104"/>
      <c r="P234" s="104"/>
      <c r="Q234" s="107"/>
      <c r="R234" s="107"/>
      <c r="S234" s="107"/>
      <c r="T234" s="107"/>
      <c r="U234" s="105"/>
      <c r="V234" s="107"/>
      <c r="W234" s="107"/>
      <c r="X234" s="107"/>
    </row>
    <row r="235" ht="15.75" customHeight="1">
      <c r="D235" s="104"/>
      <c r="E235" s="104"/>
      <c r="F235" s="105"/>
      <c r="G235" s="105"/>
      <c r="H235" s="104"/>
      <c r="I235" s="104"/>
      <c r="J235" s="104"/>
      <c r="K235" s="106"/>
      <c r="L235" s="104"/>
      <c r="M235" s="107"/>
      <c r="N235" s="106"/>
      <c r="O235" s="104"/>
      <c r="P235" s="104"/>
      <c r="Q235" s="107"/>
      <c r="R235" s="107"/>
      <c r="S235" s="107"/>
      <c r="T235" s="107"/>
      <c r="U235" s="105"/>
      <c r="V235" s="107"/>
      <c r="W235" s="107"/>
      <c r="X235" s="107"/>
    </row>
    <row r="236" ht="15.75" customHeight="1">
      <c r="D236" s="104"/>
      <c r="E236" s="104"/>
      <c r="F236" s="105"/>
      <c r="G236" s="105"/>
      <c r="H236" s="104"/>
      <c r="I236" s="104"/>
      <c r="J236" s="104"/>
      <c r="K236" s="106"/>
      <c r="L236" s="104"/>
      <c r="M236" s="107"/>
      <c r="N236" s="106"/>
      <c r="O236" s="104"/>
      <c r="P236" s="104"/>
      <c r="Q236" s="107"/>
      <c r="R236" s="107"/>
      <c r="S236" s="107"/>
      <c r="T236" s="107"/>
      <c r="U236" s="105"/>
      <c r="V236" s="107"/>
      <c r="W236" s="107"/>
      <c r="X236" s="107"/>
    </row>
    <row r="237" ht="15.75" customHeight="1">
      <c r="D237" s="104"/>
      <c r="E237" s="104"/>
      <c r="F237" s="105"/>
      <c r="G237" s="105"/>
      <c r="H237" s="104"/>
      <c r="I237" s="104"/>
      <c r="J237" s="104"/>
      <c r="K237" s="106"/>
      <c r="L237" s="104"/>
      <c r="M237" s="107"/>
      <c r="N237" s="106"/>
      <c r="O237" s="104"/>
      <c r="P237" s="104"/>
      <c r="Q237" s="107"/>
      <c r="R237" s="107"/>
      <c r="S237" s="107"/>
      <c r="T237" s="107"/>
      <c r="U237" s="105"/>
      <c r="V237" s="107"/>
      <c r="W237" s="107"/>
      <c r="X237" s="107"/>
    </row>
    <row r="238" ht="15.75" customHeight="1">
      <c r="D238" s="104"/>
      <c r="E238" s="104"/>
      <c r="F238" s="105"/>
      <c r="G238" s="105"/>
      <c r="H238" s="104"/>
      <c r="I238" s="104"/>
      <c r="J238" s="104"/>
      <c r="K238" s="106"/>
      <c r="L238" s="104"/>
      <c r="M238" s="107"/>
      <c r="N238" s="106"/>
      <c r="O238" s="104"/>
      <c r="P238" s="104"/>
      <c r="Q238" s="107"/>
      <c r="R238" s="107"/>
      <c r="S238" s="107"/>
      <c r="T238" s="107"/>
      <c r="U238" s="105"/>
      <c r="V238" s="107"/>
      <c r="W238" s="107"/>
      <c r="X238" s="107"/>
    </row>
    <row r="239" ht="15.75" customHeight="1">
      <c r="D239" s="104"/>
      <c r="E239" s="104"/>
      <c r="F239" s="105"/>
      <c r="G239" s="105"/>
      <c r="H239" s="104"/>
      <c r="I239" s="104"/>
      <c r="J239" s="104"/>
      <c r="K239" s="106"/>
      <c r="L239" s="104"/>
      <c r="M239" s="107"/>
      <c r="N239" s="106"/>
      <c r="O239" s="104"/>
      <c r="P239" s="104"/>
      <c r="Q239" s="107"/>
      <c r="R239" s="107"/>
      <c r="S239" s="107"/>
      <c r="T239" s="107"/>
      <c r="U239" s="105"/>
      <c r="V239" s="107"/>
      <c r="W239" s="107"/>
      <c r="X239" s="107"/>
    </row>
    <row r="240" ht="15.75" customHeight="1">
      <c r="D240" s="104"/>
      <c r="E240" s="104"/>
      <c r="F240" s="105"/>
      <c r="G240" s="105"/>
      <c r="H240" s="104"/>
      <c r="I240" s="104"/>
      <c r="J240" s="104"/>
      <c r="K240" s="106"/>
      <c r="L240" s="104"/>
      <c r="M240" s="107"/>
      <c r="N240" s="106"/>
      <c r="O240" s="104"/>
      <c r="P240" s="104"/>
      <c r="Q240" s="107"/>
      <c r="R240" s="107"/>
      <c r="S240" s="107"/>
      <c r="T240" s="107"/>
      <c r="U240" s="105"/>
      <c r="V240" s="107"/>
      <c r="W240" s="107"/>
      <c r="X240" s="107"/>
    </row>
    <row r="241" ht="15.75" customHeight="1">
      <c r="D241" s="104"/>
      <c r="E241" s="104"/>
      <c r="F241" s="105"/>
      <c r="G241" s="105"/>
      <c r="H241" s="104"/>
      <c r="I241" s="104"/>
      <c r="J241" s="104"/>
      <c r="K241" s="106"/>
      <c r="L241" s="104"/>
      <c r="M241" s="107"/>
      <c r="N241" s="106"/>
      <c r="O241" s="104"/>
      <c r="P241" s="104"/>
      <c r="Q241" s="107"/>
      <c r="R241" s="107"/>
      <c r="S241" s="107"/>
      <c r="T241" s="107"/>
      <c r="U241" s="105"/>
      <c r="V241" s="107"/>
      <c r="W241" s="107"/>
      <c r="X241" s="107"/>
    </row>
    <row r="242" ht="15.75" customHeight="1">
      <c r="D242" s="104"/>
      <c r="E242" s="104"/>
      <c r="F242" s="105"/>
      <c r="G242" s="105"/>
      <c r="H242" s="104"/>
      <c r="I242" s="104"/>
      <c r="J242" s="104"/>
      <c r="K242" s="106"/>
      <c r="L242" s="104"/>
      <c r="M242" s="107"/>
      <c r="N242" s="106"/>
      <c r="O242" s="104"/>
      <c r="P242" s="104"/>
      <c r="Q242" s="107"/>
      <c r="R242" s="107"/>
      <c r="S242" s="107"/>
      <c r="T242" s="107"/>
      <c r="U242" s="105"/>
      <c r="V242" s="107"/>
      <c r="W242" s="107"/>
      <c r="X242" s="107"/>
    </row>
    <row r="243" ht="15.75" customHeight="1">
      <c r="D243" s="104"/>
      <c r="E243" s="104"/>
      <c r="F243" s="105"/>
      <c r="G243" s="105"/>
      <c r="H243" s="104"/>
      <c r="I243" s="104"/>
      <c r="J243" s="104"/>
      <c r="K243" s="106"/>
      <c r="L243" s="104"/>
      <c r="M243" s="107"/>
      <c r="N243" s="106"/>
      <c r="O243" s="104"/>
      <c r="P243" s="104"/>
      <c r="Q243" s="107"/>
      <c r="R243" s="107"/>
      <c r="S243" s="107"/>
      <c r="T243" s="107"/>
      <c r="U243" s="105"/>
      <c r="V243" s="107"/>
      <c r="W243" s="107"/>
      <c r="X243" s="107"/>
    </row>
    <row r="244" ht="15.75" customHeight="1">
      <c r="D244" s="104"/>
      <c r="E244" s="104"/>
      <c r="F244" s="105"/>
      <c r="G244" s="105"/>
      <c r="H244" s="104"/>
      <c r="I244" s="104"/>
      <c r="J244" s="104"/>
      <c r="K244" s="106"/>
      <c r="L244" s="104"/>
      <c r="M244" s="107"/>
      <c r="N244" s="106"/>
      <c r="O244" s="104"/>
      <c r="P244" s="104"/>
      <c r="Q244" s="107"/>
      <c r="R244" s="107"/>
      <c r="S244" s="107"/>
      <c r="T244" s="107"/>
      <c r="U244" s="105"/>
      <c r="V244" s="107"/>
      <c r="W244" s="107"/>
      <c r="X244" s="107"/>
    </row>
    <row r="245" ht="15.75" customHeight="1">
      <c r="D245" s="104"/>
      <c r="E245" s="104"/>
      <c r="F245" s="105"/>
      <c r="G245" s="105"/>
      <c r="H245" s="104"/>
      <c r="I245" s="104"/>
      <c r="J245" s="104"/>
      <c r="K245" s="106"/>
      <c r="L245" s="104"/>
      <c r="M245" s="107"/>
      <c r="N245" s="106"/>
      <c r="O245" s="104"/>
      <c r="P245" s="104"/>
      <c r="Q245" s="107"/>
      <c r="R245" s="107"/>
      <c r="S245" s="107"/>
      <c r="T245" s="107"/>
      <c r="U245" s="105"/>
      <c r="V245" s="107"/>
      <c r="W245" s="107"/>
      <c r="X245" s="107"/>
    </row>
    <row r="246" ht="15.75" customHeight="1">
      <c r="D246" s="104"/>
      <c r="E246" s="104"/>
      <c r="F246" s="105"/>
      <c r="G246" s="105"/>
      <c r="H246" s="104"/>
      <c r="I246" s="104"/>
      <c r="J246" s="104"/>
      <c r="K246" s="106"/>
      <c r="L246" s="104"/>
      <c r="M246" s="107"/>
      <c r="N246" s="106"/>
      <c r="O246" s="104"/>
      <c r="P246" s="104"/>
      <c r="Q246" s="107"/>
      <c r="R246" s="107"/>
      <c r="S246" s="107"/>
      <c r="T246" s="107"/>
      <c r="U246" s="105"/>
      <c r="V246" s="107"/>
      <c r="W246" s="107"/>
      <c r="X246" s="107"/>
    </row>
    <row r="247" ht="15.75" customHeight="1">
      <c r="D247" s="104"/>
      <c r="E247" s="104"/>
      <c r="F247" s="105"/>
      <c r="G247" s="105"/>
      <c r="H247" s="104"/>
      <c r="I247" s="104"/>
      <c r="J247" s="104"/>
      <c r="K247" s="106"/>
      <c r="L247" s="104"/>
      <c r="M247" s="107"/>
      <c r="N247" s="106"/>
      <c r="O247" s="104"/>
      <c r="P247" s="104"/>
      <c r="Q247" s="107"/>
      <c r="R247" s="107"/>
      <c r="S247" s="107"/>
      <c r="T247" s="107"/>
      <c r="U247" s="105"/>
      <c r="V247" s="107"/>
      <c r="W247" s="107"/>
      <c r="X247" s="107"/>
    </row>
    <row r="248" ht="15.75" customHeight="1">
      <c r="D248" s="104"/>
      <c r="E248" s="104"/>
      <c r="F248" s="105"/>
      <c r="G248" s="105"/>
      <c r="H248" s="104"/>
      <c r="I248" s="104"/>
      <c r="J248" s="104"/>
      <c r="K248" s="106"/>
      <c r="L248" s="104"/>
      <c r="M248" s="107"/>
      <c r="N248" s="106"/>
      <c r="O248" s="104"/>
      <c r="P248" s="104"/>
      <c r="Q248" s="107"/>
      <c r="R248" s="107"/>
      <c r="S248" s="107"/>
      <c r="T248" s="107"/>
      <c r="U248" s="105"/>
      <c r="V248" s="107"/>
      <c r="W248" s="107"/>
      <c r="X248" s="107"/>
    </row>
    <row r="249" ht="15.75" customHeight="1">
      <c r="D249" s="104"/>
      <c r="E249" s="104"/>
      <c r="F249" s="105"/>
      <c r="G249" s="105"/>
      <c r="H249" s="104"/>
      <c r="I249" s="104"/>
      <c r="J249" s="104"/>
      <c r="K249" s="106"/>
      <c r="L249" s="104"/>
      <c r="M249" s="107"/>
      <c r="N249" s="106"/>
      <c r="O249" s="104"/>
      <c r="P249" s="104"/>
      <c r="Q249" s="107"/>
      <c r="R249" s="107"/>
      <c r="S249" s="107"/>
      <c r="T249" s="107"/>
      <c r="U249" s="105"/>
      <c r="V249" s="107"/>
      <c r="W249" s="107"/>
      <c r="X249" s="107"/>
    </row>
    <row r="250" ht="15.75" customHeight="1">
      <c r="D250" s="104"/>
      <c r="E250" s="104"/>
      <c r="F250" s="105"/>
      <c r="G250" s="105"/>
      <c r="H250" s="104"/>
      <c r="I250" s="104"/>
      <c r="J250" s="104"/>
      <c r="K250" s="106"/>
      <c r="L250" s="104"/>
      <c r="M250" s="107"/>
      <c r="N250" s="106"/>
      <c r="O250" s="104"/>
      <c r="P250" s="104"/>
      <c r="Q250" s="107"/>
      <c r="R250" s="107"/>
      <c r="S250" s="107"/>
      <c r="T250" s="107"/>
      <c r="U250" s="105"/>
      <c r="V250" s="107"/>
      <c r="W250" s="107"/>
      <c r="X250" s="107"/>
    </row>
    <row r="251" ht="15.75" customHeight="1">
      <c r="D251" s="104"/>
      <c r="E251" s="104"/>
      <c r="F251" s="105"/>
      <c r="G251" s="105"/>
      <c r="H251" s="104"/>
      <c r="I251" s="104"/>
      <c r="J251" s="104"/>
      <c r="K251" s="106"/>
      <c r="L251" s="104"/>
      <c r="M251" s="107"/>
      <c r="N251" s="106"/>
      <c r="O251" s="104"/>
      <c r="P251" s="104"/>
      <c r="Q251" s="107"/>
      <c r="R251" s="107"/>
      <c r="S251" s="107"/>
      <c r="T251" s="107"/>
      <c r="U251" s="105"/>
      <c r="V251" s="107"/>
      <c r="W251" s="107"/>
      <c r="X251" s="107"/>
    </row>
    <row r="252" ht="15.75" customHeight="1">
      <c r="D252" s="104"/>
      <c r="E252" s="104"/>
      <c r="F252" s="105"/>
      <c r="G252" s="105"/>
      <c r="H252" s="104"/>
      <c r="I252" s="104"/>
      <c r="J252" s="104"/>
      <c r="K252" s="106"/>
      <c r="L252" s="104"/>
      <c r="M252" s="107"/>
      <c r="N252" s="106"/>
      <c r="O252" s="104"/>
      <c r="P252" s="104"/>
      <c r="Q252" s="107"/>
      <c r="R252" s="107"/>
      <c r="S252" s="107"/>
      <c r="T252" s="107"/>
      <c r="U252" s="105"/>
      <c r="V252" s="107"/>
      <c r="W252" s="107"/>
      <c r="X252" s="107"/>
    </row>
    <row r="253" ht="15.75" customHeight="1">
      <c r="D253" s="104"/>
      <c r="E253" s="104"/>
      <c r="F253" s="105"/>
      <c r="G253" s="105"/>
      <c r="H253" s="104"/>
      <c r="I253" s="104"/>
      <c r="J253" s="104"/>
      <c r="K253" s="106"/>
      <c r="L253" s="104"/>
      <c r="M253" s="107"/>
      <c r="N253" s="106"/>
      <c r="O253" s="104"/>
      <c r="P253" s="104"/>
      <c r="Q253" s="107"/>
      <c r="R253" s="107"/>
      <c r="S253" s="107"/>
      <c r="T253" s="107"/>
      <c r="U253" s="105"/>
      <c r="V253" s="107"/>
      <c r="W253" s="107"/>
      <c r="X253" s="107"/>
    </row>
    <row r="254" ht="15.75" customHeight="1">
      <c r="D254" s="104"/>
      <c r="E254" s="104"/>
      <c r="F254" s="105"/>
      <c r="G254" s="105"/>
      <c r="H254" s="104"/>
      <c r="I254" s="104"/>
      <c r="J254" s="104"/>
      <c r="K254" s="106"/>
      <c r="L254" s="104"/>
      <c r="M254" s="107"/>
      <c r="N254" s="106"/>
      <c r="O254" s="104"/>
      <c r="P254" s="104"/>
      <c r="Q254" s="107"/>
      <c r="R254" s="107"/>
      <c r="S254" s="107"/>
      <c r="T254" s="107"/>
      <c r="U254" s="105"/>
      <c r="V254" s="107"/>
      <c r="W254" s="107"/>
      <c r="X254" s="107"/>
    </row>
    <row r="255" ht="15.75" customHeight="1">
      <c r="D255" s="104"/>
      <c r="E255" s="104"/>
      <c r="F255" s="105"/>
      <c r="G255" s="105"/>
      <c r="H255" s="104"/>
      <c r="I255" s="104"/>
      <c r="J255" s="104"/>
      <c r="K255" s="106"/>
      <c r="L255" s="104"/>
      <c r="M255" s="107"/>
      <c r="N255" s="106"/>
      <c r="O255" s="104"/>
      <c r="P255" s="104"/>
      <c r="Q255" s="107"/>
      <c r="R255" s="107"/>
      <c r="S255" s="107"/>
      <c r="T255" s="107"/>
      <c r="U255" s="105"/>
      <c r="V255" s="107"/>
      <c r="W255" s="107"/>
      <c r="X255" s="107"/>
    </row>
    <row r="256" ht="15.75" customHeight="1">
      <c r="D256" s="104"/>
      <c r="E256" s="104"/>
      <c r="F256" s="105"/>
      <c r="G256" s="105"/>
      <c r="H256" s="104"/>
      <c r="I256" s="104"/>
      <c r="J256" s="104"/>
      <c r="K256" s="106"/>
      <c r="L256" s="104"/>
      <c r="M256" s="107"/>
      <c r="N256" s="106"/>
      <c r="O256" s="104"/>
      <c r="P256" s="104"/>
      <c r="Q256" s="107"/>
      <c r="R256" s="107"/>
      <c r="S256" s="107"/>
      <c r="T256" s="107"/>
      <c r="U256" s="105"/>
      <c r="V256" s="107"/>
      <c r="W256" s="107"/>
      <c r="X256" s="107"/>
    </row>
    <row r="257" ht="15.75" customHeight="1">
      <c r="D257" s="104"/>
      <c r="E257" s="104"/>
      <c r="F257" s="105"/>
      <c r="G257" s="105"/>
      <c r="H257" s="104"/>
      <c r="I257" s="104"/>
      <c r="J257" s="104"/>
      <c r="K257" s="106"/>
      <c r="L257" s="104"/>
      <c r="M257" s="107"/>
      <c r="N257" s="106"/>
      <c r="O257" s="104"/>
      <c r="P257" s="104"/>
      <c r="Q257" s="107"/>
      <c r="R257" s="107"/>
      <c r="S257" s="107"/>
      <c r="T257" s="107"/>
      <c r="U257" s="105"/>
      <c r="V257" s="107"/>
      <c r="W257" s="107"/>
      <c r="X257" s="107"/>
    </row>
    <row r="258" ht="15.75" customHeight="1">
      <c r="D258" s="104"/>
      <c r="E258" s="104"/>
      <c r="F258" s="105"/>
      <c r="G258" s="105"/>
      <c r="H258" s="104"/>
      <c r="I258" s="104"/>
      <c r="J258" s="104"/>
      <c r="K258" s="106"/>
      <c r="L258" s="104"/>
      <c r="M258" s="107"/>
      <c r="N258" s="106"/>
      <c r="O258" s="104"/>
      <c r="P258" s="104"/>
      <c r="Q258" s="107"/>
      <c r="R258" s="107"/>
      <c r="S258" s="107"/>
      <c r="T258" s="107"/>
      <c r="U258" s="105"/>
      <c r="V258" s="107"/>
      <c r="W258" s="107"/>
      <c r="X258" s="107"/>
    </row>
    <row r="259" ht="15.75" customHeight="1">
      <c r="D259" s="104"/>
      <c r="E259" s="104"/>
      <c r="F259" s="105"/>
      <c r="G259" s="105"/>
      <c r="H259" s="104"/>
      <c r="I259" s="104"/>
      <c r="J259" s="104"/>
      <c r="K259" s="106"/>
      <c r="L259" s="104"/>
      <c r="M259" s="107"/>
      <c r="N259" s="106"/>
      <c r="O259" s="104"/>
      <c r="P259" s="104"/>
      <c r="Q259" s="107"/>
      <c r="R259" s="107"/>
      <c r="S259" s="107"/>
      <c r="T259" s="107"/>
      <c r="U259" s="105"/>
      <c r="V259" s="107"/>
      <c r="W259" s="107"/>
      <c r="X259" s="107"/>
    </row>
    <row r="260" ht="15.75" customHeight="1">
      <c r="D260" s="104"/>
      <c r="E260" s="104"/>
      <c r="F260" s="105"/>
      <c r="G260" s="105"/>
      <c r="H260" s="104"/>
      <c r="I260" s="104"/>
      <c r="J260" s="104"/>
      <c r="K260" s="106"/>
      <c r="L260" s="104"/>
      <c r="M260" s="107"/>
      <c r="N260" s="106"/>
      <c r="O260" s="104"/>
      <c r="P260" s="104"/>
      <c r="Q260" s="107"/>
      <c r="R260" s="107"/>
      <c r="S260" s="107"/>
      <c r="T260" s="107"/>
      <c r="U260" s="105"/>
      <c r="V260" s="107"/>
      <c r="W260" s="107"/>
      <c r="X260" s="107"/>
    </row>
    <row r="261" ht="15.75" customHeight="1">
      <c r="D261" s="104"/>
      <c r="E261" s="104"/>
      <c r="F261" s="105"/>
      <c r="G261" s="105"/>
      <c r="H261" s="104"/>
      <c r="I261" s="104"/>
      <c r="J261" s="104"/>
      <c r="K261" s="106"/>
      <c r="L261" s="104"/>
      <c r="M261" s="107"/>
      <c r="N261" s="106"/>
      <c r="O261" s="104"/>
      <c r="P261" s="104"/>
      <c r="Q261" s="107"/>
      <c r="R261" s="107"/>
      <c r="S261" s="107"/>
      <c r="T261" s="107"/>
      <c r="U261" s="105"/>
      <c r="V261" s="107"/>
      <c r="W261" s="107"/>
      <c r="X261" s="107"/>
    </row>
    <row r="262" ht="15.75" customHeight="1">
      <c r="D262" s="104"/>
      <c r="E262" s="104"/>
      <c r="F262" s="105"/>
      <c r="G262" s="105"/>
      <c r="H262" s="104"/>
      <c r="I262" s="104"/>
      <c r="J262" s="104"/>
      <c r="K262" s="106"/>
      <c r="L262" s="104"/>
      <c r="M262" s="107"/>
      <c r="N262" s="106"/>
      <c r="O262" s="104"/>
      <c r="P262" s="104"/>
      <c r="Q262" s="107"/>
      <c r="R262" s="107"/>
      <c r="S262" s="107"/>
      <c r="T262" s="107"/>
      <c r="U262" s="105"/>
      <c r="V262" s="107"/>
      <c r="W262" s="107"/>
      <c r="X262" s="107"/>
    </row>
    <row r="263" ht="15.75" customHeight="1">
      <c r="D263" s="104"/>
      <c r="E263" s="104"/>
      <c r="F263" s="105"/>
      <c r="G263" s="105"/>
      <c r="H263" s="104"/>
      <c r="I263" s="104"/>
      <c r="J263" s="104"/>
      <c r="K263" s="106"/>
      <c r="L263" s="104"/>
      <c r="M263" s="107"/>
      <c r="N263" s="106"/>
      <c r="O263" s="104"/>
      <c r="P263" s="104"/>
      <c r="Q263" s="107"/>
      <c r="R263" s="107"/>
      <c r="S263" s="107"/>
      <c r="T263" s="107"/>
      <c r="U263" s="105"/>
      <c r="V263" s="107"/>
      <c r="W263" s="107"/>
      <c r="X263" s="107"/>
    </row>
    <row r="264" ht="15.75" customHeight="1">
      <c r="D264" s="104"/>
      <c r="E264" s="104"/>
      <c r="F264" s="105"/>
      <c r="G264" s="105"/>
      <c r="H264" s="104"/>
      <c r="I264" s="104"/>
      <c r="J264" s="104"/>
      <c r="K264" s="106"/>
      <c r="L264" s="104"/>
      <c r="M264" s="107"/>
      <c r="N264" s="106"/>
      <c r="O264" s="104"/>
      <c r="P264" s="104"/>
      <c r="Q264" s="107"/>
      <c r="R264" s="107"/>
      <c r="S264" s="107"/>
      <c r="T264" s="107"/>
      <c r="U264" s="105"/>
      <c r="V264" s="107"/>
      <c r="W264" s="107"/>
      <c r="X264" s="107"/>
    </row>
    <row r="265" ht="15.75" customHeight="1">
      <c r="D265" s="104"/>
      <c r="E265" s="104"/>
      <c r="F265" s="105"/>
      <c r="G265" s="105"/>
      <c r="H265" s="104"/>
      <c r="I265" s="104"/>
      <c r="J265" s="104"/>
      <c r="K265" s="106"/>
      <c r="L265" s="104"/>
      <c r="M265" s="107"/>
      <c r="N265" s="106"/>
      <c r="O265" s="104"/>
      <c r="P265" s="104"/>
      <c r="Q265" s="107"/>
      <c r="R265" s="107"/>
      <c r="S265" s="107"/>
      <c r="T265" s="107"/>
      <c r="U265" s="105"/>
      <c r="V265" s="107"/>
      <c r="W265" s="107"/>
      <c r="X265" s="107"/>
    </row>
    <row r="266" ht="15.75" customHeight="1">
      <c r="D266" s="104"/>
      <c r="E266" s="104"/>
      <c r="F266" s="105"/>
      <c r="G266" s="105"/>
      <c r="H266" s="104"/>
      <c r="I266" s="104"/>
      <c r="J266" s="104"/>
      <c r="K266" s="106"/>
      <c r="L266" s="104"/>
      <c r="M266" s="107"/>
      <c r="N266" s="106"/>
      <c r="O266" s="104"/>
      <c r="P266" s="104"/>
      <c r="Q266" s="107"/>
      <c r="R266" s="107"/>
      <c r="S266" s="107"/>
      <c r="T266" s="107"/>
      <c r="U266" s="105"/>
      <c r="V266" s="107"/>
      <c r="W266" s="107"/>
      <c r="X266" s="107"/>
    </row>
    <row r="267" ht="15.75" customHeight="1">
      <c r="D267" s="104"/>
      <c r="E267" s="104"/>
      <c r="F267" s="105"/>
      <c r="G267" s="105"/>
      <c r="H267" s="104"/>
      <c r="I267" s="104"/>
      <c r="J267" s="104"/>
      <c r="K267" s="106"/>
      <c r="L267" s="104"/>
      <c r="M267" s="107"/>
      <c r="N267" s="106"/>
      <c r="O267" s="104"/>
      <c r="P267" s="104"/>
      <c r="Q267" s="107"/>
      <c r="R267" s="107"/>
      <c r="S267" s="107"/>
      <c r="T267" s="107"/>
      <c r="U267" s="105"/>
      <c r="V267" s="107"/>
      <c r="W267" s="107"/>
      <c r="X267" s="107"/>
    </row>
    <row r="268" ht="15.75" customHeight="1">
      <c r="D268" s="104"/>
      <c r="E268" s="104"/>
      <c r="F268" s="105"/>
      <c r="G268" s="105"/>
      <c r="H268" s="104"/>
      <c r="I268" s="104"/>
      <c r="J268" s="104"/>
      <c r="K268" s="106"/>
      <c r="L268" s="104"/>
      <c r="M268" s="107"/>
      <c r="N268" s="106"/>
      <c r="O268" s="104"/>
      <c r="P268" s="104"/>
      <c r="Q268" s="107"/>
      <c r="R268" s="107"/>
      <c r="S268" s="107"/>
      <c r="T268" s="107"/>
      <c r="U268" s="105"/>
      <c r="V268" s="107"/>
      <c r="W268" s="107"/>
      <c r="X268" s="107"/>
    </row>
    <row r="269" ht="15.75" customHeight="1">
      <c r="D269" s="104"/>
      <c r="E269" s="104"/>
      <c r="F269" s="105"/>
      <c r="G269" s="105"/>
      <c r="H269" s="104"/>
      <c r="I269" s="104"/>
      <c r="J269" s="104"/>
      <c r="K269" s="106"/>
      <c r="L269" s="104"/>
      <c r="M269" s="107"/>
      <c r="N269" s="106"/>
      <c r="O269" s="104"/>
      <c r="P269" s="104"/>
      <c r="Q269" s="107"/>
      <c r="R269" s="107"/>
      <c r="S269" s="107"/>
      <c r="T269" s="107"/>
      <c r="U269" s="105"/>
      <c r="V269" s="107"/>
      <c r="W269" s="107"/>
      <c r="X269" s="107"/>
    </row>
    <row r="270" ht="15.75" customHeight="1">
      <c r="D270" s="104"/>
      <c r="E270" s="104"/>
      <c r="F270" s="105"/>
      <c r="G270" s="105"/>
      <c r="H270" s="104"/>
      <c r="I270" s="104"/>
      <c r="J270" s="104"/>
      <c r="K270" s="106"/>
      <c r="L270" s="104"/>
      <c r="M270" s="107"/>
      <c r="N270" s="106"/>
      <c r="O270" s="104"/>
      <c r="P270" s="104"/>
      <c r="Q270" s="107"/>
      <c r="R270" s="107"/>
      <c r="S270" s="107"/>
      <c r="T270" s="107"/>
      <c r="U270" s="105"/>
      <c r="V270" s="107"/>
      <c r="W270" s="107"/>
      <c r="X270" s="107"/>
    </row>
    <row r="271" ht="15.75" customHeight="1">
      <c r="D271" s="104"/>
      <c r="E271" s="104"/>
      <c r="F271" s="105"/>
      <c r="G271" s="105"/>
      <c r="H271" s="104"/>
      <c r="I271" s="104"/>
      <c r="J271" s="104"/>
      <c r="K271" s="106"/>
      <c r="L271" s="104"/>
      <c r="M271" s="107"/>
      <c r="N271" s="106"/>
      <c r="O271" s="104"/>
      <c r="P271" s="104"/>
      <c r="Q271" s="107"/>
      <c r="R271" s="107"/>
      <c r="S271" s="107"/>
      <c r="T271" s="107"/>
      <c r="U271" s="105"/>
      <c r="V271" s="107"/>
      <c r="W271" s="107"/>
      <c r="X271" s="107"/>
    </row>
    <row r="272" ht="15.75" customHeight="1">
      <c r="D272" s="104"/>
      <c r="E272" s="104"/>
      <c r="F272" s="105"/>
      <c r="G272" s="105"/>
      <c r="H272" s="104"/>
      <c r="I272" s="104"/>
      <c r="J272" s="104"/>
      <c r="K272" s="106"/>
      <c r="L272" s="104"/>
      <c r="M272" s="107"/>
      <c r="N272" s="106"/>
      <c r="O272" s="104"/>
      <c r="P272" s="104"/>
      <c r="Q272" s="107"/>
      <c r="R272" s="107"/>
      <c r="S272" s="107"/>
      <c r="T272" s="107"/>
      <c r="U272" s="105"/>
      <c r="V272" s="107"/>
      <c r="W272" s="107"/>
      <c r="X272" s="107"/>
    </row>
    <row r="273" ht="15.75" customHeight="1">
      <c r="D273" s="104"/>
      <c r="E273" s="104"/>
      <c r="F273" s="105"/>
      <c r="G273" s="105"/>
      <c r="H273" s="104"/>
      <c r="I273" s="104"/>
      <c r="J273" s="104"/>
      <c r="K273" s="106"/>
      <c r="L273" s="104"/>
      <c r="M273" s="107"/>
      <c r="N273" s="106"/>
      <c r="O273" s="104"/>
      <c r="P273" s="104"/>
      <c r="Q273" s="107"/>
      <c r="R273" s="107"/>
      <c r="S273" s="107"/>
      <c r="T273" s="107"/>
      <c r="U273" s="105"/>
      <c r="V273" s="107"/>
      <c r="W273" s="107"/>
      <c r="X273" s="107"/>
    </row>
    <row r="274" ht="15.75" customHeight="1">
      <c r="D274" s="104"/>
      <c r="E274" s="104"/>
      <c r="F274" s="105"/>
      <c r="G274" s="105"/>
      <c r="H274" s="104"/>
      <c r="I274" s="104"/>
      <c r="J274" s="104"/>
      <c r="K274" s="106"/>
      <c r="L274" s="104"/>
      <c r="M274" s="107"/>
      <c r="N274" s="106"/>
      <c r="O274" s="104"/>
      <c r="P274" s="104"/>
      <c r="Q274" s="107"/>
      <c r="R274" s="107"/>
      <c r="S274" s="107"/>
      <c r="T274" s="107"/>
      <c r="U274" s="105"/>
      <c r="V274" s="107"/>
      <c r="W274" s="107"/>
      <c r="X274" s="107"/>
    </row>
    <row r="275" ht="15.75" customHeight="1">
      <c r="D275" s="104"/>
      <c r="E275" s="104"/>
      <c r="F275" s="105"/>
      <c r="G275" s="105"/>
      <c r="H275" s="104"/>
      <c r="I275" s="104"/>
      <c r="J275" s="104"/>
      <c r="K275" s="106"/>
      <c r="L275" s="104"/>
      <c r="M275" s="107"/>
      <c r="N275" s="106"/>
      <c r="O275" s="104"/>
      <c r="P275" s="104"/>
      <c r="Q275" s="107"/>
      <c r="R275" s="107"/>
      <c r="S275" s="107"/>
      <c r="T275" s="107"/>
      <c r="U275" s="105"/>
      <c r="V275" s="107"/>
      <c r="W275" s="107"/>
      <c r="X275" s="107"/>
    </row>
    <row r="276" ht="15.75" customHeight="1">
      <c r="D276" s="104"/>
      <c r="E276" s="104"/>
      <c r="F276" s="105"/>
      <c r="G276" s="105"/>
      <c r="H276" s="104"/>
      <c r="I276" s="104"/>
      <c r="J276" s="104"/>
      <c r="K276" s="106"/>
      <c r="L276" s="104"/>
      <c r="M276" s="107"/>
      <c r="N276" s="106"/>
      <c r="O276" s="104"/>
      <c r="P276" s="104"/>
      <c r="Q276" s="107"/>
      <c r="R276" s="107"/>
      <c r="S276" s="107"/>
      <c r="T276" s="107"/>
      <c r="U276" s="105"/>
      <c r="V276" s="107"/>
      <c r="W276" s="107"/>
      <c r="X276" s="107"/>
    </row>
    <row r="277" ht="15.75" customHeight="1">
      <c r="D277" s="104"/>
      <c r="E277" s="104"/>
      <c r="F277" s="105"/>
      <c r="G277" s="105"/>
      <c r="H277" s="104"/>
      <c r="I277" s="104"/>
      <c r="J277" s="104"/>
      <c r="K277" s="106"/>
      <c r="L277" s="104"/>
      <c r="M277" s="107"/>
      <c r="N277" s="106"/>
      <c r="O277" s="104"/>
      <c r="P277" s="104"/>
      <c r="Q277" s="107"/>
      <c r="R277" s="107"/>
      <c r="S277" s="107"/>
      <c r="T277" s="107"/>
      <c r="U277" s="105"/>
      <c r="V277" s="107"/>
      <c r="W277" s="107"/>
      <c r="X277" s="107"/>
    </row>
    <row r="278" ht="15.75" customHeight="1">
      <c r="D278" s="104"/>
      <c r="E278" s="104"/>
      <c r="F278" s="105"/>
      <c r="G278" s="105"/>
      <c r="H278" s="104"/>
      <c r="I278" s="104"/>
      <c r="J278" s="104"/>
      <c r="K278" s="106"/>
      <c r="L278" s="104"/>
      <c r="M278" s="107"/>
      <c r="N278" s="106"/>
      <c r="O278" s="104"/>
      <c r="P278" s="104"/>
      <c r="Q278" s="107"/>
      <c r="R278" s="107"/>
      <c r="S278" s="107"/>
      <c r="T278" s="107"/>
      <c r="U278" s="105"/>
      <c r="V278" s="107"/>
      <c r="W278" s="107"/>
      <c r="X278" s="107"/>
    </row>
    <row r="279" ht="15.75" customHeight="1">
      <c r="D279" s="104"/>
      <c r="E279" s="104"/>
      <c r="F279" s="105"/>
      <c r="G279" s="105"/>
      <c r="H279" s="104"/>
      <c r="I279" s="104"/>
      <c r="J279" s="104"/>
      <c r="K279" s="106"/>
      <c r="L279" s="104"/>
      <c r="M279" s="107"/>
      <c r="N279" s="106"/>
      <c r="O279" s="104"/>
      <c r="P279" s="104"/>
      <c r="Q279" s="107"/>
      <c r="R279" s="107"/>
      <c r="S279" s="107"/>
      <c r="T279" s="107"/>
      <c r="U279" s="105"/>
      <c r="V279" s="107"/>
      <c r="W279" s="107"/>
      <c r="X279" s="107"/>
    </row>
    <row r="280" ht="15.75" customHeight="1">
      <c r="D280" s="104"/>
      <c r="E280" s="104"/>
      <c r="F280" s="105"/>
      <c r="G280" s="105"/>
      <c r="H280" s="104"/>
      <c r="I280" s="104"/>
      <c r="J280" s="104"/>
      <c r="K280" s="106"/>
      <c r="L280" s="104"/>
      <c r="M280" s="107"/>
      <c r="N280" s="106"/>
      <c r="O280" s="104"/>
      <c r="P280" s="104"/>
      <c r="Q280" s="107"/>
      <c r="R280" s="107"/>
      <c r="S280" s="107"/>
      <c r="T280" s="107"/>
      <c r="U280" s="105"/>
      <c r="V280" s="107"/>
      <c r="W280" s="107"/>
      <c r="X280" s="107"/>
    </row>
    <row r="281" ht="15.75" customHeight="1">
      <c r="D281" s="104"/>
      <c r="E281" s="104"/>
      <c r="F281" s="105"/>
      <c r="G281" s="105"/>
      <c r="H281" s="104"/>
      <c r="I281" s="104"/>
      <c r="J281" s="104"/>
      <c r="K281" s="106"/>
      <c r="L281" s="104"/>
      <c r="M281" s="107"/>
      <c r="N281" s="106"/>
      <c r="O281" s="104"/>
      <c r="P281" s="104"/>
      <c r="Q281" s="107"/>
      <c r="R281" s="107"/>
      <c r="S281" s="107"/>
      <c r="T281" s="107"/>
      <c r="U281" s="105"/>
      <c r="V281" s="107"/>
      <c r="W281" s="107"/>
      <c r="X281" s="107"/>
    </row>
    <row r="282" ht="15.75" customHeight="1">
      <c r="D282" s="104"/>
      <c r="E282" s="104"/>
      <c r="F282" s="105"/>
      <c r="G282" s="105"/>
      <c r="H282" s="104"/>
      <c r="I282" s="104"/>
      <c r="J282" s="104"/>
      <c r="K282" s="106"/>
      <c r="L282" s="104"/>
      <c r="M282" s="107"/>
      <c r="N282" s="106"/>
      <c r="O282" s="104"/>
      <c r="P282" s="104"/>
      <c r="Q282" s="107"/>
      <c r="R282" s="107"/>
      <c r="S282" s="107"/>
      <c r="T282" s="107"/>
      <c r="U282" s="105"/>
      <c r="V282" s="107"/>
      <c r="W282" s="107"/>
      <c r="X282" s="107"/>
    </row>
    <row r="283" ht="15.75" customHeight="1">
      <c r="D283" s="104"/>
      <c r="E283" s="104"/>
      <c r="F283" s="105"/>
      <c r="G283" s="105"/>
      <c r="H283" s="104"/>
      <c r="I283" s="104"/>
      <c r="J283" s="104"/>
      <c r="K283" s="106"/>
      <c r="L283" s="104"/>
      <c r="M283" s="107"/>
      <c r="N283" s="106"/>
      <c r="O283" s="104"/>
      <c r="P283" s="104"/>
      <c r="Q283" s="107"/>
      <c r="R283" s="107"/>
      <c r="S283" s="107"/>
      <c r="T283" s="107"/>
      <c r="U283" s="105"/>
      <c r="V283" s="107"/>
      <c r="W283" s="107"/>
      <c r="X283" s="107"/>
    </row>
    <row r="284" ht="15.75" customHeight="1">
      <c r="D284" s="104"/>
      <c r="E284" s="104"/>
      <c r="F284" s="105"/>
      <c r="G284" s="105"/>
      <c r="H284" s="104"/>
      <c r="I284" s="104"/>
      <c r="J284" s="104"/>
      <c r="K284" s="106"/>
      <c r="L284" s="104"/>
      <c r="M284" s="107"/>
      <c r="N284" s="106"/>
      <c r="O284" s="104"/>
      <c r="P284" s="104"/>
      <c r="Q284" s="107"/>
      <c r="R284" s="107"/>
      <c r="S284" s="107"/>
      <c r="T284" s="107"/>
      <c r="U284" s="105"/>
      <c r="V284" s="107"/>
      <c r="W284" s="107"/>
      <c r="X284" s="107"/>
    </row>
    <row r="285" ht="15.75" customHeight="1">
      <c r="D285" s="104"/>
      <c r="E285" s="104"/>
      <c r="F285" s="105"/>
      <c r="G285" s="105"/>
      <c r="H285" s="104"/>
      <c r="I285" s="104"/>
      <c r="J285" s="104"/>
      <c r="K285" s="106"/>
      <c r="L285" s="104"/>
      <c r="M285" s="107"/>
      <c r="N285" s="106"/>
      <c r="O285" s="104"/>
      <c r="P285" s="104"/>
      <c r="Q285" s="107"/>
      <c r="R285" s="107"/>
      <c r="S285" s="107"/>
      <c r="T285" s="107"/>
      <c r="U285" s="105"/>
      <c r="V285" s="107"/>
      <c r="W285" s="107"/>
      <c r="X285" s="107"/>
    </row>
    <row r="286" ht="15.75" customHeight="1">
      <c r="D286" s="104"/>
      <c r="E286" s="104"/>
      <c r="F286" s="105"/>
      <c r="G286" s="105"/>
      <c r="H286" s="104"/>
      <c r="I286" s="104"/>
      <c r="J286" s="104"/>
      <c r="K286" s="106"/>
      <c r="L286" s="104"/>
      <c r="M286" s="107"/>
      <c r="N286" s="106"/>
      <c r="O286" s="104"/>
      <c r="P286" s="104"/>
      <c r="Q286" s="107"/>
      <c r="R286" s="107"/>
      <c r="S286" s="107"/>
      <c r="T286" s="107"/>
      <c r="U286" s="105"/>
      <c r="V286" s="107"/>
      <c r="W286" s="107"/>
      <c r="X286" s="107"/>
    </row>
    <row r="287" ht="15.75" customHeight="1">
      <c r="D287" s="104"/>
      <c r="E287" s="104"/>
      <c r="F287" s="105"/>
      <c r="G287" s="105"/>
      <c r="H287" s="104"/>
      <c r="I287" s="104"/>
      <c r="J287" s="104"/>
      <c r="K287" s="106"/>
      <c r="L287" s="104"/>
      <c r="M287" s="107"/>
      <c r="N287" s="106"/>
      <c r="O287" s="104"/>
      <c r="P287" s="104"/>
      <c r="Q287" s="107"/>
      <c r="R287" s="107"/>
      <c r="S287" s="107"/>
      <c r="T287" s="107"/>
      <c r="U287" s="105"/>
      <c r="V287" s="107"/>
      <c r="W287" s="107"/>
      <c r="X287" s="107"/>
    </row>
    <row r="288" ht="15.75" customHeight="1">
      <c r="D288" s="104"/>
      <c r="E288" s="104"/>
      <c r="F288" s="105"/>
      <c r="G288" s="105"/>
      <c r="H288" s="104"/>
      <c r="I288" s="104"/>
      <c r="J288" s="104"/>
      <c r="K288" s="106"/>
      <c r="L288" s="104"/>
      <c r="M288" s="107"/>
      <c r="N288" s="106"/>
      <c r="O288" s="104"/>
      <c r="P288" s="104"/>
      <c r="Q288" s="107"/>
      <c r="R288" s="107"/>
      <c r="S288" s="107"/>
      <c r="T288" s="107"/>
      <c r="U288" s="105"/>
      <c r="V288" s="107"/>
      <c r="W288" s="107"/>
      <c r="X288" s="107"/>
    </row>
    <row r="289" ht="15.75" customHeight="1">
      <c r="D289" s="104"/>
      <c r="E289" s="104"/>
      <c r="F289" s="105"/>
      <c r="G289" s="105"/>
      <c r="H289" s="104"/>
      <c r="I289" s="104"/>
      <c r="J289" s="104"/>
      <c r="K289" s="106"/>
      <c r="L289" s="104"/>
      <c r="M289" s="107"/>
      <c r="N289" s="106"/>
      <c r="O289" s="104"/>
      <c r="P289" s="104"/>
      <c r="Q289" s="107"/>
      <c r="R289" s="107"/>
      <c r="S289" s="107"/>
      <c r="T289" s="107"/>
      <c r="U289" s="105"/>
      <c r="V289" s="107"/>
      <c r="W289" s="107"/>
      <c r="X289" s="107"/>
    </row>
    <row r="290" ht="15.75" customHeight="1">
      <c r="D290" s="104"/>
      <c r="E290" s="104"/>
      <c r="F290" s="105"/>
      <c r="G290" s="105"/>
      <c r="H290" s="104"/>
      <c r="I290" s="104"/>
      <c r="J290" s="104"/>
      <c r="K290" s="106"/>
      <c r="L290" s="104"/>
      <c r="M290" s="107"/>
      <c r="N290" s="106"/>
      <c r="O290" s="104"/>
      <c r="P290" s="104"/>
      <c r="Q290" s="107"/>
      <c r="R290" s="107"/>
      <c r="S290" s="107"/>
      <c r="T290" s="107"/>
      <c r="U290" s="105"/>
      <c r="V290" s="107"/>
      <c r="W290" s="107"/>
      <c r="X290" s="107"/>
    </row>
    <row r="291" ht="15.75" customHeight="1">
      <c r="D291" s="104"/>
      <c r="E291" s="104"/>
      <c r="F291" s="105"/>
      <c r="G291" s="105"/>
      <c r="H291" s="104"/>
      <c r="I291" s="104"/>
      <c r="J291" s="104"/>
      <c r="K291" s="106"/>
      <c r="L291" s="104"/>
      <c r="M291" s="107"/>
      <c r="N291" s="106"/>
      <c r="O291" s="104"/>
      <c r="P291" s="104"/>
      <c r="Q291" s="107"/>
      <c r="R291" s="107"/>
      <c r="S291" s="107"/>
      <c r="T291" s="107"/>
      <c r="U291" s="105"/>
      <c r="V291" s="107"/>
      <c r="W291" s="107"/>
      <c r="X291" s="107"/>
    </row>
    <row r="292" ht="15.75" customHeight="1">
      <c r="D292" s="104"/>
      <c r="E292" s="104"/>
      <c r="F292" s="105"/>
      <c r="G292" s="105"/>
      <c r="H292" s="104"/>
      <c r="I292" s="104"/>
      <c r="J292" s="104"/>
      <c r="K292" s="106"/>
      <c r="L292" s="104"/>
      <c r="M292" s="107"/>
      <c r="N292" s="106"/>
      <c r="O292" s="104"/>
      <c r="P292" s="104"/>
      <c r="Q292" s="107"/>
      <c r="R292" s="107"/>
      <c r="S292" s="107"/>
      <c r="T292" s="107"/>
      <c r="U292" s="105"/>
      <c r="V292" s="107"/>
      <c r="W292" s="107"/>
      <c r="X292" s="107"/>
    </row>
    <row r="293" ht="15.75" customHeight="1">
      <c r="D293" s="104"/>
      <c r="E293" s="104"/>
      <c r="F293" s="105"/>
      <c r="G293" s="105"/>
      <c r="H293" s="104"/>
      <c r="I293" s="104"/>
      <c r="J293" s="104"/>
      <c r="K293" s="106"/>
      <c r="L293" s="104"/>
      <c r="M293" s="107"/>
      <c r="N293" s="106"/>
      <c r="O293" s="104"/>
      <c r="P293" s="104"/>
      <c r="Q293" s="107"/>
      <c r="R293" s="107"/>
      <c r="S293" s="107"/>
      <c r="T293" s="107"/>
      <c r="U293" s="105"/>
      <c r="V293" s="107"/>
      <c r="W293" s="107"/>
      <c r="X293" s="107"/>
    </row>
    <row r="294" ht="15.75" customHeight="1">
      <c r="D294" s="104"/>
      <c r="E294" s="104"/>
      <c r="F294" s="105"/>
      <c r="G294" s="105"/>
      <c r="H294" s="104"/>
      <c r="I294" s="104"/>
      <c r="J294" s="104"/>
      <c r="K294" s="106"/>
      <c r="L294" s="104"/>
      <c r="M294" s="107"/>
      <c r="N294" s="106"/>
      <c r="O294" s="104"/>
      <c r="P294" s="104"/>
      <c r="Q294" s="107"/>
      <c r="R294" s="107"/>
      <c r="S294" s="107"/>
      <c r="T294" s="107"/>
      <c r="U294" s="105"/>
      <c r="V294" s="107"/>
      <c r="W294" s="107"/>
      <c r="X294" s="107"/>
    </row>
    <row r="295" ht="15.75" customHeight="1">
      <c r="D295" s="104"/>
      <c r="E295" s="104"/>
      <c r="F295" s="105"/>
      <c r="G295" s="105"/>
      <c r="H295" s="104"/>
      <c r="I295" s="104"/>
      <c r="J295" s="104"/>
      <c r="K295" s="106"/>
      <c r="L295" s="104"/>
      <c r="M295" s="107"/>
      <c r="N295" s="106"/>
      <c r="O295" s="104"/>
      <c r="P295" s="104"/>
      <c r="Q295" s="107"/>
      <c r="R295" s="107"/>
      <c r="S295" s="107"/>
      <c r="T295" s="107"/>
      <c r="U295" s="105"/>
      <c r="V295" s="107"/>
      <c r="W295" s="107"/>
      <c r="X295" s="107"/>
    </row>
    <row r="296" ht="15.75" customHeight="1">
      <c r="D296" s="104"/>
      <c r="E296" s="104"/>
      <c r="F296" s="105"/>
      <c r="G296" s="105"/>
      <c r="H296" s="104"/>
      <c r="I296" s="104"/>
      <c r="J296" s="104"/>
      <c r="K296" s="106"/>
      <c r="L296" s="104"/>
      <c r="M296" s="107"/>
      <c r="N296" s="106"/>
      <c r="O296" s="104"/>
      <c r="P296" s="104"/>
      <c r="Q296" s="107"/>
      <c r="R296" s="107"/>
      <c r="S296" s="107"/>
      <c r="T296" s="107"/>
      <c r="U296" s="105"/>
      <c r="V296" s="107"/>
      <c r="W296" s="107"/>
      <c r="X296" s="107"/>
    </row>
    <row r="297" ht="15.75" customHeight="1">
      <c r="D297" s="104"/>
      <c r="E297" s="104"/>
      <c r="F297" s="105"/>
      <c r="G297" s="105"/>
      <c r="H297" s="104"/>
      <c r="I297" s="104"/>
      <c r="J297" s="104"/>
      <c r="K297" s="106"/>
      <c r="L297" s="104"/>
      <c r="M297" s="107"/>
      <c r="N297" s="106"/>
      <c r="O297" s="104"/>
      <c r="P297" s="104"/>
      <c r="Q297" s="107"/>
      <c r="R297" s="107"/>
      <c r="S297" s="107"/>
      <c r="T297" s="107"/>
      <c r="U297" s="105"/>
      <c r="V297" s="107"/>
      <c r="W297" s="107"/>
      <c r="X297" s="107"/>
    </row>
    <row r="298" ht="15.75" customHeight="1">
      <c r="D298" s="104"/>
      <c r="E298" s="104"/>
      <c r="F298" s="105"/>
      <c r="G298" s="105"/>
      <c r="H298" s="104"/>
      <c r="I298" s="104"/>
      <c r="J298" s="104"/>
      <c r="K298" s="106"/>
      <c r="L298" s="104"/>
      <c r="M298" s="107"/>
      <c r="N298" s="106"/>
      <c r="O298" s="104"/>
      <c r="P298" s="104"/>
      <c r="Q298" s="107"/>
      <c r="R298" s="107"/>
      <c r="S298" s="107"/>
      <c r="T298" s="107"/>
      <c r="U298" s="105"/>
      <c r="V298" s="107"/>
      <c r="W298" s="107"/>
      <c r="X298" s="107"/>
    </row>
    <row r="299" ht="15.75" customHeight="1">
      <c r="D299" s="104"/>
      <c r="E299" s="104"/>
      <c r="F299" s="105"/>
      <c r="G299" s="105"/>
      <c r="H299" s="104"/>
      <c r="I299" s="104"/>
      <c r="J299" s="104"/>
      <c r="K299" s="106"/>
      <c r="L299" s="104"/>
      <c r="M299" s="107"/>
      <c r="N299" s="106"/>
      <c r="O299" s="104"/>
      <c r="P299" s="104"/>
      <c r="Q299" s="107"/>
      <c r="R299" s="107"/>
      <c r="S299" s="107"/>
      <c r="T299" s="107"/>
      <c r="U299" s="105"/>
      <c r="V299" s="107"/>
      <c r="W299" s="107"/>
      <c r="X299" s="107"/>
    </row>
    <row r="300" ht="15.75" customHeight="1">
      <c r="D300" s="104"/>
      <c r="E300" s="104"/>
      <c r="F300" s="105"/>
      <c r="G300" s="105"/>
      <c r="H300" s="104"/>
      <c r="I300" s="104"/>
      <c r="J300" s="104"/>
      <c r="K300" s="106"/>
      <c r="L300" s="104"/>
      <c r="M300" s="107"/>
      <c r="N300" s="106"/>
      <c r="O300" s="104"/>
      <c r="P300" s="104"/>
      <c r="Q300" s="107"/>
      <c r="R300" s="107"/>
      <c r="S300" s="107"/>
      <c r="T300" s="107"/>
      <c r="U300" s="105"/>
      <c r="V300" s="107"/>
      <c r="W300" s="107"/>
      <c r="X300" s="107"/>
    </row>
    <row r="301" ht="15.75" customHeight="1">
      <c r="D301" s="104"/>
      <c r="E301" s="104"/>
      <c r="F301" s="105"/>
      <c r="G301" s="105"/>
      <c r="H301" s="104"/>
      <c r="I301" s="104"/>
      <c r="J301" s="104"/>
      <c r="K301" s="106"/>
      <c r="L301" s="104"/>
      <c r="M301" s="107"/>
      <c r="N301" s="106"/>
      <c r="O301" s="104"/>
      <c r="P301" s="104"/>
      <c r="Q301" s="107"/>
      <c r="R301" s="107"/>
      <c r="S301" s="107"/>
      <c r="T301" s="107"/>
      <c r="U301" s="105"/>
      <c r="V301" s="107"/>
      <c r="W301" s="107"/>
      <c r="X301" s="107"/>
    </row>
    <row r="302" ht="15.75" customHeight="1">
      <c r="D302" s="104"/>
      <c r="E302" s="104"/>
      <c r="F302" s="105"/>
      <c r="G302" s="105"/>
      <c r="H302" s="104"/>
      <c r="I302" s="104"/>
      <c r="J302" s="104"/>
      <c r="K302" s="106"/>
      <c r="L302" s="104"/>
      <c r="M302" s="107"/>
      <c r="N302" s="106"/>
      <c r="O302" s="104"/>
      <c r="P302" s="104"/>
      <c r="Q302" s="107"/>
      <c r="R302" s="107"/>
      <c r="S302" s="107"/>
      <c r="T302" s="107"/>
      <c r="U302" s="105"/>
      <c r="V302" s="107"/>
      <c r="W302" s="107"/>
      <c r="X302" s="107"/>
    </row>
    <row r="303" ht="15.75" customHeight="1">
      <c r="D303" s="104"/>
      <c r="E303" s="104"/>
      <c r="F303" s="105"/>
      <c r="G303" s="105"/>
      <c r="H303" s="104"/>
      <c r="I303" s="104"/>
      <c r="J303" s="104"/>
      <c r="K303" s="106"/>
      <c r="L303" s="104"/>
      <c r="M303" s="107"/>
      <c r="N303" s="106"/>
      <c r="O303" s="104"/>
      <c r="P303" s="104"/>
      <c r="Q303" s="107"/>
      <c r="R303" s="107"/>
      <c r="S303" s="107"/>
      <c r="T303" s="107"/>
      <c r="U303" s="105"/>
      <c r="V303" s="107"/>
      <c r="W303" s="107"/>
      <c r="X303" s="107"/>
    </row>
    <row r="304" ht="15.75" customHeight="1">
      <c r="D304" s="104"/>
      <c r="E304" s="104"/>
      <c r="F304" s="105"/>
      <c r="G304" s="105"/>
      <c r="H304" s="104"/>
      <c r="I304" s="104"/>
      <c r="J304" s="104"/>
      <c r="K304" s="106"/>
      <c r="L304" s="104"/>
      <c r="M304" s="107"/>
      <c r="N304" s="106"/>
      <c r="O304" s="104"/>
      <c r="P304" s="104"/>
      <c r="Q304" s="107"/>
      <c r="R304" s="107"/>
      <c r="S304" s="107"/>
      <c r="T304" s="107"/>
      <c r="U304" s="105"/>
      <c r="V304" s="107"/>
      <c r="W304" s="107"/>
      <c r="X304" s="107"/>
    </row>
    <row r="305" ht="15.75" customHeight="1">
      <c r="D305" s="104"/>
      <c r="E305" s="104"/>
      <c r="F305" s="105"/>
      <c r="G305" s="105"/>
      <c r="H305" s="104"/>
      <c r="I305" s="104"/>
      <c r="J305" s="104"/>
      <c r="K305" s="106"/>
      <c r="L305" s="104"/>
      <c r="M305" s="107"/>
      <c r="N305" s="106"/>
      <c r="O305" s="104"/>
      <c r="P305" s="104"/>
      <c r="Q305" s="107"/>
      <c r="R305" s="107"/>
      <c r="S305" s="107"/>
      <c r="T305" s="107"/>
      <c r="U305" s="105"/>
      <c r="V305" s="107"/>
      <c r="W305" s="107"/>
      <c r="X305" s="107"/>
    </row>
    <row r="306" ht="15.75" customHeight="1">
      <c r="D306" s="104"/>
      <c r="E306" s="104"/>
      <c r="F306" s="105"/>
      <c r="G306" s="105"/>
      <c r="H306" s="104"/>
      <c r="I306" s="104"/>
      <c r="J306" s="104"/>
      <c r="K306" s="106"/>
      <c r="L306" s="104"/>
      <c r="M306" s="107"/>
      <c r="N306" s="106"/>
      <c r="O306" s="104"/>
      <c r="P306" s="104"/>
      <c r="Q306" s="107"/>
      <c r="R306" s="107"/>
      <c r="S306" s="107"/>
      <c r="T306" s="107"/>
      <c r="U306" s="105"/>
      <c r="V306" s="107"/>
      <c r="W306" s="107"/>
      <c r="X306" s="107"/>
    </row>
    <row r="307" ht="15.75" customHeight="1">
      <c r="D307" s="104"/>
      <c r="E307" s="104"/>
      <c r="F307" s="105"/>
      <c r="G307" s="105"/>
      <c r="H307" s="104"/>
      <c r="I307" s="104"/>
      <c r="J307" s="104"/>
      <c r="K307" s="106"/>
      <c r="L307" s="104"/>
      <c r="M307" s="107"/>
      <c r="N307" s="106"/>
      <c r="O307" s="104"/>
      <c r="P307" s="104"/>
      <c r="Q307" s="107"/>
      <c r="R307" s="107"/>
      <c r="S307" s="107"/>
      <c r="T307" s="107"/>
      <c r="U307" s="105"/>
      <c r="V307" s="107"/>
      <c r="W307" s="107"/>
      <c r="X307" s="107"/>
    </row>
    <row r="308" ht="15.75" customHeight="1">
      <c r="D308" s="104"/>
      <c r="E308" s="104"/>
      <c r="F308" s="105"/>
      <c r="G308" s="105"/>
      <c r="H308" s="104"/>
      <c r="I308" s="104"/>
      <c r="J308" s="104"/>
      <c r="K308" s="106"/>
      <c r="L308" s="104"/>
      <c r="M308" s="107"/>
      <c r="N308" s="106"/>
      <c r="O308" s="104"/>
      <c r="P308" s="104"/>
      <c r="Q308" s="107"/>
      <c r="R308" s="107"/>
      <c r="S308" s="107"/>
      <c r="T308" s="107"/>
      <c r="U308" s="105"/>
      <c r="V308" s="107"/>
      <c r="W308" s="107"/>
      <c r="X308" s="107"/>
    </row>
    <row r="309" ht="15.75" customHeight="1">
      <c r="D309" s="104"/>
      <c r="E309" s="104"/>
      <c r="F309" s="105"/>
      <c r="G309" s="105"/>
      <c r="H309" s="104"/>
      <c r="I309" s="104"/>
      <c r="J309" s="104"/>
      <c r="K309" s="106"/>
      <c r="L309" s="104"/>
      <c r="M309" s="107"/>
      <c r="N309" s="106"/>
      <c r="O309" s="104"/>
      <c r="P309" s="104"/>
      <c r="Q309" s="107"/>
      <c r="R309" s="107"/>
      <c r="S309" s="107"/>
      <c r="T309" s="107"/>
      <c r="U309" s="105"/>
      <c r="V309" s="107"/>
      <c r="W309" s="107"/>
      <c r="X309" s="107"/>
    </row>
    <row r="310" ht="15.75" customHeight="1">
      <c r="D310" s="104"/>
      <c r="E310" s="104"/>
      <c r="F310" s="105"/>
      <c r="G310" s="105"/>
      <c r="H310" s="104"/>
      <c r="I310" s="104"/>
      <c r="J310" s="104"/>
      <c r="K310" s="106"/>
      <c r="L310" s="104"/>
      <c r="M310" s="107"/>
      <c r="N310" s="106"/>
      <c r="O310" s="104"/>
      <c r="P310" s="104"/>
      <c r="Q310" s="107"/>
      <c r="R310" s="107"/>
      <c r="S310" s="107"/>
      <c r="T310" s="107"/>
      <c r="U310" s="105"/>
      <c r="V310" s="107"/>
      <c r="W310" s="107"/>
      <c r="X310" s="107"/>
    </row>
    <row r="311" ht="15.75" customHeight="1">
      <c r="D311" s="104"/>
      <c r="E311" s="104"/>
      <c r="F311" s="105"/>
      <c r="G311" s="105"/>
      <c r="H311" s="104"/>
      <c r="I311" s="104"/>
      <c r="J311" s="104"/>
      <c r="K311" s="106"/>
      <c r="L311" s="104"/>
      <c r="M311" s="107"/>
      <c r="N311" s="106"/>
      <c r="O311" s="104"/>
      <c r="P311" s="104"/>
      <c r="Q311" s="107"/>
      <c r="R311" s="107"/>
      <c r="S311" s="107"/>
      <c r="T311" s="107"/>
      <c r="U311" s="105"/>
      <c r="V311" s="107"/>
      <c r="W311" s="107"/>
      <c r="X311" s="107"/>
    </row>
    <row r="312" ht="15.75" customHeight="1">
      <c r="D312" s="104"/>
      <c r="E312" s="104"/>
      <c r="F312" s="105"/>
      <c r="G312" s="105"/>
      <c r="H312" s="104"/>
      <c r="I312" s="104"/>
      <c r="J312" s="104"/>
      <c r="K312" s="106"/>
      <c r="L312" s="104"/>
      <c r="M312" s="107"/>
      <c r="N312" s="106"/>
      <c r="O312" s="104"/>
      <c r="P312" s="104"/>
      <c r="Q312" s="107"/>
      <c r="R312" s="107"/>
      <c r="S312" s="107"/>
      <c r="T312" s="107"/>
      <c r="U312" s="105"/>
      <c r="V312" s="107"/>
      <c r="W312" s="107"/>
      <c r="X312" s="107"/>
    </row>
    <row r="313" ht="15.75" customHeight="1">
      <c r="D313" s="104"/>
      <c r="E313" s="104"/>
      <c r="F313" s="105"/>
      <c r="G313" s="105"/>
      <c r="H313" s="104"/>
      <c r="I313" s="104"/>
      <c r="J313" s="104"/>
      <c r="K313" s="106"/>
      <c r="L313" s="104"/>
      <c r="M313" s="107"/>
      <c r="N313" s="106"/>
      <c r="O313" s="104"/>
      <c r="P313" s="104"/>
      <c r="Q313" s="107"/>
      <c r="R313" s="107"/>
      <c r="S313" s="107"/>
      <c r="T313" s="107"/>
      <c r="U313" s="105"/>
      <c r="V313" s="107"/>
      <c r="W313" s="107"/>
      <c r="X313" s="107"/>
    </row>
    <row r="314" ht="15.75" customHeight="1">
      <c r="D314" s="104"/>
      <c r="E314" s="104"/>
      <c r="F314" s="105"/>
      <c r="G314" s="105"/>
      <c r="H314" s="104"/>
      <c r="I314" s="104"/>
      <c r="J314" s="104"/>
      <c r="K314" s="106"/>
      <c r="L314" s="104"/>
      <c r="M314" s="107"/>
      <c r="N314" s="106"/>
      <c r="O314" s="104"/>
      <c r="P314" s="104"/>
      <c r="Q314" s="107"/>
      <c r="R314" s="107"/>
      <c r="S314" s="107"/>
      <c r="T314" s="107"/>
      <c r="U314" s="105"/>
      <c r="V314" s="107"/>
      <c r="W314" s="107"/>
      <c r="X314" s="107"/>
    </row>
    <row r="315" ht="15.75" customHeight="1">
      <c r="D315" s="104"/>
      <c r="E315" s="104"/>
      <c r="F315" s="105"/>
      <c r="G315" s="105"/>
      <c r="H315" s="104"/>
      <c r="I315" s="104"/>
      <c r="J315" s="104"/>
      <c r="K315" s="106"/>
      <c r="L315" s="104"/>
      <c r="M315" s="107"/>
      <c r="N315" s="106"/>
      <c r="O315" s="104"/>
      <c r="P315" s="104"/>
      <c r="Q315" s="107"/>
      <c r="R315" s="107"/>
      <c r="S315" s="107"/>
      <c r="T315" s="107"/>
      <c r="U315" s="105"/>
      <c r="V315" s="107"/>
      <c r="W315" s="107"/>
      <c r="X315" s="107"/>
    </row>
    <row r="316" ht="15.75" customHeight="1">
      <c r="D316" s="104"/>
      <c r="E316" s="104"/>
      <c r="F316" s="105"/>
      <c r="G316" s="105"/>
      <c r="H316" s="104"/>
      <c r="I316" s="104"/>
      <c r="J316" s="104"/>
      <c r="K316" s="106"/>
      <c r="L316" s="104"/>
      <c r="M316" s="107"/>
      <c r="N316" s="106"/>
      <c r="O316" s="104"/>
      <c r="P316" s="104"/>
      <c r="Q316" s="107"/>
      <c r="R316" s="107"/>
      <c r="S316" s="107"/>
      <c r="T316" s="107"/>
      <c r="U316" s="105"/>
      <c r="V316" s="107"/>
      <c r="W316" s="107"/>
      <c r="X316" s="107"/>
    </row>
    <row r="317" ht="15.75" customHeight="1">
      <c r="D317" s="104"/>
      <c r="E317" s="104"/>
      <c r="F317" s="105"/>
      <c r="G317" s="105"/>
      <c r="H317" s="104"/>
      <c r="I317" s="104"/>
      <c r="J317" s="104"/>
      <c r="K317" s="106"/>
      <c r="L317" s="104"/>
      <c r="M317" s="107"/>
      <c r="N317" s="106"/>
      <c r="O317" s="104"/>
      <c r="P317" s="104"/>
      <c r="Q317" s="107"/>
      <c r="R317" s="107"/>
      <c r="S317" s="107"/>
      <c r="T317" s="107"/>
      <c r="U317" s="105"/>
      <c r="V317" s="107"/>
      <c r="W317" s="107"/>
      <c r="X317" s="107"/>
    </row>
    <row r="318" ht="15.75" customHeight="1">
      <c r="D318" s="104"/>
      <c r="E318" s="104"/>
      <c r="F318" s="105"/>
      <c r="G318" s="105"/>
      <c r="H318" s="104"/>
      <c r="I318" s="104"/>
      <c r="J318" s="104"/>
      <c r="K318" s="106"/>
      <c r="L318" s="104"/>
      <c r="M318" s="107"/>
      <c r="N318" s="106"/>
      <c r="O318" s="104"/>
      <c r="P318" s="104"/>
      <c r="Q318" s="107"/>
      <c r="R318" s="107"/>
      <c r="S318" s="107"/>
      <c r="T318" s="107"/>
      <c r="U318" s="105"/>
      <c r="V318" s="107"/>
      <c r="W318" s="107"/>
      <c r="X318" s="107"/>
    </row>
    <row r="319" ht="15.75" customHeight="1">
      <c r="D319" s="104"/>
      <c r="E319" s="104"/>
      <c r="F319" s="105"/>
      <c r="G319" s="105"/>
      <c r="H319" s="104"/>
      <c r="I319" s="104"/>
      <c r="J319" s="104"/>
      <c r="K319" s="106"/>
      <c r="L319" s="104"/>
      <c r="M319" s="107"/>
      <c r="N319" s="106"/>
      <c r="O319" s="104"/>
      <c r="P319" s="104"/>
      <c r="Q319" s="107"/>
      <c r="R319" s="107"/>
      <c r="S319" s="107"/>
      <c r="T319" s="107"/>
      <c r="U319" s="105"/>
      <c r="V319" s="107"/>
      <c r="W319" s="107"/>
      <c r="X319" s="107"/>
    </row>
    <row r="320" ht="15.75" customHeight="1">
      <c r="D320" s="104"/>
      <c r="E320" s="104"/>
      <c r="F320" s="105"/>
      <c r="G320" s="105"/>
      <c r="H320" s="104"/>
      <c r="I320" s="104"/>
      <c r="J320" s="104"/>
      <c r="K320" s="106"/>
      <c r="L320" s="104"/>
      <c r="M320" s="107"/>
      <c r="N320" s="106"/>
      <c r="O320" s="104"/>
      <c r="P320" s="104"/>
      <c r="Q320" s="107"/>
      <c r="R320" s="107"/>
      <c r="S320" s="107"/>
      <c r="T320" s="107"/>
      <c r="U320" s="105"/>
      <c r="V320" s="107"/>
      <c r="W320" s="107"/>
      <c r="X320" s="107"/>
    </row>
    <row r="321" ht="15.75" customHeight="1">
      <c r="D321" s="104"/>
      <c r="E321" s="104"/>
      <c r="F321" s="105"/>
      <c r="G321" s="105"/>
      <c r="H321" s="104"/>
      <c r="I321" s="104"/>
      <c r="J321" s="104"/>
      <c r="K321" s="106"/>
      <c r="L321" s="104"/>
      <c r="M321" s="107"/>
      <c r="N321" s="106"/>
      <c r="O321" s="104"/>
      <c r="P321" s="104"/>
      <c r="Q321" s="107"/>
      <c r="R321" s="107"/>
      <c r="S321" s="107"/>
      <c r="T321" s="107"/>
      <c r="U321" s="105"/>
      <c r="V321" s="107"/>
      <c r="W321" s="107"/>
      <c r="X321" s="107"/>
    </row>
    <row r="322" ht="15.75" customHeight="1">
      <c r="D322" s="104"/>
      <c r="E322" s="104"/>
      <c r="F322" s="105"/>
      <c r="G322" s="105"/>
      <c r="H322" s="104"/>
      <c r="I322" s="104"/>
      <c r="J322" s="104"/>
      <c r="K322" s="106"/>
      <c r="L322" s="104"/>
      <c r="M322" s="107"/>
      <c r="N322" s="106"/>
      <c r="O322" s="104"/>
      <c r="P322" s="104"/>
      <c r="Q322" s="107"/>
      <c r="R322" s="107"/>
      <c r="S322" s="107"/>
      <c r="T322" s="107"/>
      <c r="U322" s="105"/>
      <c r="V322" s="107"/>
      <c r="W322" s="107"/>
      <c r="X322" s="107"/>
    </row>
    <row r="323" ht="15.75" customHeight="1">
      <c r="D323" s="104"/>
      <c r="E323" s="104"/>
      <c r="F323" s="105"/>
      <c r="G323" s="105"/>
      <c r="H323" s="104"/>
      <c r="I323" s="104"/>
      <c r="J323" s="104"/>
      <c r="K323" s="106"/>
      <c r="L323" s="104"/>
      <c r="M323" s="107"/>
      <c r="N323" s="106"/>
      <c r="O323" s="104"/>
      <c r="P323" s="104"/>
      <c r="Q323" s="107"/>
      <c r="R323" s="107"/>
      <c r="S323" s="107"/>
      <c r="T323" s="107"/>
      <c r="U323" s="105"/>
      <c r="V323" s="107"/>
      <c r="W323" s="107"/>
      <c r="X323" s="107"/>
    </row>
    <row r="324" ht="15.75" customHeight="1">
      <c r="D324" s="104"/>
      <c r="E324" s="104"/>
      <c r="F324" s="105"/>
      <c r="G324" s="105"/>
      <c r="H324" s="104"/>
      <c r="I324" s="104"/>
      <c r="J324" s="104"/>
      <c r="K324" s="106"/>
      <c r="L324" s="104"/>
      <c r="M324" s="107"/>
      <c r="N324" s="106"/>
      <c r="O324" s="104"/>
      <c r="P324" s="104"/>
      <c r="Q324" s="107"/>
      <c r="R324" s="107"/>
      <c r="S324" s="107"/>
      <c r="T324" s="107"/>
      <c r="U324" s="105"/>
      <c r="V324" s="107"/>
      <c r="W324" s="107"/>
      <c r="X324" s="107"/>
    </row>
    <row r="325" ht="15.75" customHeight="1">
      <c r="D325" s="104"/>
      <c r="E325" s="104"/>
      <c r="F325" s="105"/>
      <c r="G325" s="105"/>
      <c r="H325" s="104"/>
      <c r="I325" s="104"/>
      <c r="J325" s="104"/>
      <c r="K325" s="106"/>
      <c r="L325" s="104"/>
      <c r="M325" s="107"/>
      <c r="N325" s="106"/>
      <c r="O325" s="104"/>
      <c r="P325" s="104"/>
      <c r="Q325" s="107"/>
      <c r="R325" s="107"/>
      <c r="S325" s="107"/>
      <c r="T325" s="107"/>
      <c r="U325" s="105"/>
      <c r="V325" s="107"/>
      <c r="W325" s="107"/>
      <c r="X325" s="107"/>
    </row>
    <row r="326" ht="15.75" customHeight="1">
      <c r="D326" s="104"/>
      <c r="E326" s="104"/>
      <c r="F326" s="105"/>
      <c r="G326" s="105"/>
      <c r="H326" s="104"/>
      <c r="I326" s="104"/>
      <c r="J326" s="104"/>
      <c r="K326" s="106"/>
      <c r="L326" s="104"/>
      <c r="M326" s="107"/>
      <c r="N326" s="106"/>
      <c r="O326" s="104"/>
      <c r="P326" s="104"/>
      <c r="Q326" s="107"/>
      <c r="R326" s="107"/>
      <c r="S326" s="107"/>
      <c r="T326" s="107"/>
      <c r="U326" s="105"/>
      <c r="V326" s="107"/>
      <c r="W326" s="107"/>
      <c r="X326" s="107"/>
    </row>
    <row r="327" ht="15.75" customHeight="1">
      <c r="D327" s="104"/>
      <c r="E327" s="104"/>
      <c r="F327" s="105"/>
      <c r="G327" s="105"/>
      <c r="H327" s="104"/>
      <c r="I327" s="104"/>
      <c r="J327" s="104"/>
      <c r="K327" s="106"/>
      <c r="L327" s="104"/>
      <c r="M327" s="107"/>
      <c r="N327" s="106"/>
      <c r="O327" s="104"/>
      <c r="P327" s="104"/>
      <c r="Q327" s="107"/>
      <c r="R327" s="107"/>
      <c r="S327" s="107"/>
      <c r="T327" s="107"/>
      <c r="U327" s="105"/>
      <c r="V327" s="107"/>
      <c r="W327" s="107"/>
      <c r="X327" s="107"/>
    </row>
    <row r="328" ht="15.75" customHeight="1">
      <c r="D328" s="104"/>
      <c r="E328" s="104"/>
      <c r="F328" s="105"/>
      <c r="G328" s="105"/>
      <c r="H328" s="104"/>
      <c r="I328" s="104"/>
      <c r="J328" s="104"/>
      <c r="K328" s="106"/>
      <c r="L328" s="104"/>
      <c r="M328" s="107"/>
      <c r="N328" s="106"/>
      <c r="O328" s="104"/>
      <c r="P328" s="104"/>
      <c r="Q328" s="107"/>
      <c r="R328" s="107"/>
      <c r="S328" s="107"/>
      <c r="T328" s="107"/>
      <c r="U328" s="105"/>
      <c r="V328" s="107"/>
      <c r="W328" s="107"/>
      <c r="X328" s="107"/>
    </row>
    <row r="329" ht="15.75" customHeight="1">
      <c r="D329" s="104"/>
      <c r="E329" s="104"/>
      <c r="F329" s="105"/>
      <c r="G329" s="105"/>
      <c r="H329" s="104"/>
      <c r="I329" s="104"/>
      <c r="J329" s="104"/>
      <c r="K329" s="106"/>
      <c r="L329" s="104"/>
      <c r="M329" s="107"/>
      <c r="N329" s="106"/>
      <c r="O329" s="104"/>
      <c r="P329" s="104"/>
      <c r="Q329" s="107"/>
      <c r="R329" s="107"/>
      <c r="S329" s="107"/>
      <c r="T329" s="107"/>
      <c r="U329" s="105"/>
      <c r="V329" s="107"/>
      <c r="W329" s="107"/>
      <c r="X329" s="107"/>
    </row>
    <row r="330" ht="15.75" customHeight="1">
      <c r="D330" s="104"/>
      <c r="E330" s="104"/>
      <c r="F330" s="105"/>
      <c r="G330" s="105"/>
      <c r="H330" s="104"/>
      <c r="I330" s="104"/>
      <c r="J330" s="104"/>
      <c r="K330" s="106"/>
      <c r="L330" s="104"/>
      <c r="M330" s="107"/>
      <c r="N330" s="106"/>
      <c r="O330" s="104"/>
      <c r="P330" s="104"/>
      <c r="Q330" s="107"/>
      <c r="R330" s="107"/>
      <c r="S330" s="107"/>
      <c r="T330" s="107"/>
      <c r="U330" s="105"/>
      <c r="V330" s="107"/>
      <c r="W330" s="107"/>
      <c r="X330" s="107"/>
    </row>
    <row r="331" ht="15.75" customHeight="1">
      <c r="D331" s="104"/>
      <c r="E331" s="104"/>
      <c r="F331" s="105"/>
      <c r="G331" s="105"/>
      <c r="H331" s="104"/>
      <c r="I331" s="104"/>
      <c r="J331" s="104"/>
      <c r="K331" s="106"/>
      <c r="L331" s="104"/>
      <c r="M331" s="107"/>
      <c r="N331" s="106"/>
      <c r="O331" s="104"/>
      <c r="P331" s="104"/>
      <c r="Q331" s="107"/>
      <c r="R331" s="107"/>
      <c r="S331" s="107"/>
      <c r="T331" s="107"/>
      <c r="U331" s="105"/>
      <c r="V331" s="107"/>
      <c r="W331" s="107"/>
      <c r="X331" s="107"/>
    </row>
    <row r="332" ht="15.75" customHeight="1">
      <c r="D332" s="104"/>
      <c r="E332" s="104"/>
      <c r="F332" s="105"/>
      <c r="G332" s="105"/>
      <c r="H332" s="104"/>
      <c r="I332" s="104"/>
      <c r="J332" s="104"/>
      <c r="K332" s="106"/>
      <c r="L332" s="104"/>
      <c r="M332" s="107"/>
      <c r="N332" s="106"/>
      <c r="O332" s="104"/>
      <c r="P332" s="104"/>
      <c r="Q332" s="107"/>
      <c r="R332" s="107"/>
      <c r="S332" s="107"/>
      <c r="T332" s="107"/>
      <c r="U332" s="105"/>
      <c r="V332" s="107"/>
      <c r="W332" s="107"/>
      <c r="X332" s="107"/>
    </row>
    <row r="333" ht="15.75" customHeight="1">
      <c r="D333" s="104"/>
      <c r="E333" s="104"/>
      <c r="F333" s="105"/>
      <c r="G333" s="105"/>
      <c r="H333" s="104"/>
      <c r="I333" s="104"/>
      <c r="J333" s="104"/>
      <c r="K333" s="106"/>
      <c r="L333" s="104"/>
      <c r="M333" s="107"/>
      <c r="N333" s="106"/>
      <c r="O333" s="104"/>
      <c r="P333" s="104"/>
      <c r="Q333" s="107"/>
      <c r="R333" s="107"/>
      <c r="S333" s="107"/>
      <c r="T333" s="107"/>
      <c r="U333" s="105"/>
      <c r="V333" s="107"/>
      <c r="W333" s="107"/>
      <c r="X333" s="107"/>
    </row>
    <row r="334" ht="15.75" customHeight="1">
      <c r="D334" s="104"/>
      <c r="E334" s="104"/>
      <c r="F334" s="105"/>
      <c r="G334" s="105"/>
      <c r="H334" s="104"/>
      <c r="I334" s="104"/>
      <c r="J334" s="104"/>
      <c r="K334" s="106"/>
      <c r="L334" s="104"/>
      <c r="M334" s="107"/>
      <c r="N334" s="106"/>
      <c r="O334" s="104"/>
      <c r="P334" s="104"/>
      <c r="Q334" s="107"/>
      <c r="R334" s="107"/>
      <c r="S334" s="107"/>
      <c r="T334" s="107"/>
      <c r="U334" s="105"/>
      <c r="V334" s="107"/>
      <c r="W334" s="107"/>
      <c r="X334" s="107"/>
    </row>
    <row r="335" ht="15.75" customHeight="1">
      <c r="D335" s="104"/>
      <c r="E335" s="104"/>
      <c r="F335" s="105"/>
      <c r="G335" s="105"/>
      <c r="H335" s="104"/>
      <c r="I335" s="104"/>
      <c r="J335" s="104"/>
      <c r="K335" s="106"/>
      <c r="L335" s="104"/>
      <c r="M335" s="107"/>
      <c r="N335" s="106"/>
      <c r="O335" s="104"/>
      <c r="P335" s="104"/>
      <c r="Q335" s="107"/>
      <c r="R335" s="107"/>
      <c r="S335" s="107"/>
      <c r="T335" s="107"/>
      <c r="U335" s="105"/>
      <c r="V335" s="107"/>
      <c r="W335" s="107"/>
      <c r="X335" s="107"/>
    </row>
    <row r="336" ht="15.75" customHeight="1">
      <c r="D336" s="104"/>
      <c r="E336" s="104"/>
      <c r="F336" s="105"/>
      <c r="G336" s="105"/>
      <c r="H336" s="104"/>
      <c r="I336" s="104"/>
      <c r="J336" s="104"/>
      <c r="K336" s="106"/>
      <c r="L336" s="104"/>
      <c r="M336" s="107"/>
      <c r="N336" s="106"/>
      <c r="O336" s="104"/>
      <c r="P336" s="104"/>
      <c r="Q336" s="107"/>
      <c r="R336" s="107"/>
      <c r="S336" s="107"/>
      <c r="T336" s="107"/>
      <c r="U336" s="105"/>
      <c r="V336" s="107"/>
      <c r="W336" s="107"/>
      <c r="X336" s="107"/>
    </row>
    <row r="337" ht="15.75" customHeight="1">
      <c r="D337" s="104"/>
      <c r="E337" s="104"/>
      <c r="F337" s="105"/>
      <c r="G337" s="105"/>
      <c r="H337" s="104"/>
      <c r="I337" s="104"/>
      <c r="J337" s="104"/>
      <c r="K337" s="106"/>
      <c r="L337" s="104"/>
      <c r="M337" s="107"/>
      <c r="N337" s="106"/>
      <c r="O337" s="104"/>
      <c r="P337" s="104"/>
      <c r="Q337" s="107"/>
      <c r="R337" s="107"/>
      <c r="S337" s="107"/>
      <c r="T337" s="107"/>
      <c r="U337" s="105"/>
      <c r="V337" s="107"/>
      <c r="W337" s="107"/>
      <c r="X337" s="107"/>
    </row>
    <row r="338" ht="15.75" customHeight="1">
      <c r="D338" s="104"/>
      <c r="E338" s="104"/>
      <c r="F338" s="105"/>
      <c r="G338" s="105"/>
      <c r="H338" s="104"/>
      <c r="I338" s="104"/>
      <c r="J338" s="104"/>
      <c r="K338" s="106"/>
      <c r="L338" s="104"/>
      <c r="M338" s="107"/>
      <c r="N338" s="106"/>
      <c r="O338" s="104"/>
      <c r="P338" s="104"/>
      <c r="Q338" s="107"/>
      <c r="R338" s="107"/>
      <c r="S338" s="107"/>
      <c r="T338" s="107"/>
      <c r="U338" s="105"/>
      <c r="V338" s="107"/>
      <c r="W338" s="107"/>
      <c r="X338" s="107"/>
    </row>
    <row r="339" ht="15.75" customHeight="1">
      <c r="D339" s="104"/>
      <c r="E339" s="104"/>
      <c r="F339" s="105"/>
      <c r="G339" s="105"/>
      <c r="H339" s="104"/>
      <c r="I339" s="104"/>
      <c r="J339" s="104"/>
      <c r="K339" s="106"/>
      <c r="L339" s="104"/>
      <c r="M339" s="107"/>
      <c r="N339" s="106"/>
      <c r="O339" s="104"/>
      <c r="P339" s="104"/>
      <c r="Q339" s="107"/>
      <c r="R339" s="107"/>
      <c r="S339" s="107"/>
      <c r="T339" s="107"/>
      <c r="U339" s="105"/>
      <c r="V339" s="107"/>
      <c r="W339" s="107"/>
      <c r="X339" s="107"/>
    </row>
    <row r="340" ht="15.75" customHeight="1">
      <c r="D340" s="104"/>
      <c r="E340" s="104"/>
      <c r="F340" s="105"/>
      <c r="G340" s="105"/>
      <c r="H340" s="104"/>
      <c r="I340" s="104"/>
      <c r="J340" s="104"/>
      <c r="K340" s="106"/>
      <c r="L340" s="104"/>
      <c r="M340" s="107"/>
      <c r="N340" s="106"/>
      <c r="O340" s="104"/>
      <c r="P340" s="104"/>
      <c r="Q340" s="107"/>
      <c r="R340" s="107"/>
      <c r="S340" s="107"/>
      <c r="T340" s="107"/>
      <c r="U340" s="105"/>
      <c r="V340" s="107"/>
      <c r="W340" s="107"/>
      <c r="X340" s="107"/>
    </row>
    <row r="341" ht="15.75" customHeight="1">
      <c r="D341" s="104"/>
      <c r="E341" s="104"/>
      <c r="F341" s="105"/>
      <c r="G341" s="105"/>
      <c r="H341" s="104"/>
      <c r="I341" s="104"/>
      <c r="J341" s="104"/>
      <c r="K341" s="106"/>
      <c r="L341" s="104"/>
      <c r="M341" s="107"/>
      <c r="N341" s="106"/>
      <c r="O341" s="104"/>
      <c r="P341" s="104"/>
      <c r="Q341" s="107"/>
      <c r="R341" s="107"/>
      <c r="S341" s="107"/>
      <c r="T341" s="107"/>
      <c r="U341" s="105"/>
      <c r="V341" s="107"/>
      <c r="W341" s="107"/>
      <c r="X341" s="107"/>
    </row>
    <row r="342" ht="15.75" customHeight="1">
      <c r="D342" s="104"/>
      <c r="E342" s="104"/>
      <c r="F342" s="105"/>
      <c r="G342" s="105"/>
      <c r="H342" s="104"/>
      <c r="I342" s="104"/>
      <c r="J342" s="104"/>
      <c r="K342" s="106"/>
      <c r="L342" s="104"/>
      <c r="M342" s="107"/>
      <c r="N342" s="106"/>
      <c r="O342" s="104"/>
      <c r="P342" s="104"/>
      <c r="Q342" s="107"/>
      <c r="R342" s="107"/>
      <c r="S342" s="107"/>
      <c r="T342" s="107"/>
      <c r="U342" s="105"/>
      <c r="V342" s="107"/>
      <c r="W342" s="107"/>
      <c r="X342" s="107"/>
    </row>
    <row r="343" ht="15.75" customHeight="1">
      <c r="D343" s="104"/>
      <c r="E343" s="104"/>
      <c r="F343" s="105"/>
      <c r="G343" s="105"/>
      <c r="H343" s="104"/>
      <c r="I343" s="104"/>
      <c r="J343" s="104"/>
      <c r="K343" s="106"/>
      <c r="L343" s="104"/>
      <c r="M343" s="107"/>
      <c r="N343" s="106"/>
      <c r="O343" s="104"/>
      <c r="P343" s="104"/>
      <c r="Q343" s="107"/>
      <c r="R343" s="107"/>
      <c r="S343" s="107"/>
      <c r="T343" s="107"/>
      <c r="U343" s="105"/>
      <c r="V343" s="107"/>
      <c r="W343" s="107"/>
      <c r="X343" s="107"/>
    </row>
    <row r="344" ht="15.75" customHeight="1">
      <c r="D344" s="104"/>
      <c r="E344" s="104"/>
      <c r="F344" s="105"/>
      <c r="G344" s="105"/>
      <c r="H344" s="104"/>
      <c r="I344" s="104"/>
      <c r="J344" s="104"/>
      <c r="K344" s="106"/>
      <c r="L344" s="104"/>
      <c r="M344" s="107"/>
      <c r="N344" s="106"/>
      <c r="O344" s="104"/>
      <c r="P344" s="104"/>
      <c r="Q344" s="107"/>
      <c r="R344" s="107"/>
      <c r="S344" s="107"/>
      <c r="T344" s="107"/>
      <c r="U344" s="105"/>
      <c r="V344" s="107"/>
      <c r="W344" s="107"/>
      <c r="X344" s="107"/>
    </row>
    <row r="345" ht="15.75" customHeight="1">
      <c r="D345" s="104"/>
      <c r="E345" s="104"/>
      <c r="F345" s="105"/>
      <c r="G345" s="105"/>
      <c r="H345" s="104"/>
      <c r="I345" s="104"/>
      <c r="J345" s="104"/>
      <c r="K345" s="106"/>
      <c r="L345" s="104"/>
      <c r="M345" s="107"/>
      <c r="N345" s="106"/>
      <c r="O345" s="104"/>
      <c r="P345" s="104"/>
      <c r="Q345" s="107"/>
      <c r="R345" s="107"/>
      <c r="S345" s="107"/>
      <c r="T345" s="107"/>
      <c r="U345" s="105"/>
      <c r="V345" s="107"/>
      <c r="W345" s="107"/>
      <c r="X345" s="107"/>
    </row>
    <row r="346" ht="15.75" customHeight="1">
      <c r="D346" s="104"/>
      <c r="E346" s="104"/>
      <c r="F346" s="105"/>
      <c r="G346" s="105"/>
      <c r="H346" s="104"/>
      <c r="I346" s="104"/>
      <c r="J346" s="104"/>
      <c r="K346" s="106"/>
      <c r="L346" s="104"/>
      <c r="M346" s="107"/>
      <c r="N346" s="106"/>
      <c r="O346" s="104"/>
      <c r="P346" s="104"/>
      <c r="Q346" s="107"/>
      <c r="R346" s="107"/>
      <c r="S346" s="107"/>
      <c r="T346" s="107"/>
      <c r="U346" s="105"/>
      <c r="V346" s="107"/>
      <c r="W346" s="107"/>
      <c r="X346" s="107"/>
    </row>
    <row r="347" ht="15.75" customHeight="1">
      <c r="D347" s="104"/>
      <c r="E347" s="104"/>
      <c r="F347" s="105"/>
      <c r="G347" s="105"/>
      <c r="H347" s="104"/>
      <c r="I347" s="104"/>
      <c r="J347" s="104"/>
      <c r="K347" s="106"/>
      <c r="L347" s="104"/>
      <c r="M347" s="107"/>
      <c r="N347" s="106"/>
      <c r="O347" s="104"/>
      <c r="P347" s="104"/>
      <c r="Q347" s="107"/>
      <c r="R347" s="107"/>
      <c r="S347" s="107"/>
      <c r="T347" s="107"/>
      <c r="U347" s="105"/>
      <c r="V347" s="107"/>
      <c r="W347" s="107"/>
      <c r="X347" s="107"/>
    </row>
    <row r="348" ht="15.75" customHeight="1">
      <c r="D348" s="104"/>
      <c r="E348" s="104"/>
      <c r="F348" s="105"/>
      <c r="G348" s="105"/>
      <c r="H348" s="104"/>
      <c r="I348" s="104"/>
      <c r="J348" s="104"/>
      <c r="K348" s="106"/>
      <c r="L348" s="104"/>
      <c r="M348" s="107"/>
      <c r="N348" s="106"/>
      <c r="O348" s="104"/>
      <c r="P348" s="104"/>
      <c r="Q348" s="107"/>
      <c r="R348" s="107"/>
      <c r="S348" s="107"/>
      <c r="T348" s="107"/>
      <c r="U348" s="105"/>
      <c r="V348" s="107"/>
      <c r="W348" s="107"/>
      <c r="X348" s="107"/>
    </row>
    <row r="349" ht="15.75" customHeight="1">
      <c r="D349" s="104"/>
      <c r="E349" s="104"/>
      <c r="F349" s="105"/>
      <c r="G349" s="105"/>
      <c r="H349" s="104"/>
      <c r="I349" s="104"/>
      <c r="J349" s="104"/>
      <c r="K349" s="106"/>
      <c r="L349" s="104"/>
      <c r="M349" s="107"/>
      <c r="N349" s="106"/>
      <c r="O349" s="104"/>
      <c r="P349" s="104"/>
      <c r="Q349" s="107"/>
      <c r="R349" s="107"/>
      <c r="S349" s="107"/>
      <c r="T349" s="107"/>
      <c r="U349" s="105"/>
      <c r="V349" s="107"/>
      <c r="W349" s="107"/>
      <c r="X349" s="107"/>
    </row>
    <row r="350" ht="15.75" customHeight="1">
      <c r="D350" s="104"/>
      <c r="E350" s="104"/>
      <c r="F350" s="105"/>
      <c r="G350" s="105"/>
      <c r="H350" s="104"/>
      <c r="I350" s="104"/>
      <c r="J350" s="104"/>
      <c r="K350" s="106"/>
      <c r="L350" s="104"/>
      <c r="M350" s="107"/>
      <c r="N350" s="106"/>
      <c r="O350" s="104"/>
      <c r="P350" s="104"/>
      <c r="Q350" s="107"/>
      <c r="R350" s="107"/>
      <c r="S350" s="107"/>
      <c r="T350" s="107"/>
      <c r="U350" s="105"/>
      <c r="V350" s="107"/>
      <c r="W350" s="107"/>
      <c r="X350" s="107"/>
    </row>
    <row r="351" ht="15.75" customHeight="1">
      <c r="D351" s="104"/>
      <c r="E351" s="104"/>
      <c r="F351" s="105"/>
      <c r="G351" s="105"/>
      <c r="H351" s="104"/>
      <c r="I351" s="104"/>
      <c r="J351" s="104"/>
      <c r="K351" s="106"/>
      <c r="L351" s="104"/>
      <c r="M351" s="107"/>
      <c r="N351" s="106"/>
      <c r="O351" s="104"/>
      <c r="P351" s="104"/>
      <c r="Q351" s="107"/>
      <c r="R351" s="107"/>
      <c r="S351" s="107"/>
      <c r="T351" s="107"/>
      <c r="U351" s="105"/>
      <c r="V351" s="107"/>
      <c r="W351" s="107"/>
      <c r="X351" s="107"/>
    </row>
    <row r="352" ht="15.75" customHeight="1">
      <c r="D352" s="104"/>
      <c r="E352" s="104"/>
      <c r="F352" s="105"/>
      <c r="G352" s="105"/>
      <c r="H352" s="104"/>
      <c r="I352" s="104"/>
      <c r="J352" s="104"/>
      <c r="K352" s="106"/>
      <c r="L352" s="104"/>
      <c r="M352" s="107"/>
      <c r="N352" s="106"/>
      <c r="O352" s="104"/>
      <c r="P352" s="104"/>
      <c r="Q352" s="107"/>
      <c r="R352" s="107"/>
      <c r="S352" s="107"/>
      <c r="T352" s="107"/>
      <c r="U352" s="105"/>
      <c r="V352" s="107"/>
      <c r="W352" s="107"/>
      <c r="X352" s="107"/>
    </row>
    <row r="353" ht="15.75" customHeight="1">
      <c r="D353" s="104"/>
      <c r="E353" s="104"/>
      <c r="F353" s="105"/>
      <c r="G353" s="105"/>
      <c r="H353" s="104"/>
      <c r="I353" s="104"/>
      <c r="J353" s="104"/>
      <c r="K353" s="106"/>
      <c r="L353" s="104"/>
      <c r="M353" s="107"/>
      <c r="N353" s="106"/>
      <c r="O353" s="104"/>
      <c r="P353" s="104"/>
      <c r="Q353" s="107"/>
      <c r="R353" s="107"/>
      <c r="S353" s="107"/>
      <c r="T353" s="107"/>
      <c r="U353" s="105"/>
      <c r="V353" s="107"/>
      <c r="W353" s="107"/>
      <c r="X353" s="107"/>
    </row>
    <row r="354" ht="15.75" customHeight="1">
      <c r="D354" s="104"/>
      <c r="E354" s="104"/>
      <c r="F354" s="105"/>
      <c r="G354" s="105"/>
      <c r="H354" s="104"/>
      <c r="I354" s="104"/>
      <c r="J354" s="104"/>
      <c r="K354" s="106"/>
      <c r="L354" s="104"/>
      <c r="M354" s="107"/>
      <c r="N354" s="106"/>
      <c r="O354" s="104"/>
      <c r="P354" s="104"/>
      <c r="Q354" s="107"/>
      <c r="R354" s="107"/>
      <c r="S354" s="107"/>
      <c r="T354" s="107"/>
      <c r="U354" s="105"/>
      <c r="V354" s="107"/>
      <c r="W354" s="107"/>
      <c r="X354" s="107"/>
    </row>
    <row r="355" ht="15.75" customHeight="1">
      <c r="D355" s="104"/>
      <c r="E355" s="104"/>
      <c r="F355" s="105"/>
      <c r="G355" s="105"/>
      <c r="H355" s="104"/>
      <c r="I355" s="104"/>
      <c r="J355" s="104"/>
      <c r="K355" s="106"/>
      <c r="L355" s="104"/>
      <c r="M355" s="107"/>
      <c r="N355" s="106"/>
      <c r="O355" s="104"/>
      <c r="P355" s="104"/>
      <c r="Q355" s="107"/>
      <c r="R355" s="107"/>
      <c r="S355" s="107"/>
      <c r="T355" s="107"/>
      <c r="U355" s="105"/>
      <c r="V355" s="107"/>
      <c r="W355" s="107"/>
      <c r="X355" s="107"/>
    </row>
    <row r="356" ht="15.75" customHeight="1">
      <c r="D356" s="104"/>
      <c r="E356" s="104"/>
      <c r="F356" s="105"/>
      <c r="G356" s="105"/>
      <c r="H356" s="104"/>
      <c r="I356" s="104"/>
      <c r="J356" s="104"/>
      <c r="K356" s="106"/>
      <c r="L356" s="104"/>
      <c r="M356" s="107"/>
      <c r="N356" s="106"/>
      <c r="O356" s="104"/>
      <c r="P356" s="104"/>
      <c r="Q356" s="107"/>
      <c r="R356" s="107"/>
      <c r="S356" s="107"/>
      <c r="T356" s="107"/>
      <c r="U356" s="105"/>
      <c r="V356" s="107"/>
      <c r="W356" s="107"/>
      <c r="X356" s="107"/>
    </row>
    <row r="357" ht="15.75" customHeight="1">
      <c r="D357" s="104"/>
      <c r="E357" s="104"/>
      <c r="F357" s="105"/>
      <c r="G357" s="105"/>
      <c r="H357" s="104"/>
      <c r="I357" s="104"/>
      <c r="J357" s="104"/>
      <c r="K357" s="106"/>
      <c r="L357" s="104"/>
      <c r="M357" s="107"/>
      <c r="N357" s="106"/>
      <c r="O357" s="104"/>
      <c r="P357" s="104"/>
      <c r="Q357" s="107"/>
      <c r="R357" s="107"/>
      <c r="S357" s="107"/>
      <c r="T357" s="107"/>
      <c r="U357" s="105"/>
      <c r="V357" s="107"/>
      <c r="W357" s="107"/>
      <c r="X357" s="107"/>
    </row>
    <row r="358" ht="15.75" customHeight="1">
      <c r="D358" s="104"/>
      <c r="E358" s="104"/>
      <c r="F358" s="105"/>
      <c r="G358" s="105"/>
      <c r="H358" s="104"/>
      <c r="I358" s="104"/>
      <c r="J358" s="104"/>
      <c r="K358" s="106"/>
      <c r="L358" s="104"/>
      <c r="M358" s="107"/>
      <c r="N358" s="106"/>
      <c r="O358" s="104"/>
      <c r="P358" s="104"/>
      <c r="Q358" s="107"/>
      <c r="R358" s="107"/>
      <c r="S358" s="107"/>
      <c r="T358" s="107"/>
      <c r="U358" s="105"/>
      <c r="V358" s="107"/>
      <c r="W358" s="107"/>
      <c r="X358" s="107"/>
    </row>
    <row r="359" ht="15.75" customHeight="1">
      <c r="D359" s="104"/>
      <c r="E359" s="104"/>
      <c r="F359" s="105"/>
      <c r="G359" s="105"/>
      <c r="H359" s="104"/>
      <c r="I359" s="104"/>
      <c r="J359" s="104"/>
      <c r="K359" s="106"/>
      <c r="L359" s="104"/>
      <c r="M359" s="107"/>
      <c r="N359" s="106"/>
      <c r="O359" s="104"/>
      <c r="P359" s="104"/>
      <c r="Q359" s="107"/>
      <c r="R359" s="107"/>
      <c r="S359" s="107"/>
      <c r="T359" s="107"/>
      <c r="U359" s="105"/>
      <c r="V359" s="107"/>
      <c r="W359" s="107"/>
      <c r="X359" s="107"/>
    </row>
    <row r="360" ht="15.75" customHeight="1">
      <c r="D360" s="104"/>
      <c r="E360" s="104"/>
      <c r="F360" s="105"/>
      <c r="G360" s="105"/>
      <c r="H360" s="104"/>
      <c r="I360" s="104"/>
      <c r="J360" s="104"/>
      <c r="K360" s="106"/>
      <c r="L360" s="104"/>
      <c r="M360" s="107"/>
      <c r="N360" s="106"/>
      <c r="O360" s="104"/>
      <c r="P360" s="104"/>
      <c r="Q360" s="107"/>
      <c r="R360" s="107"/>
      <c r="S360" s="107"/>
      <c r="T360" s="107"/>
      <c r="U360" s="105"/>
      <c r="V360" s="107"/>
      <c r="W360" s="107"/>
      <c r="X360" s="107"/>
    </row>
    <row r="361" ht="15.75" customHeight="1">
      <c r="D361" s="104"/>
      <c r="E361" s="104"/>
      <c r="F361" s="105"/>
      <c r="G361" s="105"/>
      <c r="H361" s="104"/>
      <c r="I361" s="104"/>
      <c r="J361" s="104"/>
      <c r="K361" s="106"/>
      <c r="L361" s="104"/>
      <c r="M361" s="107"/>
      <c r="N361" s="106"/>
      <c r="O361" s="104"/>
      <c r="P361" s="104"/>
      <c r="Q361" s="107"/>
      <c r="R361" s="107"/>
      <c r="S361" s="107"/>
      <c r="T361" s="107"/>
      <c r="U361" s="105"/>
      <c r="V361" s="107"/>
      <c r="W361" s="107"/>
      <c r="X361" s="107"/>
    </row>
    <row r="362" ht="15.75" customHeight="1">
      <c r="D362" s="104"/>
      <c r="E362" s="104"/>
      <c r="F362" s="105"/>
      <c r="G362" s="105"/>
      <c r="H362" s="104"/>
      <c r="I362" s="104"/>
      <c r="J362" s="104"/>
      <c r="K362" s="106"/>
      <c r="L362" s="104"/>
      <c r="M362" s="107"/>
      <c r="N362" s="106"/>
      <c r="O362" s="104"/>
      <c r="P362" s="104"/>
      <c r="Q362" s="107"/>
      <c r="R362" s="107"/>
      <c r="S362" s="107"/>
      <c r="T362" s="107"/>
      <c r="U362" s="105"/>
      <c r="V362" s="107"/>
      <c r="W362" s="107"/>
      <c r="X362" s="107"/>
    </row>
    <row r="363" ht="15.75" customHeight="1">
      <c r="D363" s="104"/>
      <c r="E363" s="104"/>
      <c r="F363" s="105"/>
      <c r="G363" s="105"/>
      <c r="H363" s="104"/>
      <c r="I363" s="104"/>
      <c r="J363" s="104"/>
      <c r="K363" s="106"/>
      <c r="L363" s="104"/>
      <c r="M363" s="107"/>
      <c r="N363" s="106"/>
      <c r="O363" s="104"/>
      <c r="P363" s="104"/>
      <c r="Q363" s="107"/>
      <c r="R363" s="107"/>
      <c r="S363" s="107"/>
      <c r="T363" s="107"/>
      <c r="U363" s="105"/>
      <c r="V363" s="107"/>
      <c r="W363" s="107"/>
      <c r="X363" s="107"/>
    </row>
    <row r="364" ht="15.75" customHeight="1">
      <c r="D364" s="104"/>
      <c r="E364" s="104"/>
      <c r="F364" s="105"/>
      <c r="G364" s="105"/>
      <c r="H364" s="104"/>
      <c r="I364" s="104"/>
      <c r="J364" s="104"/>
      <c r="K364" s="106"/>
      <c r="L364" s="104"/>
      <c r="M364" s="107"/>
      <c r="N364" s="106"/>
      <c r="O364" s="104"/>
      <c r="P364" s="104"/>
      <c r="Q364" s="107"/>
      <c r="R364" s="107"/>
      <c r="S364" s="107"/>
      <c r="T364" s="107"/>
      <c r="U364" s="105"/>
      <c r="V364" s="107"/>
      <c r="W364" s="107"/>
      <c r="X364" s="107"/>
    </row>
    <row r="365" ht="15.75" customHeight="1">
      <c r="D365" s="104"/>
      <c r="E365" s="104"/>
      <c r="F365" s="105"/>
      <c r="G365" s="105"/>
      <c r="H365" s="104"/>
      <c r="I365" s="104"/>
      <c r="J365" s="104"/>
      <c r="K365" s="106"/>
      <c r="L365" s="104"/>
      <c r="M365" s="107"/>
      <c r="N365" s="106"/>
      <c r="O365" s="104"/>
      <c r="P365" s="104"/>
      <c r="Q365" s="107"/>
      <c r="R365" s="107"/>
      <c r="S365" s="107"/>
      <c r="T365" s="107"/>
      <c r="U365" s="105"/>
      <c r="V365" s="107"/>
      <c r="W365" s="107"/>
      <c r="X365" s="107"/>
    </row>
    <row r="366" ht="15.75" customHeight="1">
      <c r="D366" s="104"/>
      <c r="E366" s="104"/>
      <c r="F366" s="105"/>
      <c r="G366" s="105"/>
      <c r="H366" s="104"/>
      <c r="I366" s="104"/>
      <c r="J366" s="104"/>
      <c r="K366" s="106"/>
      <c r="L366" s="104"/>
      <c r="M366" s="107"/>
      <c r="N366" s="106"/>
      <c r="O366" s="104"/>
      <c r="P366" s="104"/>
      <c r="Q366" s="107"/>
      <c r="R366" s="107"/>
      <c r="S366" s="107"/>
      <c r="T366" s="107"/>
      <c r="U366" s="105"/>
      <c r="V366" s="107"/>
      <c r="W366" s="107"/>
      <c r="X366" s="107"/>
    </row>
    <row r="367" ht="15.75" customHeight="1">
      <c r="D367" s="104"/>
      <c r="E367" s="104"/>
      <c r="F367" s="105"/>
      <c r="G367" s="105"/>
      <c r="H367" s="104"/>
      <c r="I367" s="104"/>
      <c r="J367" s="104"/>
      <c r="K367" s="106"/>
      <c r="L367" s="104"/>
      <c r="M367" s="107"/>
      <c r="N367" s="106"/>
      <c r="O367" s="104"/>
      <c r="P367" s="104"/>
      <c r="Q367" s="107"/>
      <c r="R367" s="107"/>
      <c r="S367" s="107"/>
      <c r="T367" s="107"/>
      <c r="U367" s="105"/>
      <c r="V367" s="107"/>
      <c r="W367" s="107"/>
      <c r="X367" s="107"/>
    </row>
    <row r="368" ht="15.75" customHeight="1">
      <c r="D368" s="104"/>
      <c r="E368" s="104"/>
      <c r="F368" s="105"/>
      <c r="G368" s="105"/>
      <c r="H368" s="104"/>
      <c r="I368" s="104"/>
      <c r="J368" s="104"/>
      <c r="K368" s="106"/>
      <c r="L368" s="104"/>
      <c r="M368" s="107"/>
      <c r="N368" s="106"/>
      <c r="O368" s="104"/>
      <c r="P368" s="104"/>
      <c r="Q368" s="107"/>
      <c r="R368" s="107"/>
      <c r="S368" s="107"/>
      <c r="T368" s="107"/>
      <c r="U368" s="105"/>
      <c r="V368" s="107"/>
      <c r="W368" s="107"/>
      <c r="X368" s="107"/>
    </row>
    <row r="369" ht="15.75" customHeight="1">
      <c r="D369" s="104"/>
      <c r="E369" s="104"/>
      <c r="F369" s="105"/>
      <c r="G369" s="105"/>
      <c r="H369" s="104"/>
      <c r="I369" s="104"/>
      <c r="J369" s="104"/>
      <c r="K369" s="106"/>
      <c r="L369" s="104"/>
      <c r="M369" s="107"/>
      <c r="N369" s="106"/>
      <c r="O369" s="104"/>
      <c r="P369" s="104"/>
      <c r="Q369" s="107"/>
      <c r="R369" s="107"/>
      <c r="S369" s="107"/>
      <c r="T369" s="107"/>
      <c r="U369" s="105"/>
      <c r="V369" s="107"/>
      <c r="W369" s="107"/>
      <c r="X369" s="107"/>
    </row>
    <row r="370" ht="15.75" customHeight="1">
      <c r="D370" s="104"/>
      <c r="E370" s="104"/>
      <c r="F370" s="105"/>
      <c r="G370" s="105"/>
      <c r="H370" s="104"/>
      <c r="I370" s="104"/>
      <c r="J370" s="104"/>
      <c r="K370" s="106"/>
      <c r="L370" s="104"/>
      <c r="M370" s="107"/>
      <c r="N370" s="106"/>
      <c r="O370" s="104"/>
      <c r="P370" s="104"/>
      <c r="Q370" s="107"/>
      <c r="R370" s="107"/>
      <c r="S370" s="107"/>
      <c r="T370" s="107"/>
      <c r="U370" s="105"/>
      <c r="V370" s="107"/>
      <c r="W370" s="107"/>
      <c r="X370" s="107"/>
    </row>
    <row r="371" ht="15.75" customHeight="1">
      <c r="D371" s="104"/>
      <c r="E371" s="104"/>
      <c r="F371" s="105"/>
      <c r="G371" s="105"/>
      <c r="H371" s="104"/>
      <c r="I371" s="104"/>
      <c r="J371" s="104"/>
      <c r="K371" s="106"/>
      <c r="L371" s="104"/>
      <c r="M371" s="107"/>
      <c r="N371" s="106"/>
      <c r="O371" s="104"/>
      <c r="P371" s="104"/>
      <c r="Q371" s="107"/>
      <c r="R371" s="107"/>
      <c r="S371" s="107"/>
      <c r="T371" s="107"/>
      <c r="U371" s="105"/>
      <c r="V371" s="107"/>
      <c r="W371" s="107"/>
      <c r="X371" s="107"/>
    </row>
    <row r="372" ht="15.75" customHeight="1">
      <c r="D372" s="104"/>
      <c r="E372" s="104"/>
      <c r="F372" s="105"/>
      <c r="G372" s="105"/>
      <c r="H372" s="104"/>
      <c r="I372" s="104"/>
      <c r="J372" s="104"/>
      <c r="K372" s="106"/>
      <c r="L372" s="104"/>
      <c r="M372" s="107"/>
      <c r="N372" s="106"/>
      <c r="O372" s="104"/>
      <c r="P372" s="104"/>
      <c r="Q372" s="107"/>
      <c r="R372" s="107"/>
      <c r="S372" s="107"/>
      <c r="T372" s="107"/>
      <c r="U372" s="105"/>
      <c r="V372" s="107"/>
      <c r="W372" s="107"/>
      <c r="X372" s="107"/>
    </row>
    <row r="373" ht="15.75" customHeight="1">
      <c r="D373" s="104"/>
      <c r="E373" s="104"/>
      <c r="F373" s="105"/>
      <c r="G373" s="105"/>
      <c r="H373" s="104"/>
      <c r="I373" s="104"/>
      <c r="J373" s="104"/>
      <c r="K373" s="106"/>
      <c r="L373" s="104"/>
      <c r="M373" s="107"/>
      <c r="N373" s="106"/>
      <c r="O373" s="104"/>
      <c r="P373" s="104"/>
      <c r="Q373" s="107"/>
      <c r="R373" s="107"/>
      <c r="S373" s="107"/>
      <c r="T373" s="107"/>
      <c r="U373" s="105"/>
      <c r="V373" s="107"/>
      <c r="W373" s="107"/>
      <c r="X373" s="107"/>
    </row>
    <row r="374" ht="15.75" customHeight="1">
      <c r="D374" s="104"/>
      <c r="E374" s="104"/>
      <c r="F374" s="105"/>
      <c r="G374" s="105"/>
      <c r="H374" s="104"/>
      <c r="I374" s="104"/>
      <c r="J374" s="104"/>
      <c r="K374" s="106"/>
      <c r="L374" s="104"/>
      <c r="M374" s="107"/>
      <c r="N374" s="106"/>
      <c r="O374" s="104"/>
      <c r="P374" s="104"/>
      <c r="Q374" s="107"/>
      <c r="R374" s="107"/>
      <c r="S374" s="107"/>
      <c r="T374" s="107"/>
      <c r="U374" s="105"/>
      <c r="V374" s="107"/>
      <c r="W374" s="107"/>
      <c r="X374" s="107"/>
    </row>
    <row r="375" ht="15.75" customHeight="1">
      <c r="D375" s="104"/>
      <c r="E375" s="104"/>
      <c r="F375" s="105"/>
      <c r="G375" s="105"/>
      <c r="H375" s="104"/>
      <c r="I375" s="104"/>
      <c r="J375" s="104"/>
      <c r="K375" s="106"/>
      <c r="L375" s="104"/>
      <c r="M375" s="107"/>
      <c r="N375" s="106"/>
      <c r="O375" s="104"/>
      <c r="P375" s="104"/>
      <c r="Q375" s="107"/>
      <c r="R375" s="107"/>
      <c r="S375" s="107"/>
      <c r="T375" s="107"/>
      <c r="U375" s="105"/>
      <c r="V375" s="107"/>
      <c r="W375" s="107"/>
      <c r="X375" s="107"/>
    </row>
    <row r="376" ht="15.75" customHeight="1">
      <c r="D376" s="104"/>
      <c r="E376" s="104"/>
      <c r="F376" s="105"/>
      <c r="G376" s="105"/>
      <c r="H376" s="104"/>
      <c r="I376" s="104"/>
      <c r="J376" s="104"/>
      <c r="K376" s="106"/>
      <c r="L376" s="104"/>
      <c r="M376" s="107"/>
      <c r="N376" s="106"/>
      <c r="O376" s="104"/>
      <c r="P376" s="104"/>
      <c r="Q376" s="107"/>
      <c r="R376" s="107"/>
      <c r="S376" s="107"/>
      <c r="T376" s="107"/>
      <c r="U376" s="105"/>
      <c r="V376" s="107"/>
      <c r="W376" s="107"/>
      <c r="X376" s="107"/>
    </row>
    <row r="377" ht="15.75" customHeight="1">
      <c r="D377" s="104"/>
      <c r="E377" s="104"/>
      <c r="F377" s="105"/>
      <c r="G377" s="105"/>
      <c r="H377" s="104"/>
      <c r="I377" s="104"/>
      <c r="J377" s="104"/>
      <c r="K377" s="106"/>
      <c r="L377" s="104"/>
      <c r="M377" s="107"/>
      <c r="N377" s="106"/>
      <c r="O377" s="104"/>
      <c r="P377" s="104"/>
      <c r="Q377" s="107"/>
      <c r="R377" s="107"/>
      <c r="S377" s="107"/>
      <c r="T377" s="107"/>
      <c r="U377" s="105"/>
      <c r="V377" s="107"/>
      <c r="W377" s="107"/>
      <c r="X377" s="107"/>
    </row>
    <row r="378" ht="15.75" customHeight="1">
      <c r="D378" s="104"/>
      <c r="E378" s="104"/>
      <c r="F378" s="105"/>
      <c r="G378" s="105"/>
      <c r="H378" s="104"/>
      <c r="I378" s="104"/>
      <c r="J378" s="104"/>
      <c r="K378" s="106"/>
      <c r="L378" s="104"/>
      <c r="M378" s="107"/>
      <c r="N378" s="106"/>
      <c r="O378" s="104"/>
      <c r="P378" s="104"/>
      <c r="Q378" s="107"/>
      <c r="R378" s="107"/>
      <c r="S378" s="107"/>
      <c r="T378" s="107"/>
      <c r="U378" s="105"/>
      <c r="V378" s="107"/>
      <c r="W378" s="107"/>
      <c r="X378" s="107"/>
    </row>
    <row r="379" ht="15.75" customHeight="1">
      <c r="D379" s="104"/>
      <c r="E379" s="104"/>
      <c r="F379" s="105"/>
      <c r="G379" s="105"/>
      <c r="H379" s="104"/>
      <c r="I379" s="104"/>
      <c r="J379" s="104"/>
      <c r="K379" s="106"/>
      <c r="L379" s="104"/>
      <c r="M379" s="107"/>
      <c r="N379" s="106"/>
      <c r="O379" s="104"/>
      <c r="P379" s="104"/>
      <c r="Q379" s="107"/>
      <c r="R379" s="107"/>
      <c r="S379" s="107"/>
      <c r="T379" s="107"/>
      <c r="U379" s="105"/>
      <c r="V379" s="107"/>
      <c r="W379" s="107"/>
      <c r="X379" s="107"/>
    </row>
    <row r="380" ht="15.75" customHeight="1">
      <c r="D380" s="104"/>
      <c r="E380" s="104"/>
      <c r="F380" s="105"/>
      <c r="G380" s="105"/>
      <c r="H380" s="104"/>
      <c r="I380" s="104"/>
      <c r="J380" s="104"/>
      <c r="K380" s="106"/>
      <c r="L380" s="104"/>
      <c r="M380" s="107"/>
      <c r="N380" s="106"/>
      <c r="O380" s="104"/>
      <c r="P380" s="104"/>
      <c r="Q380" s="107"/>
      <c r="R380" s="107"/>
      <c r="S380" s="107"/>
      <c r="T380" s="107"/>
      <c r="U380" s="105"/>
      <c r="V380" s="107"/>
      <c r="W380" s="107"/>
      <c r="X380" s="107"/>
    </row>
    <row r="381" ht="15.75" customHeight="1">
      <c r="D381" s="104"/>
      <c r="E381" s="104"/>
      <c r="F381" s="105"/>
      <c r="G381" s="105"/>
      <c r="H381" s="104"/>
      <c r="I381" s="104"/>
      <c r="J381" s="104"/>
      <c r="K381" s="106"/>
      <c r="L381" s="104"/>
      <c r="M381" s="107"/>
      <c r="N381" s="106"/>
      <c r="O381" s="104"/>
      <c r="P381" s="104"/>
      <c r="Q381" s="107"/>
      <c r="R381" s="107"/>
      <c r="S381" s="107"/>
      <c r="T381" s="107"/>
      <c r="U381" s="105"/>
      <c r="V381" s="107"/>
      <c r="W381" s="107"/>
      <c r="X381" s="107"/>
    </row>
    <row r="382" ht="15.75" customHeight="1">
      <c r="D382" s="104"/>
      <c r="E382" s="104"/>
      <c r="F382" s="105"/>
      <c r="G382" s="105"/>
      <c r="H382" s="104"/>
      <c r="I382" s="104"/>
      <c r="J382" s="104"/>
      <c r="K382" s="106"/>
      <c r="L382" s="104"/>
      <c r="M382" s="107"/>
      <c r="N382" s="106"/>
      <c r="O382" s="104"/>
      <c r="P382" s="104"/>
      <c r="Q382" s="107"/>
      <c r="R382" s="107"/>
      <c r="S382" s="107"/>
      <c r="T382" s="107"/>
      <c r="U382" s="105"/>
      <c r="V382" s="107"/>
      <c r="W382" s="107"/>
      <c r="X382" s="107"/>
    </row>
    <row r="383" ht="15.75" customHeight="1">
      <c r="D383" s="104"/>
      <c r="E383" s="104"/>
      <c r="F383" s="105"/>
      <c r="G383" s="105"/>
      <c r="H383" s="104"/>
      <c r="I383" s="104"/>
      <c r="J383" s="104"/>
      <c r="K383" s="106"/>
      <c r="L383" s="104"/>
      <c r="M383" s="107"/>
      <c r="N383" s="106"/>
      <c r="O383" s="104"/>
      <c r="P383" s="104"/>
      <c r="Q383" s="107"/>
      <c r="R383" s="107"/>
      <c r="S383" s="107"/>
      <c r="T383" s="107"/>
      <c r="U383" s="105"/>
      <c r="V383" s="107"/>
      <c r="W383" s="107"/>
      <c r="X383" s="107"/>
    </row>
    <row r="384" ht="15.75" customHeight="1">
      <c r="D384" s="104"/>
      <c r="E384" s="104"/>
      <c r="F384" s="105"/>
      <c r="G384" s="105"/>
      <c r="H384" s="104"/>
      <c r="I384" s="104"/>
      <c r="J384" s="104"/>
      <c r="K384" s="106"/>
      <c r="L384" s="104"/>
      <c r="M384" s="107"/>
      <c r="N384" s="106"/>
      <c r="O384" s="104"/>
      <c r="P384" s="104"/>
      <c r="Q384" s="107"/>
      <c r="R384" s="107"/>
      <c r="S384" s="107"/>
      <c r="T384" s="107"/>
      <c r="U384" s="105"/>
      <c r="V384" s="107"/>
      <c r="W384" s="107"/>
      <c r="X384" s="107"/>
    </row>
    <row r="385" ht="15.75" customHeight="1">
      <c r="D385" s="104"/>
      <c r="E385" s="104"/>
      <c r="F385" s="105"/>
      <c r="G385" s="105"/>
      <c r="H385" s="104"/>
      <c r="I385" s="104"/>
      <c r="J385" s="104"/>
      <c r="K385" s="106"/>
      <c r="L385" s="104"/>
      <c r="M385" s="107"/>
      <c r="N385" s="106"/>
      <c r="O385" s="104"/>
      <c r="P385" s="104"/>
      <c r="Q385" s="107"/>
      <c r="R385" s="107"/>
      <c r="S385" s="107"/>
      <c r="T385" s="107"/>
      <c r="U385" s="105"/>
      <c r="V385" s="107"/>
      <c r="W385" s="107"/>
      <c r="X385" s="107"/>
    </row>
    <row r="386" ht="15.75" customHeight="1">
      <c r="D386" s="104"/>
      <c r="E386" s="104"/>
      <c r="F386" s="105"/>
      <c r="G386" s="105"/>
      <c r="H386" s="104"/>
      <c r="I386" s="104"/>
      <c r="J386" s="104"/>
      <c r="K386" s="106"/>
      <c r="L386" s="104"/>
      <c r="M386" s="107"/>
      <c r="N386" s="106"/>
      <c r="O386" s="104"/>
      <c r="P386" s="104"/>
      <c r="Q386" s="107"/>
      <c r="R386" s="107"/>
      <c r="S386" s="107"/>
      <c r="T386" s="107"/>
      <c r="U386" s="105"/>
      <c r="V386" s="107"/>
      <c r="W386" s="107"/>
      <c r="X386" s="107"/>
    </row>
    <row r="387" ht="15.75" customHeight="1">
      <c r="D387" s="104"/>
      <c r="E387" s="104"/>
      <c r="F387" s="105"/>
      <c r="G387" s="105"/>
      <c r="H387" s="104"/>
      <c r="I387" s="104"/>
      <c r="J387" s="104"/>
      <c r="K387" s="106"/>
      <c r="L387" s="104"/>
      <c r="M387" s="107"/>
      <c r="N387" s="106"/>
      <c r="O387" s="104"/>
      <c r="P387" s="104"/>
      <c r="Q387" s="107"/>
      <c r="R387" s="107"/>
      <c r="S387" s="107"/>
      <c r="T387" s="107"/>
      <c r="U387" s="105"/>
      <c r="V387" s="107"/>
      <c r="W387" s="107"/>
      <c r="X387" s="107"/>
    </row>
    <row r="388" ht="15.75" customHeight="1">
      <c r="D388" s="104"/>
      <c r="E388" s="104"/>
      <c r="F388" s="105"/>
      <c r="G388" s="105"/>
      <c r="H388" s="104"/>
      <c r="I388" s="104"/>
      <c r="J388" s="104"/>
      <c r="K388" s="106"/>
      <c r="L388" s="104"/>
      <c r="M388" s="107"/>
      <c r="N388" s="106"/>
      <c r="O388" s="104"/>
      <c r="P388" s="104"/>
      <c r="Q388" s="107"/>
      <c r="R388" s="107"/>
      <c r="S388" s="107"/>
      <c r="T388" s="107"/>
      <c r="U388" s="105"/>
      <c r="V388" s="107"/>
      <c r="W388" s="107"/>
      <c r="X388" s="107"/>
    </row>
    <row r="389" ht="15.75" customHeight="1">
      <c r="D389" s="104"/>
      <c r="E389" s="104"/>
      <c r="F389" s="105"/>
      <c r="G389" s="105"/>
      <c r="H389" s="104"/>
      <c r="I389" s="104"/>
      <c r="J389" s="104"/>
      <c r="K389" s="106"/>
      <c r="L389" s="104"/>
      <c r="M389" s="107"/>
      <c r="N389" s="106"/>
      <c r="O389" s="104"/>
      <c r="P389" s="104"/>
      <c r="Q389" s="107"/>
      <c r="R389" s="107"/>
      <c r="S389" s="107"/>
      <c r="T389" s="107"/>
      <c r="U389" s="105"/>
      <c r="V389" s="107"/>
      <c r="W389" s="107"/>
      <c r="X389" s="107"/>
    </row>
    <row r="390" ht="15.75" customHeight="1">
      <c r="D390" s="104"/>
      <c r="E390" s="104"/>
      <c r="F390" s="105"/>
      <c r="G390" s="105"/>
      <c r="H390" s="104"/>
      <c r="I390" s="104"/>
      <c r="J390" s="104"/>
      <c r="K390" s="106"/>
      <c r="L390" s="104"/>
      <c r="M390" s="107"/>
      <c r="N390" s="106"/>
      <c r="O390" s="104"/>
      <c r="P390" s="104"/>
      <c r="Q390" s="107"/>
      <c r="R390" s="107"/>
      <c r="S390" s="107"/>
      <c r="T390" s="107"/>
      <c r="U390" s="105"/>
      <c r="V390" s="107"/>
      <c r="W390" s="107"/>
      <c r="X390" s="107"/>
    </row>
    <row r="391" ht="15.75" customHeight="1">
      <c r="D391" s="104"/>
      <c r="E391" s="104"/>
      <c r="F391" s="105"/>
      <c r="G391" s="105"/>
      <c r="H391" s="104"/>
      <c r="I391" s="104"/>
      <c r="J391" s="104"/>
      <c r="K391" s="106"/>
      <c r="L391" s="104"/>
      <c r="M391" s="107"/>
      <c r="N391" s="106"/>
      <c r="O391" s="104"/>
      <c r="P391" s="104"/>
      <c r="Q391" s="107"/>
      <c r="R391" s="107"/>
      <c r="S391" s="107"/>
      <c r="T391" s="107"/>
      <c r="U391" s="105"/>
      <c r="V391" s="107"/>
      <c r="W391" s="107"/>
      <c r="X391" s="107"/>
    </row>
    <row r="392" ht="15.75" customHeight="1">
      <c r="D392" s="104"/>
      <c r="E392" s="104"/>
      <c r="F392" s="105"/>
      <c r="G392" s="105"/>
      <c r="H392" s="104"/>
      <c r="I392" s="104"/>
      <c r="J392" s="104"/>
      <c r="K392" s="106"/>
      <c r="L392" s="104"/>
      <c r="M392" s="107"/>
      <c r="N392" s="106"/>
      <c r="O392" s="104"/>
      <c r="P392" s="104"/>
      <c r="Q392" s="107"/>
      <c r="R392" s="107"/>
      <c r="S392" s="107"/>
      <c r="T392" s="107"/>
      <c r="U392" s="105"/>
      <c r="V392" s="107"/>
      <c r="W392" s="107"/>
      <c r="X392" s="107"/>
    </row>
    <row r="393" ht="15.75" customHeight="1">
      <c r="D393" s="104"/>
      <c r="E393" s="104"/>
      <c r="F393" s="105"/>
      <c r="G393" s="105"/>
      <c r="H393" s="104"/>
      <c r="I393" s="104"/>
      <c r="J393" s="104"/>
      <c r="K393" s="106"/>
      <c r="L393" s="104"/>
      <c r="M393" s="107"/>
      <c r="N393" s="106"/>
      <c r="O393" s="104"/>
      <c r="P393" s="104"/>
      <c r="Q393" s="107"/>
      <c r="R393" s="107"/>
      <c r="S393" s="107"/>
      <c r="T393" s="107"/>
      <c r="U393" s="105"/>
      <c r="V393" s="107"/>
      <c r="W393" s="107"/>
      <c r="X393" s="107"/>
    </row>
    <row r="394" ht="15.75" customHeight="1">
      <c r="D394" s="104"/>
      <c r="E394" s="104"/>
      <c r="F394" s="105"/>
      <c r="G394" s="105"/>
      <c r="H394" s="104"/>
      <c r="I394" s="104"/>
      <c r="J394" s="104"/>
      <c r="K394" s="106"/>
      <c r="L394" s="104"/>
      <c r="M394" s="107"/>
      <c r="N394" s="106"/>
      <c r="O394" s="104"/>
      <c r="P394" s="104"/>
      <c r="Q394" s="107"/>
      <c r="R394" s="107"/>
      <c r="S394" s="107"/>
      <c r="T394" s="107"/>
      <c r="U394" s="105"/>
      <c r="V394" s="107"/>
      <c r="W394" s="107"/>
      <c r="X394" s="107"/>
    </row>
    <row r="395" ht="15.75" customHeight="1">
      <c r="D395" s="104"/>
      <c r="E395" s="104"/>
      <c r="F395" s="105"/>
      <c r="G395" s="105"/>
      <c r="H395" s="104"/>
      <c r="I395" s="104"/>
      <c r="J395" s="104"/>
      <c r="K395" s="106"/>
      <c r="L395" s="104"/>
      <c r="M395" s="107"/>
      <c r="N395" s="106"/>
      <c r="O395" s="104"/>
      <c r="P395" s="104"/>
      <c r="Q395" s="107"/>
      <c r="R395" s="107"/>
      <c r="S395" s="107"/>
      <c r="T395" s="107"/>
      <c r="U395" s="105"/>
      <c r="V395" s="107"/>
      <c r="W395" s="107"/>
      <c r="X395" s="107"/>
    </row>
    <row r="396" ht="15.75" customHeight="1">
      <c r="D396" s="104"/>
      <c r="E396" s="104"/>
      <c r="F396" s="105"/>
      <c r="G396" s="105"/>
      <c r="H396" s="104"/>
      <c r="I396" s="104"/>
      <c r="J396" s="104"/>
      <c r="K396" s="106"/>
      <c r="L396" s="104"/>
      <c r="M396" s="107"/>
      <c r="N396" s="106"/>
      <c r="O396" s="104"/>
      <c r="P396" s="104"/>
      <c r="Q396" s="107"/>
      <c r="R396" s="107"/>
      <c r="S396" s="107"/>
      <c r="T396" s="107"/>
      <c r="U396" s="105"/>
      <c r="V396" s="107"/>
      <c r="W396" s="107"/>
      <c r="X396" s="107"/>
    </row>
    <row r="397" ht="15.75" customHeight="1">
      <c r="D397" s="104"/>
      <c r="E397" s="104"/>
      <c r="F397" s="105"/>
      <c r="G397" s="105"/>
      <c r="H397" s="104"/>
      <c r="I397" s="104"/>
      <c r="J397" s="104"/>
      <c r="K397" s="106"/>
      <c r="L397" s="104"/>
      <c r="M397" s="107"/>
      <c r="N397" s="106"/>
      <c r="O397" s="104"/>
      <c r="P397" s="104"/>
      <c r="Q397" s="107"/>
      <c r="R397" s="107"/>
      <c r="S397" s="107"/>
      <c r="T397" s="107"/>
      <c r="U397" s="105"/>
      <c r="V397" s="107"/>
      <c r="W397" s="107"/>
      <c r="X397" s="107"/>
    </row>
    <row r="398" ht="15.75" customHeight="1">
      <c r="D398" s="104"/>
      <c r="E398" s="104"/>
      <c r="F398" s="105"/>
      <c r="G398" s="105"/>
      <c r="H398" s="104"/>
      <c r="I398" s="104"/>
      <c r="J398" s="104"/>
      <c r="K398" s="106"/>
      <c r="L398" s="104"/>
      <c r="M398" s="107"/>
      <c r="N398" s="106"/>
      <c r="O398" s="104"/>
      <c r="P398" s="104"/>
      <c r="Q398" s="107"/>
      <c r="R398" s="107"/>
      <c r="S398" s="107"/>
      <c r="T398" s="107"/>
      <c r="U398" s="105"/>
      <c r="V398" s="107"/>
      <c r="W398" s="107"/>
      <c r="X398" s="107"/>
    </row>
    <row r="399" ht="15.75" customHeight="1">
      <c r="D399" s="104"/>
      <c r="E399" s="104"/>
      <c r="F399" s="105"/>
      <c r="G399" s="105"/>
      <c r="H399" s="104"/>
      <c r="I399" s="104"/>
      <c r="J399" s="104"/>
      <c r="K399" s="106"/>
      <c r="L399" s="104"/>
      <c r="M399" s="107"/>
      <c r="N399" s="106"/>
      <c r="O399" s="104"/>
      <c r="P399" s="104"/>
      <c r="Q399" s="107"/>
      <c r="R399" s="107"/>
      <c r="S399" s="107"/>
      <c r="T399" s="107"/>
      <c r="U399" s="105"/>
      <c r="V399" s="107"/>
      <c r="W399" s="107"/>
      <c r="X399" s="107"/>
    </row>
    <row r="400" ht="15.75" customHeight="1">
      <c r="D400" s="104"/>
      <c r="E400" s="104"/>
      <c r="F400" s="105"/>
      <c r="G400" s="105"/>
      <c r="H400" s="104"/>
      <c r="I400" s="104"/>
      <c r="J400" s="104"/>
      <c r="K400" s="106"/>
      <c r="L400" s="104"/>
      <c r="M400" s="107"/>
      <c r="N400" s="106"/>
      <c r="O400" s="104"/>
      <c r="P400" s="104"/>
      <c r="Q400" s="107"/>
      <c r="R400" s="107"/>
      <c r="S400" s="107"/>
      <c r="T400" s="107"/>
      <c r="U400" s="105"/>
      <c r="V400" s="107"/>
      <c r="W400" s="107"/>
      <c r="X400" s="107"/>
    </row>
    <row r="401" ht="15.75" customHeight="1">
      <c r="D401" s="104"/>
      <c r="E401" s="104"/>
      <c r="F401" s="105"/>
      <c r="G401" s="105"/>
      <c r="H401" s="104"/>
      <c r="I401" s="104"/>
      <c r="J401" s="104"/>
      <c r="K401" s="106"/>
      <c r="L401" s="104"/>
      <c r="M401" s="107"/>
      <c r="N401" s="106"/>
      <c r="O401" s="104"/>
      <c r="P401" s="104"/>
      <c r="Q401" s="107"/>
      <c r="R401" s="107"/>
      <c r="S401" s="107"/>
      <c r="T401" s="107"/>
      <c r="U401" s="105"/>
      <c r="V401" s="107"/>
      <c r="W401" s="107"/>
      <c r="X401" s="107"/>
    </row>
    <row r="402" ht="15.75" customHeight="1">
      <c r="D402" s="104"/>
      <c r="E402" s="104"/>
      <c r="F402" s="105"/>
      <c r="G402" s="105"/>
      <c r="H402" s="104"/>
      <c r="I402" s="104"/>
      <c r="J402" s="104"/>
      <c r="K402" s="106"/>
      <c r="L402" s="104"/>
      <c r="M402" s="107"/>
      <c r="N402" s="106"/>
      <c r="O402" s="104"/>
      <c r="P402" s="104"/>
      <c r="Q402" s="107"/>
      <c r="R402" s="107"/>
      <c r="S402" s="107"/>
      <c r="T402" s="107"/>
      <c r="U402" s="105"/>
      <c r="V402" s="107"/>
      <c r="W402" s="107"/>
      <c r="X402" s="107"/>
    </row>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Q">
    <cfRule type="expression" dxfId="0" priority="1">
      <formula>Multiply(0.06,M)</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6.25"/>
    <col customWidth="1" min="3" max="3" width="17.88"/>
    <col customWidth="1" min="4" max="4" width="5.63"/>
    <col customWidth="1" min="5" max="5" width="7.88"/>
    <col customWidth="1" min="6" max="6" width="7.0"/>
    <col customWidth="1" min="7" max="8" width="4.5"/>
    <col customWidth="1" min="9" max="9" width="10.75"/>
    <col customWidth="1" min="10" max="10" width="6.25"/>
    <col customWidth="1" min="11" max="11" width="6.63"/>
    <col customWidth="1" min="12" max="12" width="6.25"/>
    <col customWidth="1" min="13" max="13" width="8.75"/>
    <col customWidth="1" min="14" max="14" width="7.75"/>
    <col customWidth="1" min="15" max="15" width="6.13"/>
    <col customWidth="1" min="16" max="16" width="5.38"/>
    <col customWidth="1" min="17" max="17" width="8.63"/>
    <col customWidth="1" min="18" max="18" width="8.25"/>
    <col customWidth="1" min="19" max="19" width="8.75"/>
    <col customWidth="1" min="20" max="20" width="6.25"/>
    <col customWidth="1" min="21" max="21" width="7.63"/>
    <col customWidth="1" min="22" max="22" width="6.38"/>
    <col customWidth="1" min="23" max="23" width="11.5"/>
    <col customWidth="1" min="24" max="24" width="13.63"/>
    <col customWidth="1" min="25" max="25" width="6.38"/>
    <col customWidth="1" min="26" max="26" width="5.88"/>
    <col customWidth="1" min="27" max="27" width="8.5"/>
    <col customWidth="1" min="28" max="28" width="11.13"/>
    <col customWidth="1" min="29" max="29" width="14.75"/>
    <col customWidth="1" min="30" max="30" width="8.75"/>
    <col customWidth="1" min="31" max="31" width="8.5"/>
    <col customWidth="1" min="32" max="32" width="7.63"/>
    <col customWidth="1" min="33" max="33" width="10.63"/>
    <col customWidth="1" min="34" max="34" width="10.38"/>
    <col customWidth="1" min="35" max="35" width="17.25"/>
    <col customWidth="1" min="36" max="36" width="16.5"/>
    <col customWidth="1" min="37" max="37" width="10.88"/>
    <col customWidth="1" min="38" max="38" width="9.5"/>
    <col customWidth="1" min="39" max="39" width="11.75"/>
    <col customWidth="1" min="40" max="40" width="8.38"/>
    <col customWidth="1" min="41" max="41" width="10.88"/>
    <col customWidth="1" min="42" max="42" width="10.75"/>
    <col customWidth="1" min="43" max="51" width="9.5"/>
    <col customWidth="1" min="52" max="52" width="10.5"/>
    <col customWidth="1" min="53" max="53" width="10.38"/>
    <col customWidth="1" min="54" max="58" width="10.5"/>
    <col customWidth="1" min="59" max="59" width="8.25"/>
    <col customWidth="1" min="60" max="61" width="8.63"/>
  </cols>
  <sheetData>
    <row r="1" ht="15.75" customHeight="1">
      <c r="A1" s="99" t="s">
        <v>1</v>
      </c>
      <c r="B1" s="99" t="s">
        <v>2</v>
      </c>
      <c r="C1" s="99" t="s">
        <v>0</v>
      </c>
      <c r="D1" s="99" t="s">
        <v>76</v>
      </c>
      <c r="E1" s="99" t="s">
        <v>4</v>
      </c>
      <c r="F1" s="100" t="s">
        <v>468</v>
      </c>
      <c r="G1" s="99"/>
      <c r="H1" s="99" t="s">
        <v>7</v>
      </c>
      <c r="I1" s="99" t="s">
        <v>8</v>
      </c>
      <c r="J1" s="99" t="s">
        <v>9</v>
      </c>
      <c r="K1" s="101" t="s">
        <v>10</v>
      </c>
      <c r="L1" s="99" t="s">
        <v>12</v>
      </c>
      <c r="M1" s="46" t="s">
        <v>13</v>
      </c>
      <c r="N1" s="101" t="s">
        <v>14</v>
      </c>
      <c r="O1" s="99" t="s">
        <v>15</v>
      </c>
      <c r="P1" s="99" t="s">
        <v>11</v>
      </c>
      <c r="Q1" s="46" t="s">
        <v>16</v>
      </c>
      <c r="R1" s="46" t="s">
        <v>469</v>
      </c>
      <c r="S1" s="46" t="s">
        <v>19</v>
      </c>
      <c r="T1" s="46" t="s">
        <v>20</v>
      </c>
      <c r="U1" s="99" t="s">
        <v>21</v>
      </c>
      <c r="V1" s="46" t="s">
        <v>22</v>
      </c>
      <c r="W1" s="46" t="s">
        <v>23</v>
      </c>
      <c r="X1" s="46" t="s">
        <v>24</v>
      </c>
      <c r="Y1" s="99" t="s">
        <v>25</v>
      </c>
      <c r="Z1" s="99" t="s">
        <v>26</v>
      </c>
      <c r="AA1" s="99" t="s">
        <v>470</v>
      </c>
      <c r="AB1" s="99" t="s">
        <v>471</v>
      </c>
      <c r="AC1" s="99" t="s">
        <v>472</v>
      </c>
      <c r="AD1" s="99" t="s">
        <v>473</v>
      </c>
      <c r="AE1" s="99" t="s">
        <v>474</v>
      </c>
      <c r="AF1" s="99" t="s">
        <v>475</v>
      </c>
      <c r="AG1" s="99" t="s">
        <v>476</v>
      </c>
      <c r="AH1" s="99" t="s">
        <v>477</v>
      </c>
      <c r="AI1" s="99" t="s">
        <v>478</v>
      </c>
      <c r="AJ1" s="99" t="s">
        <v>479</v>
      </c>
      <c r="AK1" s="99" t="s">
        <v>480</v>
      </c>
      <c r="AL1" s="99" t="s">
        <v>481</v>
      </c>
      <c r="AM1" s="99" t="s">
        <v>482</v>
      </c>
      <c r="AN1" s="99" t="s">
        <v>483</v>
      </c>
      <c r="AO1" s="99" t="s">
        <v>484</v>
      </c>
      <c r="AP1" s="99" t="s">
        <v>485</v>
      </c>
      <c r="AQ1" s="99" t="s">
        <v>486</v>
      </c>
      <c r="AR1" s="99" t="s">
        <v>487</v>
      </c>
      <c r="AS1" s="99" t="s">
        <v>488</v>
      </c>
      <c r="AT1" s="99" t="s">
        <v>489</v>
      </c>
      <c r="AU1" s="99" t="s">
        <v>490</v>
      </c>
      <c r="AV1" s="99" t="s">
        <v>491</v>
      </c>
      <c r="AW1" s="99" t="s">
        <v>492</v>
      </c>
      <c r="AX1" s="99" t="s">
        <v>493</v>
      </c>
      <c r="AY1" s="99" t="s">
        <v>494</v>
      </c>
      <c r="AZ1" s="99" t="s">
        <v>495</v>
      </c>
      <c r="BA1" s="99" t="s">
        <v>496</v>
      </c>
      <c r="BB1" s="99" t="s">
        <v>497</v>
      </c>
      <c r="BC1" s="99" t="s">
        <v>498</v>
      </c>
      <c r="BD1" s="99" t="s">
        <v>499</v>
      </c>
      <c r="BE1" s="99" t="s">
        <v>500</v>
      </c>
      <c r="BF1" s="99" t="s">
        <v>501</v>
      </c>
      <c r="BG1" s="99" t="s">
        <v>502</v>
      </c>
      <c r="BH1" s="99" t="s">
        <v>503</v>
      </c>
      <c r="BI1" s="99" t="s">
        <v>504</v>
      </c>
      <c r="BJ1" s="99"/>
      <c r="BK1" s="99"/>
      <c r="BL1" s="99"/>
      <c r="BM1" s="99"/>
      <c r="BN1" s="99"/>
      <c r="BO1" s="99"/>
      <c r="BP1" s="99"/>
      <c r="BQ1" s="99"/>
      <c r="BR1" s="99"/>
      <c r="BS1" s="99"/>
      <c r="BT1" s="99"/>
      <c r="BU1" s="99"/>
      <c r="BV1" s="99"/>
      <c r="BW1" s="99"/>
      <c r="BX1" s="99"/>
      <c r="BY1" s="99"/>
      <c r="BZ1" s="99"/>
      <c r="CA1" s="99"/>
      <c r="CB1" s="99"/>
      <c r="CC1" s="99"/>
    </row>
    <row r="2" ht="15.75" customHeight="1">
      <c r="A2" s="66" t="s">
        <v>505</v>
      </c>
      <c r="B2" s="110">
        <v>42639.0</v>
      </c>
      <c r="C2" s="111" t="s">
        <v>392</v>
      </c>
      <c r="D2" s="104"/>
      <c r="E2" s="104"/>
      <c r="F2" s="105" t="s">
        <v>506</v>
      </c>
      <c r="G2" s="104"/>
      <c r="H2" s="104">
        <v>1453.0</v>
      </c>
      <c r="I2" s="104">
        <v>242000.0</v>
      </c>
      <c r="J2" s="104">
        <v>245000.0</v>
      </c>
      <c r="K2" s="122">
        <f t="shared" ref="K2:K8" si="1">J2/H2</f>
        <v>168.6166552</v>
      </c>
      <c r="L2" s="104">
        <v>360000.0</v>
      </c>
      <c r="M2" s="107"/>
      <c r="N2" s="123">
        <f t="shared" ref="N2:N3" si="2">L2/H2</f>
        <v>247.7632485</v>
      </c>
      <c r="O2" s="121">
        <f t="shared" ref="O2:O8" si="3">L2-J2</f>
        <v>115000</v>
      </c>
      <c r="P2" s="104">
        <v>30000.0</v>
      </c>
      <c r="Q2" s="60">
        <f t="shared" ref="Q2:Q7" si="4">MULTIPLY(0.06,L2)</f>
        <v>21600</v>
      </c>
      <c r="R2" s="60">
        <f t="shared" ref="R2:R6" si="5">0.05*J2</f>
        <v>12250</v>
      </c>
      <c r="S2" s="60">
        <f t="shared" ref="S2:S8" si="6">SUM(J2,P2,Q2)</f>
        <v>296600</v>
      </c>
      <c r="T2" s="60">
        <f t="shared" ref="T2:T8" si="7">O2-P2-Q2</f>
        <v>63400</v>
      </c>
      <c r="U2" s="60">
        <f t="shared" ref="U2:U8" si="8">T2-R2</f>
        <v>51150</v>
      </c>
      <c r="V2" s="59">
        <f t="shared" ref="V2:V6" si="9">DIVIDE(T2,S2)</f>
        <v>0.2137559002</v>
      </c>
      <c r="W2" s="60">
        <f t="shared" ref="W2:W8" si="10">(L2*0.75)-P2</f>
        <v>240000</v>
      </c>
      <c r="X2" s="107"/>
    </row>
    <row r="3" ht="15.75" customHeight="1">
      <c r="A3" s="66" t="s">
        <v>401</v>
      </c>
      <c r="B3" s="110">
        <v>42669.0</v>
      </c>
      <c r="C3" s="66" t="s">
        <v>400</v>
      </c>
      <c r="D3" s="104"/>
      <c r="E3" s="104"/>
      <c r="F3" s="105" t="s">
        <v>507</v>
      </c>
      <c r="G3" s="104"/>
      <c r="H3" s="104">
        <v>899.0</v>
      </c>
      <c r="I3" s="104">
        <v>129000.0</v>
      </c>
      <c r="J3" s="104">
        <v>130000.0</v>
      </c>
      <c r="K3" s="122">
        <f t="shared" si="1"/>
        <v>144.6051168</v>
      </c>
      <c r="L3" s="104">
        <v>175000.0</v>
      </c>
      <c r="M3" s="107"/>
      <c r="N3" s="123">
        <f t="shared" si="2"/>
        <v>194.6607341</v>
      </c>
      <c r="O3" s="121">
        <f t="shared" si="3"/>
        <v>45000</v>
      </c>
      <c r="P3" s="104">
        <v>10000.0</v>
      </c>
      <c r="Q3" s="60">
        <f t="shared" si="4"/>
        <v>10500</v>
      </c>
      <c r="R3" s="60">
        <f t="shared" si="5"/>
        <v>6500</v>
      </c>
      <c r="S3" s="60">
        <f t="shared" si="6"/>
        <v>150500</v>
      </c>
      <c r="T3" s="60">
        <f t="shared" si="7"/>
        <v>24500</v>
      </c>
      <c r="U3" s="60">
        <f t="shared" si="8"/>
        <v>18000</v>
      </c>
      <c r="V3" s="59">
        <f t="shared" si="9"/>
        <v>0.1627906977</v>
      </c>
      <c r="W3" s="60">
        <f t="shared" si="10"/>
        <v>121250</v>
      </c>
      <c r="X3" s="107"/>
      <c r="Y3" s="66" t="s">
        <v>402</v>
      </c>
    </row>
    <row r="4" ht="15.75" customHeight="1">
      <c r="A4" s="66" t="s">
        <v>411</v>
      </c>
      <c r="B4" s="110">
        <v>42679.0</v>
      </c>
      <c r="C4" s="66" t="s">
        <v>410</v>
      </c>
      <c r="D4" s="104"/>
      <c r="E4" s="104"/>
      <c r="F4" s="105" t="s">
        <v>506</v>
      </c>
      <c r="G4" s="104"/>
      <c r="H4" s="104">
        <v>1795.0</v>
      </c>
      <c r="I4" s="104">
        <v>350000.0</v>
      </c>
      <c r="J4" s="104">
        <v>330000.0</v>
      </c>
      <c r="K4" s="122">
        <f t="shared" si="1"/>
        <v>183.8440111</v>
      </c>
      <c r="L4" s="104">
        <v>415000.0</v>
      </c>
      <c r="M4" s="104">
        <v>1795.0</v>
      </c>
      <c r="N4" s="123">
        <f t="shared" ref="N4:N6" si="11">L4/M4</f>
        <v>231.1977716</v>
      </c>
      <c r="O4" s="121">
        <f t="shared" si="3"/>
        <v>85000</v>
      </c>
      <c r="P4" s="104">
        <v>20000.0</v>
      </c>
      <c r="Q4" s="60">
        <f t="shared" si="4"/>
        <v>24900</v>
      </c>
      <c r="R4" s="60">
        <f t="shared" si="5"/>
        <v>16500</v>
      </c>
      <c r="S4" s="60">
        <f t="shared" si="6"/>
        <v>374900</v>
      </c>
      <c r="T4" s="60">
        <f t="shared" si="7"/>
        <v>40100</v>
      </c>
      <c r="U4" s="60">
        <f t="shared" si="8"/>
        <v>23600</v>
      </c>
      <c r="V4" s="59">
        <f t="shared" si="9"/>
        <v>0.1069618565</v>
      </c>
      <c r="W4" s="60">
        <f t="shared" si="10"/>
        <v>291250</v>
      </c>
      <c r="X4" s="107"/>
      <c r="Y4" s="66" t="s">
        <v>194</v>
      </c>
    </row>
    <row r="5" ht="15.75" customHeight="1">
      <c r="A5" s="66" t="s">
        <v>413</v>
      </c>
      <c r="B5" s="110">
        <v>42680.0</v>
      </c>
      <c r="C5" s="66" t="s">
        <v>412</v>
      </c>
      <c r="D5" s="104"/>
      <c r="E5" s="104"/>
      <c r="F5" s="105" t="s">
        <v>506</v>
      </c>
      <c r="G5" s="104"/>
      <c r="H5" s="104">
        <v>1500.0</v>
      </c>
      <c r="I5" s="104">
        <v>269000.0</v>
      </c>
      <c r="J5" s="104">
        <v>260000.0</v>
      </c>
      <c r="K5" s="122">
        <f t="shared" si="1"/>
        <v>173.3333333</v>
      </c>
      <c r="L5" s="104">
        <v>350000.0</v>
      </c>
      <c r="M5" s="107">
        <v>1500.0</v>
      </c>
      <c r="N5" s="123">
        <f t="shared" si="11"/>
        <v>233.3333333</v>
      </c>
      <c r="O5" s="121">
        <f t="shared" si="3"/>
        <v>90000</v>
      </c>
      <c r="P5" s="104">
        <v>25000.0</v>
      </c>
      <c r="Q5" s="60">
        <f t="shared" si="4"/>
        <v>21000</v>
      </c>
      <c r="R5" s="60">
        <f t="shared" si="5"/>
        <v>13000</v>
      </c>
      <c r="S5" s="60">
        <f t="shared" si="6"/>
        <v>306000</v>
      </c>
      <c r="T5" s="60">
        <f t="shared" si="7"/>
        <v>44000</v>
      </c>
      <c r="U5" s="60">
        <f t="shared" si="8"/>
        <v>31000</v>
      </c>
      <c r="V5" s="59">
        <f t="shared" si="9"/>
        <v>0.1437908497</v>
      </c>
      <c r="W5" s="60">
        <f t="shared" si="10"/>
        <v>237500</v>
      </c>
      <c r="X5" s="107"/>
      <c r="Y5" s="66" t="s">
        <v>414</v>
      </c>
    </row>
    <row r="6" ht="15.75" customHeight="1">
      <c r="A6" s="66" t="s">
        <v>425</v>
      </c>
      <c r="B6" s="110">
        <v>42683.0</v>
      </c>
      <c r="C6" s="66" t="s">
        <v>424</v>
      </c>
      <c r="D6" s="104"/>
      <c r="E6" s="104"/>
      <c r="F6" s="105" t="s">
        <v>508</v>
      </c>
      <c r="G6" s="104"/>
      <c r="H6" s="104">
        <v>1170.0</v>
      </c>
      <c r="I6" s="104">
        <v>205000.0</v>
      </c>
      <c r="J6" s="104">
        <v>205000.0</v>
      </c>
      <c r="K6" s="122">
        <f t="shared" si="1"/>
        <v>175.2136752</v>
      </c>
      <c r="L6" s="104">
        <v>300000.0</v>
      </c>
      <c r="M6" s="107">
        <v>1170.0</v>
      </c>
      <c r="N6" s="123">
        <f t="shared" si="11"/>
        <v>256.4102564</v>
      </c>
      <c r="O6" s="121">
        <f t="shared" si="3"/>
        <v>95000</v>
      </c>
      <c r="P6" s="104">
        <v>40000.0</v>
      </c>
      <c r="Q6" s="60">
        <f t="shared" si="4"/>
        <v>18000</v>
      </c>
      <c r="R6" s="60">
        <f t="shared" si="5"/>
        <v>10250</v>
      </c>
      <c r="S6" s="60">
        <f t="shared" si="6"/>
        <v>263000</v>
      </c>
      <c r="T6" s="60">
        <f t="shared" si="7"/>
        <v>37000</v>
      </c>
      <c r="U6" s="60">
        <f t="shared" si="8"/>
        <v>26750</v>
      </c>
      <c r="V6" s="59">
        <f t="shared" si="9"/>
        <v>0.1406844106</v>
      </c>
      <c r="W6" s="60">
        <f t="shared" si="10"/>
        <v>185000</v>
      </c>
      <c r="X6" s="107"/>
    </row>
    <row r="7" ht="15.75" customHeight="1">
      <c r="A7" s="66" t="s">
        <v>360</v>
      </c>
      <c r="B7" s="110">
        <v>42571.0</v>
      </c>
      <c r="C7" s="66" t="s">
        <v>359</v>
      </c>
      <c r="D7" s="104"/>
      <c r="E7" s="104" t="s">
        <v>96</v>
      </c>
      <c r="F7" s="105" t="s">
        <v>509</v>
      </c>
      <c r="G7" s="104"/>
      <c r="H7" s="104">
        <v>3270.0</v>
      </c>
      <c r="I7" s="104">
        <v>734000.0</v>
      </c>
      <c r="J7" s="121">
        <v>560000.0</v>
      </c>
      <c r="K7" s="122">
        <f t="shared" si="1"/>
        <v>171.2538226</v>
      </c>
      <c r="L7" s="104">
        <v>799000.0</v>
      </c>
      <c r="M7" s="107"/>
      <c r="N7" s="123">
        <f>L7/H7</f>
        <v>244.3425076</v>
      </c>
      <c r="O7" s="121">
        <f t="shared" si="3"/>
        <v>239000</v>
      </c>
      <c r="P7" s="104">
        <v>100000.0</v>
      </c>
      <c r="Q7" s="60">
        <f t="shared" si="4"/>
        <v>47940</v>
      </c>
      <c r="R7" s="60">
        <v>18000.0</v>
      </c>
      <c r="S7" s="60">
        <f t="shared" si="6"/>
        <v>707940</v>
      </c>
      <c r="T7" s="60">
        <f t="shared" si="7"/>
        <v>91060</v>
      </c>
      <c r="U7" s="60">
        <f t="shared" si="8"/>
        <v>73060</v>
      </c>
      <c r="V7" s="59">
        <f>DIVIDE(U7,S7)</f>
        <v>0.1032008362</v>
      </c>
      <c r="W7" s="60">
        <f t="shared" si="10"/>
        <v>499250</v>
      </c>
      <c r="X7" s="60">
        <f>W7-J7</f>
        <v>-60750</v>
      </c>
      <c r="Y7" s="66" t="s">
        <v>361</v>
      </c>
    </row>
    <row r="8" ht="15.75" customHeight="1">
      <c r="A8" s="66" t="s">
        <v>416</v>
      </c>
      <c r="B8" s="110">
        <v>42705.0</v>
      </c>
      <c r="C8" s="66" t="s">
        <v>447</v>
      </c>
      <c r="D8" s="104"/>
      <c r="E8" s="104"/>
      <c r="F8" s="105" t="s">
        <v>56</v>
      </c>
      <c r="G8" s="105" t="s">
        <v>57</v>
      </c>
      <c r="H8" s="104">
        <v>1337.0</v>
      </c>
      <c r="I8" s="104">
        <v>250000.0</v>
      </c>
      <c r="J8" s="104">
        <v>170000.0</v>
      </c>
      <c r="K8" s="122">
        <f t="shared" si="1"/>
        <v>127.1503366</v>
      </c>
      <c r="L8" s="104">
        <v>300000.0</v>
      </c>
      <c r="M8" s="107">
        <v>1337.0</v>
      </c>
      <c r="N8" s="123">
        <f>L8/M8</f>
        <v>224.3829469</v>
      </c>
      <c r="O8" s="121">
        <f t="shared" si="3"/>
        <v>130000</v>
      </c>
      <c r="P8" s="104">
        <v>30000.0</v>
      </c>
      <c r="Q8" s="60">
        <f>MULTIPLY(0.07,L8)</f>
        <v>21000</v>
      </c>
      <c r="R8" s="60">
        <v>10600.0</v>
      </c>
      <c r="S8" s="60">
        <f t="shared" si="6"/>
        <v>221000</v>
      </c>
      <c r="T8" s="60">
        <f t="shared" si="7"/>
        <v>79000</v>
      </c>
      <c r="U8" s="108">
        <f t="shared" si="8"/>
        <v>68400</v>
      </c>
      <c r="V8" s="59">
        <f>DIVIDE(T8,S8)</f>
        <v>0.3574660633</v>
      </c>
      <c r="W8" s="60">
        <f t="shared" si="10"/>
        <v>195000</v>
      </c>
      <c r="X8" s="107"/>
      <c r="Y8" s="66" t="s">
        <v>448</v>
      </c>
      <c r="AB8" s="61">
        <f>SUM(AC8:AP8)</f>
        <v>23359</v>
      </c>
      <c r="AC8" s="66">
        <v>8000.0</v>
      </c>
      <c r="AD8" s="66">
        <f>2000*G8</f>
        <v>4000</v>
      </c>
      <c r="AE8" s="61">
        <f>2*M8</f>
        <v>2674</v>
      </c>
      <c r="AF8" s="61">
        <f>2*M8</f>
        <v>2674</v>
      </c>
      <c r="AG8" s="61">
        <f>3*M8</f>
        <v>4011</v>
      </c>
      <c r="AI8" s="66">
        <v>2000.0</v>
      </c>
    </row>
    <row r="9" ht="15.75" customHeight="1">
      <c r="U9" s="66"/>
    </row>
    <row r="10" ht="15.75" customHeight="1">
      <c r="U10" s="66"/>
    </row>
    <row r="11" ht="15.75" customHeight="1">
      <c r="U11" s="66"/>
    </row>
    <row r="12" ht="15.75" customHeight="1">
      <c r="U12" s="66"/>
    </row>
    <row r="13" ht="15.75" customHeight="1">
      <c r="U13" s="66"/>
    </row>
    <row r="14" ht="15.75" customHeight="1">
      <c r="U14" s="66"/>
    </row>
    <row r="15" ht="15.75" customHeight="1">
      <c r="U15" s="66"/>
    </row>
    <row r="16" ht="15.75" customHeight="1">
      <c r="U16" s="66"/>
    </row>
    <row r="17" ht="15.75" customHeight="1">
      <c r="U17" s="66"/>
    </row>
    <row r="18" ht="15.75" customHeight="1">
      <c r="U18" s="66"/>
    </row>
    <row r="19" ht="15.75" customHeight="1">
      <c r="U19" s="66"/>
    </row>
    <row r="20" ht="15.75" customHeight="1">
      <c r="U20" s="66"/>
    </row>
    <row r="21" ht="15.75" customHeight="1">
      <c r="U21" s="66"/>
    </row>
    <row r="22" ht="15.75" customHeight="1">
      <c r="U22" s="66"/>
    </row>
    <row r="23" ht="15.75" customHeight="1">
      <c r="U23" s="66"/>
    </row>
    <row r="24" ht="15.75" customHeight="1">
      <c r="U24" s="66"/>
    </row>
    <row r="25" ht="15.75" customHeight="1">
      <c r="U25" s="66"/>
    </row>
    <row r="26" ht="15.75" customHeight="1">
      <c r="U26" s="66"/>
    </row>
    <row r="27" ht="15.75" customHeight="1">
      <c r="U27" s="66"/>
    </row>
    <row r="28" ht="15.75" customHeight="1">
      <c r="U28" s="66"/>
    </row>
    <row r="29" ht="15.75" customHeight="1">
      <c r="U29" s="66"/>
    </row>
    <row r="30" ht="15.75" customHeight="1">
      <c r="U30" s="66"/>
    </row>
    <row r="31" ht="15.75" customHeight="1">
      <c r="U31" s="66"/>
    </row>
    <row r="32" ht="15.75" customHeight="1">
      <c r="U32" s="66"/>
    </row>
    <row r="33" ht="15.75" customHeight="1">
      <c r="U33" s="66"/>
    </row>
    <row r="34" ht="15.75" customHeight="1">
      <c r="U34" s="66"/>
    </row>
    <row r="35" ht="15.75" customHeight="1">
      <c r="U35" s="66"/>
    </row>
    <row r="36" ht="15.75" customHeight="1">
      <c r="U36" s="66"/>
    </row>
    <row r="37" ht="15.75" customHeight="1">
      <c r="U37" s="66"/>
    </row>
    <row r="38" ht="15.75" customHeight="1">
      <c r="U38" s="66"/>
    </row>
    <row r="39" ht="15.75" customHeight="1">
      <c r="U39" s="66"/>
    </row>
    <row r="40" ht="15.75" customHeight="1">
      <c r="U40" s="66"/>
    </row>
    <row r="41" ht="15.75" customHeight="1">
      <c r="U41" s="66"/>
    </row>
    <row r="42" ht="15.75" customHeight="1">
      <c r="U42" s="66"/>
    </row>
    <row r="43" ht="15.75" customHeight="1">
      <c r="U43" s="66"/>
    </row>
    <row r="44" ht="15.75" customHeight="1">
      <c r="U44" s="66"/>
    </row>
    <row r="45" ht="15.75" customHeight="1">
      <c r="U45" s="66"/>
    </row>
    <row r="46" ht="15.75" customHeight="1">
      <c r="U46" s="66"/>
    </row>
    <row r="47" ht="15.75" customHeight="1">
      <c r="U47" s="66"/>
    </row>
    <row r="48" ht="15.75" customHeight="1">
      <c r="U48" s="66"/>
    </row>
    <row r="49" ht="15.75" customHeight="1">
      <c r="U49" s="66"/>
    </row>
    <row r="50" ht="15.75" customHeight="1">
      <c r="U50" s="66"/>
    </row>
    <row r="51" ht="15.75" customHeight="1">
      <c r="U51" s="66"/>
    </row>
    <row r="52" ht="15.75" customHeight="1">
      <c r="U52" s="66"/>
    </row>
    <row r="53" ht="15.75" customHeight="1">
      <c r="U53" s="66"/>
    </row>
    <row r="54" ht="15.75" customHeight="1">
      <c r="U54" s="66"/>
    </row>
    <row r="55" ht="15.75" customHeight="1">
      <c r="U55" s="66"/>
    </row>
    <row r="56" ht="15.75" customHeight="1">
      <c r="U56" s="66"/>
    </row>
    <row r="57" ht="15.75" customHeight="1">
      <c r="U57" s="66"/>
    </row>
    <row r="58" ht="15.75" customHeight="1">
      <c r="U58" s="66"/>
    </row>
    <row r="59" ht="15.75" customHeight="1">
      <c r="U59" s="66"/>
    </row>
    <row r="60" ht="15.75" customHeight="1">
      <c r="U60" s="66"/>
    </row>
    <row r="61" ht="15.75" customHeight="1">
      <c r="U61" s="66"/>
    </row>
    <row r="62" ht="15.75" customHeight="1">
      <c r="U62" s="66"/>
    </row>
    <row r="63" ht="15.75" customHeight="1">
      <c r="U63" s="66"/>
    </row>
    <row r="64" ht="15.75" customHeight="1">
      <c r="U64" s="66"/>
    </row>
    <row r="65" ht="15.75" customHeight="1">
      <c r="U65" s="66"/>
    </row>
    <row r="66" ht="15.75" customHeight="1">
      <c r="U66" s="66"/>
    </row>
    <row r="67" ht="15.75" customHeight="1">
      <c r="U67" s="66"/>
    </row>
    <row r="68" ht="15.75" customHeight="1">
      <c r="U68" s="66"/>
    </row>
    <row r="69" ht="15.75" customHeight="1">
      <c r="U69" s="66"/>
    </row>
    <row r="70" ht="15.75" customHeight="1">
      <c r="U70" s="66"/>
    </row>
    <row r="71" ht="15.75" customHeight="1">
      <c r="U71" s="66"/>
    </row>
    <row r="72" ht="15.75" customHeight="1">
      <c r="U72" s="66"/>
    </row>
    <row r="73" ht="15.75" customHeight="1">
      <c r="U73" s="66"/>
    </row>
    <row r="74" ht="15.75" customHeight="1">
      <c r="U74" s="66"/>
    </row>
    <row r="75" ht="15.75" customHeight="1">
      <c r="U75" s="66"/>
    </row>
    <row r="76" ht="15.75" customHeight="1">
      <c r="U76" s="66"/>
    </row>
    <row r="77" ht="15.75" customHeight="1">
      <c r="U77" s="66"/>
    </row>
    <row r="78" ht="15.75" customHeight="1">
      <c r="U78" s="66"/>
    </row>
    <row r="79" ht="15.75" customHeight="1">
      <c r="U79" s="66"/>
    </row>
    <row r="80" ht="15.75" customHeight="1">
      <c r="U80" s="66"/>
    </row>
    <row r="81" ht="15.75" customHeight="1">
      <c r="U81" s="66"/>
    </row>
    <row r="82" ht="15.75" customHeight="1">
      <c r="U82" s="66"/>
    </row>
    <row r="83" ht="15.75" customHeight="1">
      <c r="U83" s="66"/>
    </row>
    <row r="84" ht="15.75" customHeight="1">
      <c r="U84" s="66"/>
    </row>
    <row r="85" ht="15.75" customHeight="1">
      <c r="U85" s="66"/>
    </row>
    <row r="86" ht="15.75" customHeight="1">
      <c r="U86" s="66"/>
    </row>
    <row r="87" ht="15.75" customHeight="1">
      <c r="U87" s="66"/>
    </row>
    <row r="88" ht="15.75" customHeight="1">
      <c r="U88" s="66"/>
    </row>
    <row r="89" ht="15.75" customHeight="1">
      <c r="U89" s="66"/>
    </row>
    <row r="90" ht="15.75" customHeight="1">
      <c r="U90" s="66"/>
    </row>
    <row r="91" ht="15.75" customHeight="1">
      <c r="U91" s="66"/>
    </row>
    <row r="92" ht="15.75" customHeight="1">
      <c r="U92" s="66"/>
    </row>
    <row r="93" ht="15.75" customHeight="1">
      <c r="U93" s="66"/>
    </row>
    <row r="94" ht="15.75" customHeight="1">
      <c r="U94" s="66"/>
    </row>
    <row r="95" ht="15.75" customHeight="1">
      <c r="U95" s="66"/>
    </row>
    <row r="96" ht="15.75" customHeight="1">
      <c r="U96" s="66"/>
    </row>
    <row r="97" ht="15.75" customHeight="1">
      <c r="U97" s="66"/>
    </row>
    <row r="98" ht="15.75" customHeight="1">
      <c r="U98" s="66"/>
    </row>
    <row r="99" ht="15.75" customHeight="1">
      <c r="U99" s="66"/>
    </row>
    <row r="100" ht="15.75" customHeight="1">
      <c r="U100" s="66"/>
    </row>
    <row r="101" ht="15.75" customHeight="1">
      <c r="U101" s="66"/>
    </row>
    <row r="102" ht="15.75" customHeight="1">
      <c r="U102" s="66"/>
    </row>
    <row r="103" ht="15.75" customHeight="1">
      <c r="U103" s="66"/>
    </row>
    <row r="104" ht="15.75" customHeight="1">
      <c r="U104" s="66"/>
    </row>
    <row r="105" ht="15.75" customHeight="1">
      <c r="U105" s="66"/>
    </row>
    <row r="106" ht="15.75" customHeight="1">
      <c r="U106" s="66"/>
    </row>
    <row r="107" ht="15.75" customHeight="1">
      <c r="U107" s="66"/>
    </row>
    <row r="108" ht="15.75" customHeight="1">
      <c r="U108" s="66"/>
    </row>
    <row r="109" ht="15.75" customHeight="1">
      <c r="U109" s="66"/>
    </row>
    <row r="110" ht="15.75" customHeight="1">
      <c r="U110" s="66"/>
    </row>
    <row r="111" ht="15.75" customHeight="1">
      <c r="U111" s="66"/>
    </row>
    <row r="112" ht="15.75" customHeight="1">
      <c r="U112" s="66"/>
    </row>
    <row r="113" ht="15.75" customHeight="1">
      <c r="U113" s="66"/>
    </row>
    <row r="114" ht="15.75" customHeight="1">
      <c r="U114" s="66"/>
    </row>
    <row r="115" ht="15.75" customHeight="1">
      <c r="U115" s="66"/>
    </row>
    <row r="116" ht="15.75" customHeight="1">
      <c r="U116" s="66"/>
    </row>
    <row r="117" ht="15.75" customHeight="1">
      <c r="U117" s="66"/>
    </row>
    <row r="118" ht="15.75" customHeight="1">
      <c r="U118" s="66"/>
    </row>
    <row r="119" ht="15.75" customHeight="1">
      <c r="U119" s="66"/>
    </row>
    <row r="120" ht="15.75" customHeight="1">
      <c r="U120" s="66"/>
    </row>
    <row r="121" ht="15.75" customHeight="1">
      <c r="U121" s="66"/>
    </row>
    <row r="122" ht="15.75" customHeight="1">
      <c r="U122" s="66"/>
    </row>
    <row r="123" ht="15.75" customHeight="1">
      <c r="U123" s="66"/>
    </row>
    <row r="124" ht="15.75" customHeight="1">
      <c r="U124" s="66"/>
    </row>
    <row r="125" ht="15.75" customHeight="1">
      <c r="U125" s="66"/>
    </row>
    <row r="126" ht="15.75" customHeight="1">
      <c r="U126" s="66"/>
    </row>
    <row r="127" ht="15.75" customHeight="1">
      <c r="U127" s="66"/>
    </row>
    <row r="128" ht="15.75" customHeight="1">
      <c r="U128" s="66"/>
    </row>
    <row r="129" ht="15.75" customHeight="1">
      <c r="U129" s="66"/>
    </row>
    <row r="130" ht="15.75" customHeight="1">
      <c r="U130" s="66"/>
    </row>
    <row r="131" ht="15.75" customHeight="1">
      <c r="U131" s="66"/>
    </row>
    <row r="132" ht="15.75" customHeight="1">
      <c r="U132" s="66"/>
    </row>
    <row r="133" ht="15.75" customHeight="1">
      <c r="U133" s="66"/>
    </row>
    <row r="134" ht="15.75" customHeight="1">
      <c r="U134" s="66"/>
    </row>
    <row r="135" ht="15.75" customHeight="1">
      <c r="U135" s="66"/>
    </row>
    <row r="136" ht="15.75" customHeight="1">
      <c r="U136" s="66"/>
    </row>
    <row r="137" ht="15.75" customHeight="1">
      <c r="U137" s="66"/>
    </row>
    <row r="138" ht="15.75" customHeight="1">
      <c r="U138" s="66"/>
    </row>
    <row r="139" ht="15.75" customHeight="1">
      <c r="U139" s="66"/>
    </row>
    <row r="140" ht="15.75" customHeight="1">
      <c r="U140" s="66"/>
    </row>
    <row r="141" ht="15.75" customHeight="1">
      <c r="U141" s="66"/>
    </row>
    <row r="142" ht="15.75" customHeight="1">
      <c r="U142" s="66"/>
    </row>
    <row r="143" ht="15.75" customHeight="1">
      <c r="U143" s="66"/>
    </row>
    <row r="144" ht="15.75" customHeight="1">
      <c r="U144" s="66"/>
    </row>
    <row r="145" ht="15.75" customHeight="1">
      <c r="U145" s="66"/>
    </row>
    <row r="146" ht="15.75" customHeight="1">
      <c r="U146" s="66"/>
    </row>
    <row r="147" ht="15.75" customHeight="1">
      <c r="U147" s="66"/>
    </row>
    <row r="148" ht="15.75" customHeight="1">
      <c r="U148" s="66"/>
    </row>
    <row r="149" ht="15.75" customHeight="1">
      <c r="U149" s="66"/>
    </row>
    <row r="150" ht="15.75" customHeight="1">
      <c r="U150" s="66"/>
    </row>
    <row r="151" ht="15.75" customHeight="1">
      <c r="U151" s="66"/>
    </row>
    <row r="152" ht="15.75" customHeight="1">
      <c r="U152" s="66"/>
    </row>
    <row r="153" ht="15.75" customHeight="1">
      <c r="U153" s="66"/>
    </row>
    <row r="154" ht="15.75" customHeight="1">
      <c r="U154" s="66"/>
    </row>
    <row r="155" ht="15.75" customHeight="1">
      <c r="U155" s="66"/>
    </row>
    <row r="156" ht="15.75" customHeight="1">
      <c r="U156" s="66"/>
    </row>
    <row r="157" ht="15.75" customHeight="1">
      <c r="U157" s="66"/>
    </row>
    <row r="158" ht="15.75" customHeight="1">
      <c r="U158" s="66"/>
    </row>
    <row r="159" ht="15.75" customHeight="1">
      <c r="U159" s="66"/>
    </row>
    <row r="160" ht="15.75" customHeight="1">
      <c r="U160" s="66"/>
    </row>
    <row r="161" ht="15.75" customHeight="1">
      <c r="U161" s="66"/>
    </row>
    <row r="162" ht="15.75" customHeight="1">
      <c r="U162" s="66"/>
    </row>
    <row r="163" ht="15.75" customHeight="1">
      <c r="U163" s="66"/>
    </row>
    <row r="164" ht="15.75" customHeight="1">
      <c r="U164" s="66"/>
    </row>
    <row r="165" ht="15.75" customHeight="1">
      <c r="U165" s="66"/>
    </row>
    <row r="166" ht="15.75" customHeight="1">
      <c r="U166" s="66"/>
    </row>
    <row r="167" ht="15.75" customHeight="1">
      <c r="U167" s="66"/>
    </row>
    <row r="168" ht="15.75" customHeight="1">
      <c r="U168" s="66"/>
    </row>
    <row r="169" ht="15.75" customHeight="1">
      <c r="U169" s="66"/>
    </row>
    <row r="170" ht="15.75" customHeight="1">
      <c r="U170" s="66"/>
    </row>
    <row r="171" ht="15.75" customHeight="1">
      <c r="U171" s="66"/>
    </row>
    <row r="172" ht="15.75" customHeight="1">
      <c r="U172" s="66"/>
    </row>
    <row r="173" ht="15.75" customHeight="1">
      <c r="U173" s="66"/>
    </row>
    <row r="174" ht="15.75" customHeight="1">
      <c r="U174" s="66"/>
    </row>
    <row r="175" ht="15.75" customHeight="1">
      <c r="U175" s="66"/>
    </row>
    <row r="176" ht="15.75" customHeight="1">
      <c r="U176" s="66"/>
    </row>
    <row r="177" ht="15.75" customHeight="1">
      <c r="U177" s="66"/>
    </row>
    <row r="178" ht="15.75" customHeight="1">
      <c r="U178" s="66"/>
    </row>
    <row r="179" ht="15.75" customHeight="1">
      <c r="U179" s="66"/>
    </row>
    <row r="180" ht="15.75" customHeight="1">
      <c r="U180" s="66"/>
    </row>
    <row r="181" ht="15.75" customHeight="1">
      <c r="U181" s="66"/>
    </row>
    <row r="182" ht="15.75" customHeight="1">
      <c r="U182" s="66"/>
    </row>
    <row r="183" ht="15.75" customHeight="1">
      <c r="U183" s="66"/>
    </row>
    <row r="184" ht="15.75" customHeight="1">
      <c r="U184" s="66"/>
    </row>
    <row r="185" ht="15.75" customHeight="1">
      <c r="U185" s="66"/>
    </row>
    <row r="186" ht="15.75" customHeight="1">
      <c r="U186" s="66"/>
    </row>
    <row r="187" ht="15.75" customHeight="1">
      <c r="U187" s="66"/>
    </row>
    <row r="188" ht="15.75" customHeight="1">
      <c r="U188" s="66"/>
    </row>
    <row r="189" ht="15.75" customHeight="1">
      <c r="U189" s="66"/>
    </row>
    <row r="190" ht="15.75" customHeight="1">
      <c r="U190" s="66"/>
    </row>
    <row r="191" ht="15.75" customHeight="1">
      <c r="U191" s="66"/>
    </row>
    <row r="192" ht="15.75" customHeight="1">
      <c r="U192" s="66"/>
    </row>
    <row r="193" ht="15.75" customHeight="1">
      <c r="U193" s="66"/>
    </row>
    <row r="194" ht="15.75" customHeight="1">
      <c r="U194" s="66"/>
    </row>
    <row r="195" ht="15.75" customHeight="1">
      <c r="U195" s="66"/>
    </row>
    <row r="196" ht="15.75" customHeight="1">
      <c r="U196" s="66"/>
    </row>
    <row r="197" ht="15.75" customHeight="1">
      <c r="U197" s="66"/>
    </row>
    <row r="198" ht="15.75" customHeight="1">
      <c r="U198" s="66"/>
    </row>
    <row r="199" ht="15.75" customHeight="1">
      <c r="U199" s="66"/>
    </row>
    <row r="200" ht="15.75" customHeight="1">
      <c r="U200" s="66"/>
    </row>
    <row r="201" ht="15.75" customHeight="1">
      <c r="U201" s="66"/>
    </row>
    <row r="202" ht="15.75" customHeight="1">
      <c r="U202" s="66"/>
    </row>
    <row r="203" ht="15.75" customHeight="1">
      <c r="U203" s="66"/>
    </row>
    <row r="204" ht="15.75" customHeight="1">
      <c r="U204" s="66"/>
    </row>
    <row r="205" ht="15.75" customHeight="1">
      <c r="U205" s="66"/>
    </row>
    <row r="206" ht="15.75" customHeight="1">
      <c r="U206" s="66"/>
    </row>
    <row r="207" ht="15.75" customHeight="1">
      <c r="U207" s="66"/>
    </row>
    <row r="208" ht="15.75" customHeight="1">
      <c r="U208" s="66"/>
    </row>
    <row r="209" ht="15.75" customHeight="1">
      <c r="U209" s="66"/>
    </row>
    <row r="210" ht="15.75" customHeight="1">
      <c r="U210" s="66"/>
    </row>
    <row r="211" ht="15.75" customHeight="1">
      <c r="U211" s="66"/>
    </row>
    <row r="212" ht="15.75" customHeight="1">
      <c r="U212" s="66"/>
    </row>
    <row r="213" ht="15.75" customHeight="1">
      <c r="U213" s="66"/>
    </row>
    <row r="214" ht="15.75" customHeight="1">
      <c r="U214" s="66"/>
    </row>
    <row r="215" ht="15.75" customHeight="1">
      <c r="U215" s="66"/>
    </row>
    <row r="216" ht="15.75" customHeight="1">
      <c r="U216" s="66"/>
    </row>
    <row r="217" ht="15.75" customHeight="1">
      <c r="U217" s="66"/>
    </row>
    <row r="218" ht="15.75" customHeight="1">
      <c r="U218" s="66"/>
    </row>
    <row r="219" ht="15.75" customHeight="1">
      <c r="U219" s="66"/>
    </row>
    <row r="220" ht="15.75" customHeight="1">
      <c r="U220" s="6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1:Q8">
    <cfRule type="expression" dxfId="0" priority="1">
      <formula>Multiply(0.06,M)</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5"/>
    <col customWidth="1" min="2" max="2" width="12.5"/>
    <col customWidth="1" min="3" max="3" width="7.13"/>
    <col customWidth="1" min="4" max="4" width="7.88"/>
    <col customWidth="1" min="5" max="5" width="8.38"/>
    <col customWidth="1" min="6" max="7" width="3.38"/>
    <col customWidth="1" min="8" max="8" width="5.38"/>
    <col customWidth="1" min="9" max="12" width="7.25"/>
    <col customWidth="1" min="13" max="13" width="5.88"/>
    <col customWidth="1" min="14" max="14" width="10.0"/>
    <col customWidth="1" min="15" max="15" width="6.25"/>
    <col customWidth="1" min="16" max="16" width="6.5"/>
    <col customWidth="1" min="17" max="17" width="7.75"/>
    <col customWidth="1" min="18" max="18" width="8.0"/>
    <col customWidth="1" min="19" max="20" width="6.5"/>
    <col customWidth="1" min="21" max="23" width="7.25"/>
    <col customWidth="1" min="24" max="24" width="6.25"/>
    <col customWidth="1" min="25" max="25" width="8.38"/>
    <col customWidth="1" min="26" max="26" width="9.63"/>
  </cols>
  <sheetData>
    <row r="1" ht="15.75" customHeight="1">
      <c r="A1" s="99" t="s">
        <v>0</v>
      </c>
      <c r="B1" s="99" t="s">
        <v>1</v>
      </c>
      <c r="C1" s="99" t="s">
        <v>2</v>
      </c>
      <c r="D1" s="99" t="s">
        <v>76</v>
      </c>
      <c r="E1" s="99" t="s">
        <v>4</v>
      </c>
      <c r="F1" s="100" t="s">
        <v>510</v>
      </c>
      <c r="G1" s="131" t="s">
        <v>511</v>
      </c>
      <c r="H1" s="99" t="s">
        <v>7</v>
      </c>
      <c r="I1" s="99" t="s">
        <v>8</v>
      </c>
      <c r="J1" s="99" t="s">
        <v>9</v>
      </c>
      <c r="K1" s="101" t="s">
        <v>10</v>
      </c>
      <c r="L1" s="99" t="s">
        <v>12</v>
      </c>
      <c r="M1" s="46" t="s">
        <v>13</v>
      </c>
      <c r="N1" s="101" t="s">
        <v>14</v>
      </c>
      <c r="O1" s="99" t="s">
        <v>15</v>
      </c>
      <c r="P1" s="99" t="s">
        <v>11</v>
      </c>
      <c r="Q1" s="46" t="s">
        <v>16</v>
      </c>
      <c r="R1" s="46" t="s">
        <v>469</v>
      </c>
      <c r="S1" s="46" t="s">
        <v>19</v>
      </c>
      <c r="T1" s="46" t="s">
        <v>20</v>
      </c>
      <c r="U1" s="46" t="s">
        <v>512</v>
      </c>
      <c r="V1" s="46" t="s">
        <v>22</v>
      </c>
      <c r="W1" s="46" t="s">
        <v>23</v>
      </c>
      <c r="X1" s="46" t="s">
        <v>24</v>
      </c>
      <c r="Y1" s="99" t="s">
        <v>25</v>
      </c>
      <c r="Z1" s="99" t="s">
        <v>26</v>
      </c>
      <c r="AA1" s="99" t="s">
        <v>470</v>
      </c>
      <c r="AB1" s="99" t="s">
        <v>471</v>
      </c>
      <c r="AC1" s="99" t="s">
        <v>472</v>
      </c>
      <c r="AD1" s="99" t="s">
        <v>473</v>
      </c>
      <c r="AE1" s="99" t="s">
        <v>474</v>
      </c>
      <c r="AF1" s="99" t="s">
        <v>475</v>
      </c>
      <c r="AG1" s="99" t="s">
        <v>476</v>
      </c>
      <c r="AH1" s="99" t="s">
        <v>477</v>
      </c>
      <c r="AI1" s="99" t="s">
        <v>478</v>
      </c>
      <c r="AJ1" s="99" t="s">
        <v>479</v>
      </c>
      <c r="AK1" s="99" t="s">
        <v>480</v>
      </c>
      <c r="AL1" s="99" t="s">
        <v>481</v>
      </c>
      <c r="AM1" s="99" t="s">
        <v>482</v>
      </c>
      <c r="AN1" s="99" t="s">
        <v>483</v>
      </c>
      <c r="AO1" s="99" t="s">
        <v>484</v>
      </c>
      <c r="AP1" s="99" t="s">
        <v>485</v>
      </c>
      <c r="AQ1" s="99" t="s">
        <v>486</v>
      </c>
      <c r="AR1" s="99" t="s">
        <v>487</v>
      </c>
      <c r="AS1" s="99" t="s">
        <v>488</v>
      </c>
      <c r="AT1" s="99" t="s">
        <v>489</v>
      </c>
      <c r="AU1" s="99" t="s">
        <v>490</v>
      </c>
      <c r="AV1" s="99" t="s">
        <v>491</v>
      </c>
      <c r="AW1" s="99" t="s">
        <v>492</v>
      </c>
      <c r="AX1" s="99" t="s">
        <v>493</v>
      </c>
      <c r="AY1" s="99" t="s">
        <v>494</v>
      </c>
      <c r="AZ1" s="99" t="s">
        <v>495</v>
      </c>
      <c r="BA1" s="99" t="s">
        <v>496</v>
      </c>
      <c r="BB1" s="99" t="s">
        <v>497</v>
      </c>
      <c r="BC1" s="99" t="s">
        <v>498</v>
      </c>
      <c r="BD1" s="99" t="s">
        <v>499</v>
      </c>
      <c r="BE1" s="99" t="s">
        <v>500</v>
      </c>
      <c r="BF1" s="99" t="s">
        <v>501</v>
      </c>
      <c r="BG1" s="99" t="s">
        <v>502</v>
      </c>
      <c r="BH1" s="99" t="s">
        <v>503</v>
      </c>
      <c r="BI1" s="99" t="s">
        <v>504</v>
      </c>
      <c r="BJ1" s="99"/>
      <c r="BK1" s="99"/>
      <c r="BL1" s="99"/>
      <c r="BM1" s="99"/>
      <c r="BN1" s="99"/>
      <c r="BO1" s="99"/>
      <c r="BP1" s="99"/>
      <c r="BQ1" s="99"/>
      <c r="BR1" s="99"/>
      <c r="BS1" s="99"/>
      <c r="BT1" s="99"/>
      <c r="BU1" s="99"/>
      <c r="BV1" s="99"/>
      <c r="BW1" s="99"/>
      <c r="BX1" s="99"/>
      <c r="BY1" s="99"/>
      <c r="BZ1" s="99"/>
      <c r="CA1" s="99"/>
      <c r="CB1" s="99"/>
      <c r="CC1" s="99"/>
    </row>
    <row r="2" ht="15.75" customHeight="1">
      <c r="A2" s="66" t="s">
        <v>248</v>
      </c>
      <c r="B2" s="66" t="s">
        <v>249</v>
      </c>
      <c r="C2" s="103">
        <v>42440.0</v>
      </c>
      <c r="E2" s="66" t="s">
        <v>250</v>
      </c>
      <c r="F2" s="132" t="s">
        <v>506</v>
      </c>
      <c r="G2" s="66"/>
      <c r="H2" s="66">
        <v>1560.0</v>
      </c>
      <c r="I2" s="66">
        <v>315000.0</v>
      </c>
      <c r="J2" s="66">
        <v>270000.0</v>
      </c>
      <c r="K2" s="133">
        <f t="shared" ref="K2:K14" si="1">J2/H2</f>
        <v>173.0769231</v>
      </c>
      <c r="L2" s="66">
        <v>450000.0</v>
      </c>
      <c r="M2" s="133">
        <v>1560.0</v>
      </c>
      <c r="N2" s="123">
        <f>L2/M2</f>
        <v>288.4615385</v>
      </c>
      <c r="O2" s="133">
        <f>L2/H2</f>
        <v>288.4615385</v>
      </c>
      <c r="P2" s="66">
        <f>L2-J2</f>
        <v>180000</v>
      </c>
      <c r="Q2" s="66">
        <v>70000.0</v>
      </c>
      <c r="R2" s="62"/>
      <c r="S2" s="62"/>
      <c r="T2" s="62">
        <f>MULTIPLY(0.06,L2)</f>
        <v>27000</v>
      </c>
      <c r="U2" s="62"/>
      <c r="V2" s="62"/>
      <c r="W2" s="62">
        <f>0.05*J2</f>
        <v>13500</v>
      </c>
      <c r="X2" s="62">
        <f>SUM(J2,Q2,T2)</f>
        <v>367000</v>
      </c>
      <c r="Y2" s="62" t="s">
        <v>223</v>
      </c>
      <c r="Z2" s="134"/>
      <c r="AA2" s="62"/>
      <c r="AB2" s="62"/>
      <c r="AC2" s="66"/>
    </row>
    <row r="3" ht="15.75" customHeight="1">
      <c r="A3" s="66" t="s">
        <v>339</v>
      </c>
      <c r="C3" s="110">
        <v>42536.0</v>
      </c>
      <c r="D3" s="104"/>
      <c r="E3" s="104"/>
      <c r="F3" s="105" t="s">
        <v>513</v>
      </c>
      <c r="G3" s="104"/>
      <c r="H3" s="104">
        <v>1725.0</v>
      </c>
      <c r="I3" s="104"/>
      <c r="J3" s="104">
        <v>212854.42</v>
      </c>
      <c r="K3" s="106">
        <f t="shared" si="1"/>
        <v>123.3938667</v>
      </c>
      <c r="L3" s="104">
        <v>350000.0</v>
      </c>
      <c r="M3" s="107"/>
      <c r="N3" s="106">
        <f t="shared" ref="N3:N4" si="2">L3/H3</f>
        <v>202.8985507</v>
      </c>
      <c r="O3" s="104">
        <f t="shared" ref="O3:O14" si="3">L3-J3</f>
        <v>137145.58</v>
      </c>
      <c r="P3" s="104">
        <v>60000.0</v>
      </c>
      <c r="Q3" s="107">
        <f>MULTIPLY(0.06,L3)</f>
        <v>21000</v>
      </c>
      <c r="R3" s="107">
        <f>0.05*J3</f>
        <v>10642.721</v>
      </c>
      <c r="S3" s="107">
        <f t="shared" ref="S3:S14" si="4">SUM(J3,P3,Q3)</f>
        <v>293854.42</v>
      </c>
      <c r="T3" s="107">
        <f t="shared" ref="T3:T14" si="5">O3-P3-Q3</f>
        <v>56145.58</v>
      </c>
      <c r="U3" s="109"/>
      <c r="V3" s="109">
        <f t="shared" ref="V3:V13" si="6">DIVIDE(T3,S3)</f>
        <v>0.1910659707</v>
      </c>
      <c r="W3" s="107">
        <f t="shared" ref="W3:W13" si="7">(L3*0.75)-P3</f>
        <v>202500</v>
      </c>
      <c r="X3" s="107">
        <f t="shared" ref="X3:X4" si="8">W3-J3</f>
        <v>-10354.42</v>
      </c>
    </row>
    <row r="4" ht="15.75" customHeight="1">
      <c r="A4" s="66" t="s">
        <v>352</v>
      </c>
      <c r="B4" s="66" t="s">
        <v>270</v>
      </c>
      <c r="C4" s="110">
        <v>42565.0</v>
      </c>
      <c r="D4" s="104" t="s">
        <v>353</v>
      </c>
      <c r="E4" s="66" t="s">
        <v>250</v>
      </c>
      <c r="F4" s="105" t="s">
        <v>514</v>
      </c>
      <c r="G4" s="104"/>
      <c r="H4" s="104">
        <v>1721.0</v>
      </c>
      <c r="I4" s="104">
        <v>225000.0</v>
      </c>
      <c r="J4" s="104">
        <v>226000.0</v>
      </c>
      <c r="K4" s="106">
        <f t="shared" si="1"/>
        <v>131.3190006</v>
      </c>
      <c r="L4" s="104">
        <v>349000.0</v>
      </c>
      <c r="M4" s="107"/>
      <c r="N4" s="106">
        <f t="shared" si="2"/>
        <v>202.7890761</v>
      </c>
      <c r="O4" s="114">
        <f t="shared" si="3"/>
        <v>123000</v>
      </c>
      <c r="P4" s="104">
        <v>30000.0</v>
      </c>
      <c r="Q4" s="116">
        <f>MULTIPLY(0.07,L4)</f>
        <v>24430</v>
      </c>
      <c r="R4" s="116">
        <v>6000.0</v>
      </c>
      <c r="S4" s="116">
        <f t="shared" si="4"/>
        <v>280430</v>
      </c>
      <c r="T4" s="116">
        <f t="shared" si="5"/>
        <v>68570</v>
      </c>
      <c r="U4" s="117"/>
      <c r="V4" s="117">
        <f t="shared" si="6"/>
        <v>0.2445173484</v>
      </c>
      <c r="W4" s="116">
        <f t="shared" si="7"/>
        <v>231750</v>
      </c>
      <c r="X4" s="107">
        <f t="shared" si="8"/>
        <v>5750</v>
      </c>
      <c r="Y4" s="66" t="s">
        <v>414</v>
      </c>
    </row>
    <row r="5" ht="15.75" customHeight="1">
      <c r="A5" s="66" t="s">
        <v>407</v>
      </c>
      <c r="C5" s="110">
        <v>42678.0</v>
      </c>
      <c r="D5" s="104"/>
      <c r="E5" s="104" t="s">
        <v>119</v>
      </c>
      <c r="F5" s="105"/>
      <c r="G5" s="104"/>
      <c r="H5" s="104">
        <v>758.0</v>
      </c>
      <c r="I5" s="104">
        <v>175000.0</v>
      </c>
      <c r="J5" s="104">
        <v>170000.0</v>
      </c>
      <c r="K5" s="122">
        <f t="shared" si="1"/>
        <v>224.2744063</v>
      </c>
      <c r="L5" s="104">
        <v>525000.0</v>
      </c>
      <c r="M5" s="107">
        <v>1800.0</v>
      </c>
      <c r="N5" s="123">
        <f t="shared" ref="N5:N6" si="9">L5/M5</f>
        <v>291.6666667</v>
      </c>
      <c r="O5" s="121">
        <f t="shared" si="3"/>
        <v>355000</v>
      </c>
      <c r="P5" s="104">
        <v>150000.0</v>
      </c>
      <c r="Q5" s="60">
        <f t="shared" ref="Q5:Q8" si="10">MULTIPLY(0.06,L5)</f>
        <v>31500</v>
      </c>
      <c r="R5" s="60">
        <f t="shared" ref="R5:R9" si="11">0.05*J5</f>
        <v>8500</v>
      </c>
      <c r="S5" s="60">
        <f t="shared" si="4"/>
        <v>351500</v>
      </c>
      <c r="T5" s="60">
        <f t="shared" si="5"/>
        <v>173500</v>
      </c>
      <c r="U5" s="59"/>
      <c r="V5" s="59">
        <f t="shared" si="6"/>
        <v>0.493598862</v>
      </c>
      <c r="W5" s="60">
        <f t="shared" si="7"/>
        <v>243750</v>
      </c>
      <c r="X5" s="107"/>
      <c r="Y5" s="66" t="s">
        <v>408</v>
      </c>
    </row>
    <row r="6" ht="15.75" customHeight="1">
      <c r="A6" s="66" t="s">
        <v>409</v>
      </c>
      <c r="C6" s="110">
        <v>42678.0</v>
      </c>
      <c r="D6" s="104"/>
      <c r="E6" s="104"/>
      <c r="F6" s="105"/>
      <c r="G6" s="104"/>
      <c r="H6" s="104">
        <v>556.0</v>
      </c>
      <c r="I6" s="104">
        <v>150000.0</v>
      </c>
      <c r="J6" s="104">
        <v>145000.0</v>
      </c>
      <c r="K6" s="122">
        <f t="shared" si="1"/>
        <v>260.7913669</v>
      </c>
      <c r="L6" s="104">
        <v>467000.0</v>
      </c>
      <c r="M6" s="107">
        <v>1600.0</v>
      </c>
      <c r="N6" s="123">
        <f t="shared" si="9"/>
        <v>291.875</v>
      </c>
      <c r="O6" s="121">
        <f t="shared" si="3"/>
        <v>322000</v>
      </c>
      <c r="P6" s="104">
        <v>150000.0</v>
      </c>
      <c r="Q6" s="60">
        <f t="shared" si="10"/>
        <v>28020</v>
      </c>
      <c r="R6" s="60">
        <f t="shared" si="11"/>
        <v>7250</v>
      </c>
      <c r="S6" s="60">
        <f t="shared" si="4"/>
        <v>323020</v>
      </c>
      <c r="T6" s="60">
        <f t="shared" si="5"/>
        <v>143980</v>
      </c>
      <c r="U6" s="59"/>
      <c r="V6" s="59">
        <f t="shared" si="6"/>
        <v>0.4457309145</v>
      </c>
      <c r="W6" s="60">
        <f t="shared" si="7"/>
        <v>200250</v>
      </c>
      <c r="X6" s="107"/>
      <c r="Y6" s="66" t="s">
        <v>408</v>
      </c>
    </row>
    <row r="7" ht="15.75" customHeight="1">
      <c r="A7" s="66" t="s">
        <v>274</v>
      </c>
      <c r="B7" s="66" t="s">
        <v>515</v>
      </c>
      <c r="C7" s="110">
        <v>42461.0</v>
      </c>
      <c r="E7" s="104"/>
      <c r="F7" s="105"/>
      <c r="G7" s="104"/>
      <c r="H7" s="104">
        <v>1513.0</v>
      </c>
      <c r="I7" s="104"/>
      <c r="J7" s="104">
        <v>255000.0</v>
      </c>
      <c r="K7" s="106">
        <f t="shared" si="1"/>
        <v>168.5393258</v>
      </c>
      <c r="L7" s="104">
        <v>300000.0</v>
      </c>
      <c r="M7" s="107"/>
      <c r="N7" s="106">
        <f t="shared" ref="N7:N8" si="12">L7/H7</f>
        <v>198.2815598</v>
      </c>
      <c r="O7" s="104">
        <f t="shared" si="3"/>
        <v>45000</v>
      </c>
      <c r="P7" s="104">
        <v>20000.0</v>
      </c>
      <c r="Q7" s="107">
        <f t="shared" si="10"/>
        <v>18000</v>
      </c>
      <c r="R7" s="107">
        <f t="shared" si="11"/>
        <v>12750</v>
      </c>
      <c r="S7" s="107">
        <f t="shared" si="4"/>
        <v>293000</v>
      </c>
      <c r="T7" s="107">
        <f t="shared" si="5"/>
        <v>7000</v>
      </c>
      <c r="U7" s="109"/>
      <c r="V7" s="109">
        <f t="shared" si="6"/>
        <v>0.02389078498</v>
      </c>
      <c r="W7" s="107">
        <f t="shared" si="7"/>
        <v>205000</v>
      </c>
      <c r="X7" s="107">
        <f t="shared" ref="X7:X8" si="13">W7-J7</f>
        <v>-50000</v>
      </c>
    </row>
    <row r="8" ht="15.75" customHeight="1">
      <c r="A8" s="66" t="s">
        <v>280</v>
      </c>
      <c r="C8" s="110">
        <v>42475.0</v>
      </c>
      <c r="E8" s="104"/>
      <c r="F8" s="105"/>
      <c r="G8" s="104"/>
      <c r="H8" s="104">
        <v>1600.0</v>
      </c>
      <c r="I8" s="104"/>
      <c r="J8" s="104">
        <v>118000.0</v>
      </c>
      <c r="K8" s="106">
        <f t="shared" si="1"/>
        <v>73.75</v>
      </c>
      <c r="L8" s="104">
        <v>250000.0</v>
      </c>
      <c r="M8" s="107">
        <v>1600.0</v>
      </c>
      <c r="N8" s="106">
        <f t="shared" si="12"/>
        <v>156.25</v>
      </c>
      <c r="O8" s="104">
        <f t="shared" si="3"/>
        <v>132000</v>
      </c>
      <c r="P8" s="104">
        <v>70000.0</v>
      </c>
      <c r="Q8" s="107">
        <f t="shared" si="10"/>
        <v>15000</v>
      </c>
      <c r="R8" s="107">
        <f t="shared" si="11"/>
        <v>5900</v>
      </c>
      <c r="S8" s="107">
        <f t="shared" si="4"/>
        <v>203000</v>
      </c>
      <c r="T8" s="107">
        <f t="shared" si="5"/>
        <v>47000</v>
      </c>
      <c r="U8" s="109"/>
      <c r="V8" s="109">
        <f t="shared" si="6"/>
        <v>0.2315270936</v>
      </c>
      <c r="W8" s="107">
        <f t="shared" si="7"/>
        <v>117500</v>
      </c>
      <c r="X8" s="107">
        <f t="shared" si="13"/>
        <v>-500</v>
      </c>
    </row>
    <row r="9" ht="15.75" customHeight="1">
      <c r="A9" s="66" t="s">
        <v>430</v>
      </c>
      <c r="B9" s="66" t="s">
        <v>431</v>
      </c>
      <c r="C9" s="110">
        <v>42690.0</v>
      </c>
      <c r="D9" s="104"/>
      <c r="E9" s="104"/>
      <c r="F9" s="105" t="s">
        <v>506</v>
      </c>
      <c r="G9" s="104"/>
      <c r="H9" s="104">
        <v>1695.0</v>
      </c>
      <c r="I9" s="104">
        <v>325000.0</v>
      </c>
      <c r="J9" s="104">
        <v>325000.0</v>
      </c>
      <c r="K9" s="122">
        <f t="shared" si="1"/>
        <v>191.740413</v>
      </c>
      <c r="L9" s="104">
        <v>450000.0</v>
      </c>
      <c r="M9" s="107">
        <v>1695.0</v>
      </c>
      <c r="N9" s="123">
        <f>L9/M9</f>
        <v>265.4867257</v>
      </c>
      <c r="O9" s="121">
        <f t="shared" si="3"/>
        <v>125000</v>
      </c>
      <c r="P9" s="104">
        <v>30000.0</v>
      </c>
      <c r="Q9" s="60">
        <f t="shared" ref="Q9:Q11" si="14">MULTIPLY(0.07,L9)</f>
        <v>31500</v>
      </c>
      <c r="R9" s="60">
        <f t="shared" si="11"/>
        <v>16250</v>
      </c>
      <c r="S9" s="60">
        <f t="shared" si="4"/>
        <v>386500</v>
      </c>
      <c r="T9" s="60">
        <f t="shared" si="5"/>
        <v>63500</v>
      </c>
      <c r="U9" s="108">
        <f t="shared" ref="U9:U14" si="15">T9-R9</f>
        <v>47250</v>
      </c>
      <c r="V9" s="59">
        <f t="shared" si="6"/>
        <v>0.1642949547</v>
      </c>
      <c r="W9" s="60">
        <f t="shared" si="7"/>
        <v>307500</v>
      </c>
      <c r="X9" s="107"/>
    </row>
    <row r="10" ht="15.75" customHeight="1">
      <c r="A10" s="112" t="s">
        <v>516</v>
      </c>
      <c r="B10" s="135" t="s">
        <v>517</v>
      </c>
      <c r="C10" s="112"/>
      <c r="D10" s="112"/>
      <c r="E10" s="112" t="s">
        <v>119</v>
      </c>
      <c r="F10" s="108">
        <v>4.0</v>
      </c>
      <c r="G10" s="121">
        <v>2.0</v>
      </c>
      <c r="H10" s="121">
        <v>2618.0</v>
      </c>
      <c r="I10" s="121">
        <v>449000.0</v>
      </c>
      <c r="J10" s="121">
        <v>430000.0</v>
      </c>
      <c r="K10" s="136">
        <f t="shared" si="1"/>
        <v>164.2475172</v>
      </c>
      <c r="L10" s="121">
        <v>650000.0</v>
      </c>
      <c r="M10" s="121">
        <v>2618.0</v>
      </c>
      <c r="N10" s="136">
        <f>L10/H10</f>
        <v>248.2811306</v>
      </c>
      <c r="O10" s="114">
        <f t="shared" si="3"/>
        <v>220000</v>
      </c>
      <c r="P10" s="121">
        <v>100000.0</v>
      </c>
      <c r="Q10" s="116">
        <f t="shared" si="14"/>
        <v>45500</v>
      </c>
      <c r="R10" s="116">
        <v>51920.0</v>
      </c>
      <c r="S10" s="116">
        <f t="shared" si="4"/>
        <v>575500</v>
      </c>
      <c r="T10" s="116">
        <f t="shared" si="5"/>
        <v>74500</v>
      </c>
      <c r="U10" s="108">
        <f t="shared" si="15"/>
        <v>22580</v>
      </c>
      <c r="V10" s="117">
        <f t="shared" si="6"/>
        <v>0.1294526499</v>
      </c>
      <c r="W10" s="116">
        <f t="shared" si="7"/>
        <v>387500</v>
      </c>
      <c r="X10" s="116">
        <f>W10-J10</f>
        <v>-42500</v>
      </c>
      <c r="Y10" s="112" t="s">
        <v>518</v>
      </c>
      <c r="Z10" s="112"/>
      <c r="AA10" s="112"/>
      <c r="AB10" s="121">
        <f>SUM(AC10:AP10)</f>
        <v>32326</v>
      </c>
      <c r="AC10" s="121">
        <v>8000.0</v>
      </c>
      <c r="AD10" s="121">
        <f>2000*G10</f>
        <v>4000</v>
      </c>
      <c r="AE10" s="121">
        <f>2*M10</f>
        <v>5236</v>
      </c>
      <c r="AF10" s="121">
        <f>2*M10</f>
        <v>5236</v>
      </c>
      <c r="AG10" s="121">
        <f>3*M10</f>
        <v>7854</v>
      </c>
      <c r="AH10" s="112"/>
      <c r="AI10" s="121">
        <v>2000.0</v>
      </c>
      <c r="AJ10" s="112"/>
      <c r="AK10" s="112"/>
      <c r="AL10" s="112"/>
      <c r="AM10" s="112"/>
      <c r="AN10" s="112"/>
      <c r="AO10" s="112"/>
      <c r="AP10" s="112"/>
      <c r="AQ10" s="112"/>
      <c r="AR10" s="112"/>
      <c r="AS10" s="112"/>
      <c r="AT10" s="112"/>
      <c r="AU10" s="112"/>
      <c r="AV10" s="112"/>
      <c r="AW10" s="112"/>
      <c r="AX10" s="112"/>
      <c r="AY10" s="112"/>
    </row>
    <row r="11" ht="15.75" customHeight="1">
      <c r="A11" s="81" t="s">
        <v>145</v>
      </c>
      <c r="B11" s="81" t="s">
        <v>146</v>
      </c>
      <c r="C11" s="91">
        <v>42927.0</v>
      </c>
      <c r="D11" s="81"/>
      <c r="E11" s="81"/>
      <c r="F11" s="81">
        <v>2.0</v>
      </c>
      <c r="G11" s="81">
        <v>2.0</v>
      </c>
      <c r="H11" s="81">
        <v>2000.0</v>
      </c>
      <c r="I11" s="81">
        <v>284000.0</v>
      </c>
      <c r="J11" s="81">
        <v>265000.0</v>
      </c>
      <c r="K11" s="82">
        <f t="shared" si="1"/>
        <v>132.5</v>
      </c>
      <c r="L11" s="81">
        <v>500000.0</v>
      </c>
      <c r="M11" s="83">
        <v>2340.0</v>
      </c>
      <c r="N11" s="84">
        <f t="shared" ref="N11:N13" si="16">L11/M11</f>
        <v>213.6752137</v>
      </c>
      <c r="O11" s="85">
        <f t="shared" si="3"/>
        <v>235000</v>
      </c>
      <c r="P11" s="86">
        <v>100000.0</v>
      </c>
      <c r="Q11" s="87">
        <f t="shared" si="14"/>
        <v>35000</v>
      </c>
      <c r="R11" s="87">
        <f t="shared" ref="R11:R12" si="17">BD11</f>
        <v>25387.5</v>
      </c>
      <c r="S11" s="87">
        <f t="shared" si="4"/>
        <v>400000</v>
      </c>
      <c r="T11" s="87">
        <f t="shared" si="5"/>
        <v>100000</v>
      </c>
      <c r="U11" s="87">
        <f t="shared" si="15"/>
        <v>74612.5</v>
      </c>
      <c r="V11" s="88">
        <f t="shared" si="6"/>
        <v>0.25</v>
      </c>
      <c r="W11" s="87">
        <f t="shared" si="7"/>
        <v>275000</v>
      </c>
      <c r="X11" s="53">
        <f t="shared" ref="X11:X13" si="18">J11-W11</f>
        <v>-10000</v>
      </c>
      <c r="Y11" s="81" t="s">
        <v>147</v>
      </c>
      <c r="Z11" s="81"/>
      <c r="AA11" s="81"/>
      <c r="AB11" s="81"/>
      <c r="AC11" s="81"/>
      <c r="AD11" s="81"/>
      <c r="AE11" s="81"/>
      <c r="AF11" s="81"/>
      <c r="AG11" s="81"/>
      <c r="AH11" s="81"/>
      <c r="AI11" s="81"/>
      <c r="AJ11" s="81"/>
      <c r="AK11" s="81"/>
      <c r="AL11" s="81"/>
      <c r="AM11" s="81"/>
      <c r="AN11" s="81"/>
      <c r="AO11" s="81"/>
      <c r="AP11" s="81"/>
      <c r="AQ11" s="81"/>
      <c r="AR11" s="81"/>
      <c r="AS11" s="81"/>
      <c r="AT11" s="81"/>
      <c r="AU11" s="85">
        <v>0.9</v>
      </c>
      <c r="AV11" s="89">
        <f t="shared" ref="AV11:AV13" si="19">AU11*J11</f>
        <v>238500</v>
      </c>
      <c r="AW11" s="89">
        <f t="shared" ref="AW11:AW13" si="20">P11</f>
        <v>100000</v>
      </c>
      <c r="AX11" s="59">
        <v>0.02</v>
      </c>
      <c r="AY11" s="88">
        <v>0.11</v>
      </c>
      <c r="AZ11" s="87">
        <v>6.0</v>
      </c>
      <c r="BA11" s="60">
        <f t="shared" ref="BA11:BA13" si="21">BB11/AZ11</f>
        <v>3102.916667</v>
      </c>
      <c r="BB11" s="56">
        <f t="shared" ref="BB11:BB13" si="22">(AV11+AW11)*AY11/12*AZ11</f>
        <v>18617.5</v>
      </c>
      <c r="BC11" s="48">
        <f t="shared" ref="BC11:BC13" si="23">(AV11+AW11)*AX11</f>
        <v>6770</v>
      </c>
      <c r="BD11" s="90">
        <f t="shared" ref="BD11:BD13" si="24">BB11+BC11</f>
        <v>25387.5</v>
      </c>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1"/>
    </row>
    <row r="12" ht="15.75" customHeight="1">
      <c r="A12" s="81" t="s">
        <v>137</v>
      </c>
      <c r="B12" s="81"/>
      <c r="C12" s="91">
        <v>42901.0</v>
      </c>
      <c r="D12" s="81"/>
      <c r="E12" s="81"/>
      <c r="F12" s="81">
        <v>3.0</v>
      </c>
      <c r="G12" s="81">
        <v>2.0</v>
      </c>
      <c r="H12" s="81">
        <v>1127.0</v>
      </c>
      <c r="I12" s="81">
        <v>249000.0</v>
      </c>
      <c r="J12" s="81">
        <v>240000.0</v>
      </c>
      <c r="K12" s="82">
        <f t="shared" si="1"/>
        <v>212.9547471</v>
      </c>
      <c r="L12" s="81">
        <v>350000.0</v>
      </c>
      <c r="M12" s="83">
        <v>1500.0</v>
      </c>
      <c r="N12" s="84">
        <f t="shared" si="16"/>
        <v>233.3333333</v>
      </c>
      <c r="O12" s="85">
        <f t="shared" si="3"/>
        <v>110000</v>
      </c>
      <c r="P12" s="86">
        <v>40000.0</v>
      </c>
      <c r="Q12" s="87">
        <f>MULTIPLY(0.04,L12)</f>
        <v>14000</v>
      </c>
      <c r="R12" s="87">
        <f t="shared" si="17"/>
        <v>15080</v>
      </c>
      <c r="S12" s="87">
        <f t="shared" si="4"/>
        <v>294000</v>
      </c>
      <c r="T12" s="87">
        <f t="shared" si="5"/>
        <v>56000</v>
      </c>
      <c r="U12" s="87">
        <f t="shared" si="15"/>
        <v>40920</v>
      </c>
      <c r="V12" s="88">
        <f t="shared" si="6"/>
        <v>0.1904761905</v>
      </c>
      <c r="W12" s="87">
        <f t="shared" si="7"/>
        <v>222500</v>
      </c>
      <c r="X12" s="83">
        <f t="shared" si="18"/>
        <v>17500</v>
      </c>
      <c r="Y12" s="81" t="s">
        <v>138</v>
      </c>
      <c r="Z12" s="81"/>
      <c r="AA12" s="81"/>
      <c r="AB12" s="81"/>
      <c r="AC12" s="81"/>
      <c r="AD12" s="81"/>
      <c r="AE12" s="81"/>
      <c r="AF12" s="81"/>
      <c r="AG12" s="81"/>
      <c r="AH12" s="81"/>
      <c r="AI12" s="81"/>
      <c r="AJ12" s="81"/>
      <c r="AK12" s="81"/>
      <c r="AL12" s="81"/>
      <c r="AM12" s="81"/>
      <c r="AN12" s="81"/>
      <c r="AO12" s="81"/>
      <c r="AP12" s="81"/>
      <c r="AQ12" s="81"/>
      <c r="AR12" s="81"/>
      <c r="AS12" s="81"/>
      <c r="AT12" s="81"/>
      <c r="AU12" s="85">
        <v>0.8</v>
      </c>
      <c r="AV12" s="89">
        <f t="shared" si="19"/>
        <v>192000</v>
      </c>
      <c r="AW12" s="89">
        <f t="shared" si="20"/>
        <v>40000</v>
      </c>
      <c r="AX12" s="59">
        <v>0.02</v>
      </c>
      <c r="AY12" s="88">
        <v>0.09</v>
      </c>
      <c r="AZ12" s="87">
        <v>6.0</v>
      </c>
      <c r="BA12" s="87">
        <f t="shared" si="21"/>
        <v>1740</v>
      </c>
      <c r="BB12" s="87">
        <f t="shared" si="22"/>
        <v>10440</v>
      </c>
      <c r="BC12" s="81">
        <f t="shared" si="23"/>
        <v>4640</v>
      </c>
      <c r="BD12" s="90">
        <f t="shared" si="24"/>
        <v>15080</v>
      </c>
      <c r="BE12" s="81"/>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row>
    <row r="13" ht="15.75" customHeight="1">
      <c r="A13" s="81" t="s">
        <v>191</v>
      </c>
      <c r="B13" s="81"/>
      <c r="C13" s="91">
        <v>42998.0</v>
      </c>
      <c r="D13" s="81"/>
      <c r="E13" s="81"/>
      <c r="F13" s="81">
        <v>4.0</v>
      </c>
      <c r="G13" s="81">
        <v>2.0</v>
      </c>
      <c r="H13" s="81">
        <v>2174.0</v>
      </c>
      <c r="I13" s="81">
        <v>350000.0</v>
      </c>
      <c r="J13" s="81">
        <v>325000.0</v>
      </c>
      <c r="K13" s="82">
        <f t="shared" si="1"/>
        <v>149.4940202</v>
      </c>
      <c r="L13" s="81">
        <v>490000.0</v>
      </c>
      <c r="M13" s="81">
        <v>2174.0</v>
      </c>
      <c r="N13" s="84">
        <f t="shared" si="16"/>
        <v>225.3909844</v>
      </c>
      <c r="O13" s="85">
        <f t="shared" si="3"/>
        <v>165000</v>
      </c>
      <c r="P13" s="81">
        <v>70000.0</v>
      </c>
      <c r="Q13" s="87">
        <f>MULTIPLY(0.07,L13)</f>
        <v>34300</v>
      </c>
      <c r="R13" s="87">
        <f>0.05*S13</f>
        <v>21465</v>
      </c>
      <c r="S13" s="87">
        <f t="shared" si="4"/>
        <v>429300</v>
      </c>
      <c r="T13" s="87">
        <f t="shared" si="5"/>
        <v>60700</v>
      </c>
      <c r="U13" s="87">
        <f t="shared" si="15"/>
        <v>39235</v>
      </c>
      <c r="V13" s="88">
        <f t="shared" si="6"/>
        <v>0.1413929653</v>
      </c>
      <c r="W13" s="87">
        <f t="shared" si="7"/>
        <v>297500</v>
      </c>
      <c r="X13" s="83">
        <f t="shared" si="18"/>
        <v>27500</v>
      </c>
      <c r="Y13" s="81"/>
      <c r="Z13" s="81"/>
      <c r="AA13" s="81"/>
      <c r="AB13" s="81"/>
      <c r="AC13" s="81"/>
      <c r="AD13" s="81"/>
      <c r="AE13" s="81"/>
      <c r="AF13" s="81"/>
      <c r="AG13" s="81"/>
      <c r="AH13" s="81"/>
      <c r="AI13" s="81"/>
      <c r="AJ13" s="81"/>
      <c r="AK13" s="81"/>
      <c r="AL13" s="81"/>
      <c r="AM13" s="81"/>
      <c r="AN13" s="81"/>
      <c r="AO13" s="81"/>
      <c r="AP13" s="81"/>
      <c r="AQ13" s="81"/>
      <c r="AR13" s="81"/>
      <c r="AS13" s="81"/>
      <c r="AT13" s="81"/>
      <c r="AU13" s="85">
        <v>0.9</v>
      </c>
      <c r="AV13" s="89">
        <f t="shared" si="19"/>
        <v>292500</v>
      </c>
      <c r="AW13" s="89">
        <f t="shared" si="20"/>
        <v>70000</v>
      </c>
      <c r="AX13" s="88">
        <v>0.0199999999999999</v>
      </c>
      <c r="AY13" s="88">
        <v>0.0875</v>
      </c>
      <c r="AZ13" s="87">
        <v>6.0</v>
      </c>
      <c r="BA13" s="87">
        <f t="shared" si="21"/>
        <v>2643.229167</v>
      </c>
      <c r="BB13" s="87">
        <f t="shared" si="22"/>
        <v>15859.375</v>
      </c>
      <c r="BC13" s="81">
        <f t="shared" si="23"/>
        <v>7250</v>
      </c>
      <c r="BD13" s="90">
        <f t="shared" si="24"/>
        <v>23109.375</v>
      </c>
      <c r="BE13" s="81"/>
      <c r="BF13" s="81"/>
      <c r="BG13" s="81"/>
      <c r="BH13" s="81"/>
      <c r="BI13" s="81"/>
      <c r="BJ13" s="81"/>
      <c r="BK13" s="81"/>
      <c r="BL13" s="81"/>
      <c r="BM13" s="81"/>
      <c r="BN13" s="81"/>
      <c r="BO13" s="81"/>
      <c r="BP13" s="81"/>
      <c r="BQ13" s="81"/>
      <c r="BR13" s="81"/>
      <c r="BS13" s="81"/>
      <c r="BT13" s="81"/>
      <c r="BU13" s="81"/>
      <c r="BV13" s="81"/>
      <c r="BW13" s="81"/>
      <c r="BX13" s="81"/>
      <c r="BY13" s="81"/>
      <c r="BZ13" s="81"/>
      <c r="CA13" s="81"/>
      <c r="CB13" s="81"/>
      <c r="CC13" s="81"/>
    </row>
    <row r="14" ht="15.75" customHeight="1">
      <c r="A14" s="81" t="s">
        <v>519</v>
      </c>
      <c r="B14" s="81"/>
      <c r="C14" s="81"/>
      <c r="D14" s="86"/>
      <c r="E14" s="86"/>
      <c r="F14" s="128" t="s">
        <v>509</v>
      </c>
      <c r="G14" s="86"/>
      <c r="H14" s="86">
        <v>3270.0</v>
      </c>
      <c r="I14" s="86">
        <v>734000.0</v>
      </c>
      <c r="J14" s="85">
        <v>550000.0</v>
      </c>
      <c r="K14" s="129">
        <f t="shared" si="1"/>
        <v>168.1957187</v>
      </c>
      <c r="L14" s="86">
        <v>750000.0</v>
      </c>
      <c r="M14" s="83"/>
      <c r="N14" s="84">
        <f>L14/H14</f>
        <v>229.3577982</v>
      </c>
      <c r="O14" s="85">
        <f t="shared" si="3"/>
        <v>200000</v>
      </c>
      <c r="P14" s="86">
        <v>120000.0</v>
      </c>
      <c r="Q14" s="87">
        <f>MULTIPLY(0.06,L14)</f>
        <v>45000</v>
      </c>
      <c r="R14" s="87">
        <v>27000.0</v>
      </c>
      <c r="S14" s="87">
        <f t="shared" si="4"/>
        <v>715000</v>
      </c>
      <c r="T14" s="87">
        <f t="shared" si="5"/>
        <v>35000</v>
      </c>
      <c r="U14" s="87">
        <f t="shared" si="15"/>
        <v>8000</v>
      </c>
      <c r="V14" s="88">
        <f>DIVIDE(U14,S14)</f>
        <v>0.01118881119</v>
      </c>
      <c r="W14" s="90"/>
      <c r="X14" s="90"/>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row>
    <row r="15" ht="15.75" customHeight="1">
      <c r="D15" s="104"/>
      <c r="E15" s="104"/>
      <c r="F15" s="105"/>
      <c r="G15" s="104"/>
      <c r="H15" s="104"/>
      <c r="K15" s="133"/>
      <c r="Q15" s="62"/>
      <c r="R15" s="62"/>
      <c r="S15" s="62"/>
      <c r="T15" s="62"/>
      <c r="U15" s="62"/>
      <c r="V15" s="62"/>
      <c r="W15" s="62"/>
      <c r="X15" s="62"/>
    </row>
    <row r="16" ht="15.75" customHeight="1">
      <c r="D16" s="104"/>
      <c r="E16" s="104"/>
      <c r="F16" s="105"/>
      <c r="G16" s="104"/>
      <c r="H16" s="104"/>
      <c r="K16" s="133"/>
      <c r="Q16" s="62"/>
      <c r="R16" s="62"/>
      <c r="S16" s="62"/>
      <c r="T16" s="62"/>
      <c r="U16" s="62"/>
      <c r="V16" s="62"/>
      <c r="W16" s="62"/>
      <c r="X16" s="62"/>
    </row>
    <row r="17" ht="15.75" customHeight="1">
      <c r="D17" s="104"/>
      <c r="E17" s="104"/>
      <c r="F17" s="105"/>
      <c r="G17" s="104"/>
      <c r="H17" s="104"/>
      <c r="K17" s="133"/>
      <c r="Q17" s="62"/>
      <c r="R17" s="62"/>
      <c r="S17" s="62"/>
      <c r="T17" s="62"/>
      <c r="U17" s="62"/>
      <c r="V17" s="62"/>
      <c r="W17" s="62"/>
      <c r="X17" s="62"/>
    </row>
    <row r="18" ht="15.75" customHeight="1">
      <c r="D18" s="104"/>
      <c r="E18" s="104"/>
      <c r="F18" s="105"/>
      <c r="G18" s="104"/>
      <c r="H18" s="104"/>
      <c r="K18" s="133"/>
      <c r="Q18" s="62"/>
      <c r="R18" s="62"/>
      <c r="S18" s="62"/>
      <c r="T18" s="62"/>
      <c r="U18" s="62"/>
      <c r="V18" s="62"/>
      <c r="W18" s="62"/>
      <c r="X18" s="62"/>
    </row>
    <row r="19" ht="15.75" customHeight="1">
      <c r="D19" s="104"/>
      <c r="E19" s="104"/>
      <c r="F19" s="105"/>
      <c r="G19" s="104"/>
      <c r="H19" s="104"/>
      <c r="K19" s="133"/>
      <c r="Q19" s="62"/>
      <c r="R19" s="62"/>
      <c r="S19" s="62"/>
      <c r="T19" s="62"/>
      <c r="U19" s="62"/>
      <c r="V19" s="62"/>
      <c r="W19" s="62"/>
      <c r="X19" s="62"/>
    </row>
    <row r="20" ht="15.75" customHeight="1">
      <c r="D20" s="104"/>
      <c r="E20" s="104"/>
      <c r="F20" s="105"/>
      <c r="G20" s="104"/>
      <c r="H20" s="104"/>
      <c r="K20" s="133"/>
      <c r="Q20" s="62"/>
      <c r="R20" s="62"/>
      <c r="S20" s="62"/>
      <c r="T20" s="62"/>
      <c r="U20" s="62"/>
      <c r="V20" s="62"/>
      <c r="W20" s="62"/>
      <c r="X20" s="62"/>
    </row>
    <row r="21" ht="15.75" customHeight="1">
      <c r="D21" s="104"/>
      <c r="E21" s="104"/>
      <c r="F21" s="105"/>
      <c r="G21" s="104"/>
      <c r="H21" s="104"/>
      <c r="K21" s="133"/>
      <c r="Q21" s="62"/>
      <c r="R21" s="62"/>
      <c r="S21" s="62"/>
      <c r="T21" s="62"/>
      <c r="U21" s="62"/>
      <c r="V21" s="62"/>
      <c r="W21" s="62"/>
      <c r="X21" s="62"/>
    </row>
    <row r="22" ht="15.75" customHeight="1">
      <c r="D22" s="104"/>
      <c r="E22" s="104"/>
      <c r="F22" s="105"/>
      <c r="G22" s="104"/>
      <c r="H22" s="104"/>
      <c r="K22" s="133"/>
      <c r="Q22" s="62"/>
      <c r="R22" s="62"/>
      <c r="S22" s="62"/>
      <c r="T22" s="62"/>
      <c r="U22" s="62"/>
      <c r="V22" s="62"/>
      <c r="W22" s="62"/>
      <c r="X22" s="62"/>
    </row>
    <row r="23" ht="15.75" customHeight="1">
      <c r="D23" s="104"/>
      <c r="E23" s="104"/>
      <c r="F23" s="105"/>
      <c r="G23" s="104"/>
      <c r="H23" s="104"/>
      <c r="K23" s="133"/>
      <c r="Q23" s="62"/>
      <c r="R23" s="62"/>
      <c r="S23" s="62"/>
      <c r="T23" s="62"/>
      <c r="U23" s="62"/>
      <c r="V23" s="62"/>
      <c r="W23" s="62"/>
      <c r="X23" s="62"/>
    </row>
    <row r="24" ht="15.75" customHeight="1">
      <c r="D24" s="104"/>
      <c r="E24" s="104"/>
      <c r="F24" s="105"/>
      <c r="G24" s="104"/>
      <c r="H24" s="104"/>
      <c r="K24" s="133"/>
      <c r="Q24" s="62"/>
      <c r="R24" s="62"/>
      <c r="S24" s="62"/>
      <c r="T24" s="62"/>
      <c r="U24" s="62"/>
      <c r="V24" s="62"/>
      <c r="W24" s="62"/>
      <c r="X24" s="62"/>
    </row>
    <row r="25" ht="15.75" customHeight="1">
      <c r="D25" s="104"/>
      <c r="E25" s="104"/>
      <c r="F25" s="105"/>
      <c r="G25" s="104"/>
      <c r="H25" s="104"/>
      <c r="K25" s="133"/>
      <c r="Q25" s="62"/>
      <c r="R25" s="62"/>
      <c r="S25" s="62"/>
      <c r="T25" s="62"/>
      <c r="U25" s="62"/>
      <c r="V25" s="62"/>
      <c r="W25" s="62"/>
      <c r="X25" s="62"/>
    </row>
    <row r="26" ht="15.75" customHeight="1">
      <c r="D26" s="104"/>
      <c r="E26" s="104"/>
      <c r="F26" s="105"/>
      <c r="G26" s="104"/>
      <c r="H26" s="104"/>
      <c r="K26" s="133"/>
      <c r="Q26" s="62"/>
      <c r="R26" s="62"/>
      <c r="S26" s="62"/>
      <c r="T26" s="62"/>
      <c r="U26" s="62"/>
      <c r="V26" s="62"/>
      <c r="W26" s="62"/>
      <c r="X26" s="62"/>
    </row>
    <row r="27" ht="15.75" customHeight="1">
      <c r="D27" s="104"/>
      <c r="E27" s="104"/>
      <c r="F27" s="105"/>
      <c r="G27" s="104"/>
      <c r="H27" s="104"/>
      <c r="K27" s="133"/>
      <c r="Q27" s="62"/>
      <c r="R27" s="62"/>
      <c r="S27" s="62"/>
      <c r="T27" s="62"/>
      <c r="U27" s="62"/>
      <c r="V27" s="62"/>
      <c r="W27" s="62"/>
      <c r="X27" s="62"/>
    </row>
    <row r="28" ht="15.75" customHeight="1">
      <c r="D28" s="104"/>
      <c r="E28" s="104"/>
      <c r="F28" s="105"/>
      <c r="G28" s="104"/>
      <c r="H28" s="104"/>
      <c r="K28" s="133"/>
      <c r="Q28" s="62"/>
      <c r="R28" s="62"/>
      <c r="S28" s="62"/>
      <c r="T28" s="62"/>
      <c r="U28" s="62"/>
      <c r="V28" s="62"/>
      <c r="W28" s="62"/>
      <c r="X28" s="62"/>
    </row>
    <row r="29" ht="15.75" customHeight="1">
      <c r="D29" s="104"/>
      <c r="E29" s="104"/>
      <c r="F29" s="105"/>
      <c r="G29" s="104"/>
      <c r="H29" s="104"/>
      <c r="K29" s="133"/>
      <c r="Q29" s="62"/>
      <c r="R29" s="62"/>
      <c r="S29" s="62"/>
      <c r="T29" s="62"/>
      <c r="U29" s="62"/>
      <c r="V29" s="62"/>
      <c r="W29" s="62"/>
      <c r="X29" s="62"/>
    </row>
    <row r="30" ht="15.75" customHeight="1">
      <c r="D30" s="104"/>
      <c r="E30" s="104"/>
      <c r="F30" s="105"/>
      <c r="G30" s="104"/>
      <c r="H30" s="104"/>
      <c r="K30" s="133"/>
      <c r="Q30" s="62"/>
      <c r="R30" s="62"/>
      <c r="S30" s="62"/>
      <c r="T30" s="62"/>
      <c r="U30" s="62"/>
      <c r="V30" s="62"/>
      <c r="W30" s="62"/>
      <c r="X30" s="62"/>
    </row>
    <row r="31" ht="15.75" customHeight="1">
      <c r="D31" s="104"/>
      <c r="E31" s="104"/>
      <c r="F31" s="105"/>
      <c r="G31" s="104"/>
      <c r="H31" s="104"/>
      <c r="K31" s="133"/>
      <c r="Q31" s="62"/>
      <c r="R31" s="62"/>
      <c r="S31" s="62"/>
      <c r="T31" s="62"/>
      <c r="U31" s="62"/>
      <c r="V31" s="62"/>
      <c r="W31" s="62"/>
      <c r="X31" s="62"/>
    </row>
    <row r="32" ht="15.75" customHeight="1">
      <c r="D32" s="104"/>
      <c r="E32" s="104"/>
      <c r="F32" s="105"/>
      <c r="G32" s="104"/>
      <c r="H32" s="104"/>
      <c r="K32" s="133"/>
      <c r="Q32" s="62"/>
      <c r="R32" s="62"/>
      <c r="S32" s="62"/>
      <c r="T32" s="62"/>
      <c r="U32" s="62"/>
      <c r="V32" s="62"/>
      <c r="W32" s="62"/>
      <c r="X32" s="62"/>
    </row>
    <row r="33" ht="15.75" customHeight="1">
      <c r="D33" s="104"/>
      <c r="E33" s="104"/>
      <c r="F33" s="105"/>
      <c r="G33" s="104"/>
      <c r="H33" s="104"/>
      <c r="K33" s="133"/>
      <c r="Q33" s="62"/>
      <c r="R33" s="62"/>
      <c r="S33" s="62"/>
      <c r="T33" s="62"/>
      <c r="U33" s="62"/>
      <c r="V33" s="62"/>
      <c r="W33" s="62"/>
      <c r="X33" s="62"/>
    </row>
    <row r="34" ht="15.75" customHeight="1">
      <c r="D34" s="104"/>
      <c r="E34" s="104"/>
      <c r="F34" s="105"/>
      <c r="G34" s="104"/>
      <c r="H34" s="104"/>
      <c r="K34" s="133"/>
      <c r="Q34" s="62"/>
      <c r="R34" s="62"/>
      <c r="S34" s="62"/>
      <c r="T34" s="62"/>
      <c r="U34" s="62"/>
      <c r="V34" s="62"/>
      <c r="W34" s="62"/>
      <c r="X34" s="62"/>
    </row>
    <row r="35" ht="15.75" customHeight="1">
      <c r="D35" s="104"/>
      <c r="E35" s="104"/>
      <c r="F35" s="105"/>
      <c r="G35" s="104"/>
      <c r="H35" s="104"/>
      <c r="K35" s="133"/>
      <c r="Q35" s="62"/>
      <c r="R35" s="62"/>
      <c r="S35" s="62"/>
      <c r="T35" s="62"/>
      <c r="U35" s="62"/>
      <c r="V35" s="62"/>
      <c r="W35" s="62"/>
      <c r="X35" s="62"/>
    </row>
    <row r="36" ht="15.75" customHeight="1">
      <c r="D36" s="104"/>
      <c r="E36" s="104"/>
      <c r="F36" s="105"/>
      <c r="G36" s="104"/>
      <c r="H36" s="104"/>
      <c r="K36" s="133"/>
      <c r="Q36" s="62"/>
      <c r="R36" s="62"/>
      <c r="S36" s="62"/>
      <c r="T36" s="62"/>
      <c r="U36" s="62"/>
      <c r="V36" s="62"/>
      <c r="W36" s="62"/>
      <c r="X36" s="62"/>
    </row>
    <row r="37" ht="15.75" customHeight="1">
      <c r="D37" s="104"/>
      <c r="E37" s="104"/>
      <c r="F37" s="105"/>
      <c r="G37" s="104"/>
      <c r="H37" s="104"/>
      <c r="K37" s="133"/>
      <c r="Q37" s="62"/>
      <c r="R37" s="62"/>
      <c r="S37" s="62"/>
      <c r="T37" s="62"/>
      <c r="U37" s="62"/>
      <c r="V37" s="62"/>
      <c r="W37" s="62"/>
      <c r="X37" s="62"/>
    </row>
    <row r="38" ht="15.75" customHeight="1">
      <c r="D38" s="104"/>
      <c r="E38" s="104"/>
      <c r="F38" s="105"/>
      <c r="G38" s="104"/>
      <c r="H38" s="104"/>
      <c r="K38" s="133"/>
      <c r="Q38" s="62"/>
      <c r="R38" s="62"/>
      <c r="S38" s="62"/>
      <c r="T38" s="62"/>
      <c r="U38" s="62"/>
      <c r="V38" s="62"/>
      <c r="W38" s="62"/>
      <c r="X38" s="62"/>
    </row>
    <row r="39" ht="15.75" customHeight="1">
      <c r="D39" s="104"/>
      <c r="E39" s="104"/>
      <c r="F39" s="105"/>
      <c r="G39" s="104"/>
      <c r="H39" s="104"/>
      <c r="K39" s="133"/>
      <c r="Q39" s="62"/>
      <c r="R39" s="62"/>
      <c r="S39" s="62"/>
      <c r="T39" s="62"/>
      <c r="U39" s="62"/>
      <c r="V39" s="62"/>
      <c r="W39" s="62"/>
      <c r="X39" s="62"/>
    </row>
    <row r="40" ht="15.75" customHeight="1">
      <c r="D40" s="104"/>
      <c r="E40" s="104"/>
      <c r="F40" s="105"/>
      <c r="G40" s="104"/>
      <c r="H40" s="104"/>
      <c r="K40" s="133"/>
      <c r="Q40" s="62"/>
      <c r="R40" s="62"/>
      <c r="S40" s="62"/>
      <c r="T40" s="62"/>
      <c r="U40" s="62"/>
      <c r="V40" s="62"/>
      <c r="W40" s="62"/>
      <c r="X40" s="62"/>
    </row>
    <row r="41" ht="15.75" customHeight="1">
      <c r="D41" s="104"/>
      <c r="E41" s="104"/>
      <c r="F41" s="105"/>
      <c r="G41" s="104"/>
      <c r="H41" s="104"/>
      <c r="K41" s="133"/>
      <c r="Q41" s="62"/>
      <c r="R41" s="62"/>
      <c r="S41" s="62"/>
      <c r="T41" s="62"/>
      <c r="U41" s="62"/>
      <c r="V41" s="62"/>
      <c r="W41" s="62"/>
      <c r="X41" s="62"/>
    </row>
    <row r="42" ht="15.75" customHeight="1">
      <c r="D42" s="104"/>
      <c r="E42" s="104"/>
      <c r="F42" s="105"/>
      <c r="G42" s="104"/>
      <c r="H42" s="104"/>
      <c r="K42" s="133"/>
      <c r="Q42" s="62"/>
      <c r="R42" s="62"/>
      <c r="S42" s="62"/>
      <c r="T42" s="62"/>
      <c r="U42" s="62"/>
      <c r="V42" s="62"/>
      <c r="W42" s="62"/>
      <c r="X42" s="62"/>
    </row>
    <row r="43" ht="15.75" customHeight="1">
      <c r="D43" s="104"/>
      <c r="E43" s="104"/>
      <c r="F43" s="105"/>
      <c r="G43" s="104"/>
      <c r="H43" s="104"/>
      <c r="K43" s="133"/>
      <c r="Q43" s="62"/>
      <c r="R43" s="62"/>
      <c r="S43" s="62"/>
      <c r="T43" s="62"/>
      <c r="U43" s="62"/>
      <c r="V43" s="62"/>
      <c r="W43" s="62"/>
      <c r="X43" s="62"/>
    </row>
    <row r="44" ht="15.75" customHeight="1">
      <c r="D44" s="104"/>
      <c r="E44" s="104"/>
      <c r="F44" s="105"/>
      <c r="G44" s="104"/>
      <c r="H44" s="104"/>
      <c r="K44" s="133"/>
      <c r="Q44" s="62"/>
      <c r="R44" s="62"/>
      <c r="S44" s="62"/>
      <c r="T44" s="62"/>
      <c r="U44" s="62"/>
      <c r="V44" s="62"/>
      <c r="W44" s="62"/>
      <c r="X44" s="62"/>
    </row>
    <row r="45" ht="15.75" customHeight="1">
      <c r="D45" s="104"/>
      <c r="E45" s="104"/>
      <c r="F45" s="105"/>
      <c r="G45" s="104"/>
      <c r="H45" s="104"/>
      <c r="K45" s="133"/>
      <c r="Q45" s="62"/>
      <c r="R45" s="62"/>
      <c r="S45" s="62"/>
      <c r="T45" s="62"/>
      <c r="U45" s="62"/>
      <c r="V45" s="62"/>
      <c r="W45" s="62"/>
      <c r="X45" s="62"/>
    </row>
    <row r="46" ht="15.75" customHeight="1">
      <c r="D46" s="104"/>
      <c r="E46" s="104"/>
      <c r="F46" s="105"/>
      <c r="G46" s="104"/>
      <c r="H46" s="104"/>
      <c r="K46" s="133"/>
      <c r="Q46" s="62"/>
      <c r="R46" s="62"/>
      <c r="S46" s="62"/>
      <c r="T46" s="62"/>
      <c r="U46" s="62"/>
      <c r="V46" s="62"/>
      <c r="W46" s="62"/>
      <c r="X46" s="62"/>
    </row>
    <row r="47" ht="15.75" customHeight="1">
      <c r="D47" s="104"/>
      <c r="E47" s="104"/>
      <c r="F47" s="105"/>
      <c r="G47" s="104"/>
      <c r="H47" s="104"/>
      <c r="K47" s="133"/>
      <c r="Q47" s="62"/>
      <c r="R47" s="62"/>
      <c r="S47" s="62"/>
      <c r="T47" s="62"/>
      <c r="U47" s="62"/>
      <c r="V47" s="62"/>
      <c r="W47" s="62"/>
      <c r="X47" s="62"/>
    </row>
    <row r="48" ht="15.75" customHeight="1">
      <c r="D48" s="104"/>
      <c r="E48" s="104"/>
      <c r="F48" s="105"/>
      <c r="G48" s="104"/>
      <c r="H48" s="104"/>
      <c r="K48" s="133"/>
      <c r="Q48" s="62"/>
      <c r="R48" s="62"/>
      <c r="S48" s="62"/>
      <c r="T48" s="62"/>
      <c r="U48" s="62"/>
      <c r="V48" s="62"/>
      <c r="W48" s="62"/>
      <c r="X48" s="62"/>
    </row>
    <row r="49" ht="15.75" customHeight="1">
      <c r="D49" s="104"/>
      <c r="E49" s="104"/>
      <c r="F49" s="105"/>
      <c r="G49" s="104"/>
      <c r="H49" s="104"/>
      <c r="K49" s="133"/>
      <c r="Q49" s="62"/>
      <c r="R49" s="62"/>
      <c r="S49" s="62"/>
      <c r="T49" s="62"/>
      <c r="U49" s="62"/>
      <c r="V49" s="62"/>
      <c r="W49" s="62"/>
      <c r="X49" s="62"/>
    </row>
    <row r="50" ht="15.75" customHeight="1">
      <c r="D50" s="104"/>
      <c r="E50" s="104"/>
      <c r="F50" s="105"/>
      <c r="G50" s="104"/>
      <c r="H50" s="104"/>
      <c r="K50" s="133"/>
      <c r="Q50" s="62"/>
      <c r="R50" s="62"/>
      <c r="S50" s="62"/>
      <c r="T50" s="62"/>
      <c r="U50" s="62"/>
      <c r="V50" s="62"/>
      <c r="W50" s="62"/>
      <c r="X50" s="62"/>
    </row>
    <row r="51" ht="15.75" customHeight="1">
      <c r="D51" s="104"/>
      <c r="E51" s="104"/>
      <c r="F51" s="105"/>
      <c r="G51" s="104"/>
      <c r="H51" s="104"/>
      <c r="K51" s="133"/>
      <c r="Q51" s="62"/>
      <c r="R51" s="62"/>
      <c r="S51" s="62"/>
      <c r="T51" s="62"/>
      <c r="U51" s="62"/>
      <c r="V51" s="62"/>
      <c r="W51" s="62"/>
      <c r="X51" s="62"/>
    </row>
    <row r="52" ht="15.75" customHeight="1">
      <c r="D52" s="104"/>
      <c r="E52" s="104"/>
      <c r="F52" s="105"/>
      <c r="G52" s="104"/>
      <c r="H52" s="104"/>
      <c r="K52" s="133"/>
      <c r="Q52" s="62"/>
      <c r="R52" s="62"/>
      <c r="S52" s="62"/>
      <c r="T52" s="62"/>
      <c r="U52" s="62"/>
      <c r="V52" s="62"/>
      <c r="W52" s="62"/>
      <c r="X52" s="62"/>
    </row>
    <row r="53" ht="15.75" customHeight="1">
      <c r="D53" s="104"/>
      <c r="E53" s="104"/>
      <c r="F53" s="105"/>
      <c r="G53" s="104"/>
      <c r="H53" s="104"/>
      <c r="K53" s="133"/>
      <c r="Q53" s="62"/>
      <c r="R53" s="62"/>
      <c r="S53" s="62"/>
      <c r="T53" s="62"/>
      <c r="U53" s="62"/>
      <c r="V53" s="62"/>
      <c r="W53" s="62"/>
      <c r="X53" s="62"/>
    </row>
    <row r="54" ht="15.75" customHeight="1">
      <c r="D54" s="104"/>
      <c r="E54" s="104"/>
      <c r="F54" s="105"/>
      <c r="G54" s="104"/>
      <c r="H54" s="104"/>
      <c r="K54" s="133"/>
      <c r="Q54" s="62"/>
      <c r="R54" s="62"/>
      <c r="S54" s="62"/>
      <c r="T54" s="62"/>
      <c r="U54" s="62"/>
      <c r="V54" s="62"/>
      <c r="W54" s="62"/>
      <c r="X54" s="62"/>
    </row>
    <row r="55" ht="15.75" customHeight="1">
      <c r="D55" s="104"/>
      <c r="E55" s="104"/>
      <c r="F55" s="105"/>
      <c r="G55" s="104"/>
      <c r="H55" s="104"/>
      <c r="K55" s="133"/>
      <c r="Q55" s="62"/>
      <c r="R55" s="62"/>
      <c r="S55" s="62"/>
      <c r="T55" s="62"/>
      <c r="U55" s="62"/>
      <c r="V55" s="62"/>
      <c r="W55" s="62"/>
      <c r="X55" s="62"/>
    </row>
    <row r="56" ht="15.75" customHeight="1">
      <c r="D56" s="104"/>
      <c r="E56" s="104"/>
      <c r="F56" s="105"/>
      <c r="G56" s="104"/>
      <c r="H56" s="104"/>
      <c r="K56" s="133"/>
      <c r="Q56" s="62"/>
      <c r="R56" s="62"/>
      <c r="S56" s="62"/>
      <c r="T56" s="62"/>
      <c r="U56" s="62"/>
      <c r="V56" s="62"/>
      <c r="W56" s="62"/>
      <c r="X56" s="62"/>
    </row>
    <row r="57" ht="15.75" customHeight="1">
      <c r="D57" s="104"/>
      <c r="E57" s="104"/>
      <c r="F57" s="105"/>
      <c r="G57" s="104"/>
      <c r="H57" s="104"/>
      <c r="K57" s="133"/>
      <c r="Q57" s="62"/>
      <c r="R57" s="62"/>
      <c r="S57" s="62"/>
      <c r="T57" s="62"/>
      <c r="U57" s="62"/>
      <c r="V57" s="62"/>
      <c r="W57" s="62"/>
      <c r="X57" s="62"/>
    </row>
    <row r="58" ht="15.75" customHeight="1">
      <c r="D58" s="104"/>
      <c r="E58" s="104"/>
      <c r="F58" s="105"/>
      <c r="G58" s="104"/>
      <c r="H58" s="104"/>
      <c r="K58" s="133"/>
      <c r="Q58" s="62"/>
      <c r="R58" s="62"/>
      <c r="S58" s="62"/>
      <c r="T58" s="62"/>
      <c r="U58" s="62"/>
      <c r="V58" s="62"/>
      <c r="W58" s="62"/>
      <c r="X58" s="62"/>
    </row>
    <row r="59" ht="15.75" customHeight="1">
      <c r="D59" s="104"/>
      <c r="E59" s="104"/>
      <c r="F59" s="105"/>
      <c r="G59" s="104"/>
      <c r="H59" s="104"/>
      <c r="K59" s="133"/>
      <c r="Q59" s="62"/>
      <c r="R59" s="62"/>
      <c r="S59" s="62"/>
      <c r="T59" s="62"/>
      <c r="U59" s="62"/>
      <c r="V59" s="62"/>
      <c r="W59" s="62"/>
      <c r="X59" s="62"/>
    </row>
    <row r="60" ht="15.75" customHeight="1">
      <c r="D60" s="104"/>
      <c r="E60" s="104"/>
      <c r="F60" s="105"/>
      <c r="G60" s="104"/>
      <c r="H60" s="104"/>
      <c r="K60" s="133"/>
      <c r="Q60" s="62"/>
      <c r="R60" s="62"/>
      <c r="S60" s="62"/>
      <c r="T60" s="62"/>
      <c r="U60" s="62"/>
      <c r="V60" s="62"/>
      <c r="W60" s="62"/>
      <c r="X60" s="62"/>
    </row>
    <row r="61" ht="15.75" customHeight="1">
      <c r="D61" s="104"/>
      <c r="E61" s="104"/>
      <c r="F61" s="105"/>
      <c r="G61" s="104"/>
      <c r="H61" s="104"/>
      <c r="K61" s="133"/>
      <c r="Q61" s="62"/>
      <c r="R61" s="62"/>
      <c r="S61" s="62"/>
      <c r="T61" s="62"/>
      <c r="U61" s="62"/>
      <c r="V61" s="62"/>
      <c r="W61" s="62"/>
      <c r="X61" s="62"/>
    </row>
    <row r="62" ht="15.75" customHeight="1">
      <c r="D62" s="104"/>
      <c r="E62" s="104"/>
      <c r="F62" s="105"/>
      <c r="G62" s="104"/>
      <c r="H62" s="104"/>
      <c r="K62" s="133"/>
      <c r="Q62" s="62"/>
      <c r="R62" s="62"/>
      <c r="S62" s="62"/>
      <c r="T62" s="62"/>
      <c r="U62" s="62"/>
      <c r="V62" s="62"/>
      <c r="W62" s="62"/>
      <c r="X62" s="62"/>
    </row>
    <row r="63" ht="15.75" customHeight="1">
      <c r="D63" s="104"/>
      <c r="E63" s="104"/>
      <c r="F63" s="105"/>
      <c r="G63" s="104"/>
      <c r="H63" s="104"/>
      <c r="K63" s="133"/>
      <c r="Q63" s="62"/>
      <c r="R63" s="62"/>
      <c r="S63" s="62"/>
      <c r="T63" s="62"/>
      <c r="U63" s="62"/>
      <c r="V63" s="62"/>
      <c r="W63" s="62"/>
      <c r="X63" s="62"/>
    </row>
    <row r="64" ht="15.75" customHeight="1">
      <c r="D64" s="104"/>
      <c r="E64" s="104"/>
      <c r="F64" s="105"/>
      <c r="G64" s="104"/>
      <c r="H64" s="104"/>
      <c r="K64" s="133"/>
      <c r="Q64" s="62"/>
      <c r="R64" s="62"/>
      <c r="S64" s="62"/>
      <c r="T64" s="62"/>
      <c r="U64" s="62"/>
      <c r="V64" s="62"/>
      <c r="W64" s="62"/>
      <c r="X64" s="62"/>
    </row>
    <row r="65" ht="15.75" customHeight="1">
      <c r="D65" s="104"/>
      <c r="E65" s="104"/>
      <c r="F65" s="105"/>
      <c r="G65" s="104"/>
      <c r="H65" s="104"/>
      <c r="K65" s="133"/>
      <c r="Q65" s="62"/>
      <c r="R65" s="62"/>
      <c r="S65" s="62"/>
      <c r="T65" s="62"/>
      <c r="U65" s="62"/>
      <c r="V65" s="62"/>
      <c r="W65" s="62"/>
      <c r="X65" s="62"/>
    </row>
    <row r="66" ht="15.75" customHeight="1">
      <c r="D66" s="104"/>
      <c r="E66" s="104"/>
      <c r="F66" s="105"/>
      <c r="G66" s="104"/>
      <c r="H66" s="104"/>
      <c r="K66" s="133"/>
      <c r="Q66" s="62"/>
      <c r="R66" s="62"/>
      <c r="S66" s="62"/>
      <c r="T66" s="62"/>
      <c r="U66" s="62"/>
      <c r="V66" s="62"/>
      <c r="W66" s="62"/>
      <c r="X66" s="62"/>
    </row>
    <row r="67" ht="15.75" customHeight="1">
      <c r="D67" s="104"/>
      <c r="E67" s="104"/>
      <c r="F67" s="105"/>
      <c r="G67" s="104"/>
      <c r="H67" s="104"/>
      <c r="K67" s="133"/>
      <c r="Q67" s="62"/>
      <c r="R67" s="62"/>
      <c r="S67" s="62"/>
      <c r="T67" s="62"/>
      <c r="U67" s="62"/>
      <c r="V67" s="62"/>
      <c r="W67" s="62"/>
      <c r="X67" s="62"/>
    </row>
    <row r="68" ht="15.75" customHeight="1">
      <c r="D68" s="104"/>
      <c r="E68" s="104"/>
      <c r="F68" s="105"/>
      <c r="G68" s="104"/>
      <c r="H68" s="104"/>
      <c r="K68" s="133"/>
      <c r="Q68" s="62"/>
      <c r="R68" s="62"/>
      <c r="S68" s="62"/>
      <c r="T68" s="62"/>
      <c r="U68" s="62"/>
      <c r="V68" s="62"/>
      <c r="W68" s="62"/>
      <c r="X68" s="62"/>
    </row>
    <row r="69" ht="15.75" customHeight="1">
      <c r="D69" s="104"/>
      <c r="E69" s="104"/>
      <c r="F69" s="105"/>
      <c r="G69" s="104"/>
      <c r="H69" s="104"/>
      <c r="K69" s="133"/>
      <c r="Q69" s="62"/>
      <c r="R69" s="62"/>
      <c r="S69" s="62"/>
      <c r="T69" s="62"/>
      <c r="U69" s="62"/>
      <c r="V69" s="62"/>
      <c r="W69" s="62"/>
      <c r="X69" s="62"/>
    </row>
    <row r="70" ht="15.75" customHeight="1">
      <c r="D70" s="104"/>
      <c r="E70" s="104"/>
      <c r="F70" s="105"/>
      <c r="G70" s="104"/>
      <c r="H70" s="104"/>
      <c r="K70" s="133"/>
      <c r="Q70" s="62"/>
      <c r="R70" s="62"/>
      <c r="S70" s="62"/>
      <c r="T70" s="62"/>
      <c r="U70" s="62"/>
      <c r="V70" s="62"/>
      <c r="W70" s="62"/>
      <c r="X70" s="62"/>
    </row>
    <row r="71" ht="15.75" customHeight="1">
      <c r="D71" s="104"/>
      <c r="E71" s="104"/>
      <c r="F71" s="105"/>
      <c r="G71" s="104"/>
      <c r="H71" s="104"/>
      <c r="K71" s="133"/>
      <c r="Q71" s="62"/>
      <c r="R71" s="62"/>
      <c r="S71" s="62"/>
      <c r="T71" s="62"/>
      <c r="U71" s="62"/>
      <c r="V71" s="62"/>
      <c r="W71" s="62"/>
      <c r="X71" s="62"/>
    </row>
    <row r="72" ht="15.75" customHeight="1">
      <c r="D72" s="104"/>
      <c r="E72" s="104"/>
      <c r="F72" s="105"/>
      <c r="G72" s="104"/>
      <c r="H72" s="104"/>
      <c r="K72" s="133"/>
      <c r="Q72" s="62"/>
      <c r="R72" s="62"/>
      <c r="S72" s="62"/>
      <c r="T72" s="62"/>
      <c r="U72" s="62"/>
      <c r="V72" s="62"/>
      <c r="W72" s="62"/>
      <c r="X72" s="62"/>
    </row>
    <row r="73" ht="15.75" customHeight="1">
      <c r="D73" s="104"/>
      <c r="E73" s="104"/>
      <c r="F73" s="105"/>
      <c r="G73" s="104"/>
      <c r="H73" s="104"/>
      <c r="K73" s="133"/>
      <c r="Q73" s="62"/>
      <c r="R73" s="62"/>
      <c r="S73" s="62"/>
      <c r="T73" s="62"/>
      <c r="U73" s="62"/>
      <c r="V73" s="62"/>
      <c r="W73" s="62"/>
      <c r="X73" s="62"/>
    </row>
    <row r="74" ht="15.75" customHeight="1">
      <c r="D74" s="104"/>
      <c r="E74" s="104"/>
      <c r="F74" s="105"/>
      <c r="G74" s="104"/>
      <c r="H74" s="104"/>
      <c r="K74" s="133"/>
      <c r="Q74" s="62"/>
      <c r="R74" s="62"/>
      <c r="S74" s="62"/>
      <c r="T74" s="62"/>
      <c r="U74" s="62"/>
      <c r="V74" s="62"/>
      <c r="W74" s="62"/>
      <c r="X74" s="62"/>
    </row>
    <row r="75" ht="15.75" customHeight="1">
      <c r="D75" s="104"/>
      <c r="E75" s="104"/>
      <c r="F75" s="105"/>
      <c r="G75" s="104"/>
      <c r="H75" s="104"/>
      <c r="K75" s="133"/>
      <c r="Q75" s="62"/>
      <c r="R75" s="62"/>
      <c r="S75" s="62"/>
      <c r="T75" s="62"/>
      <c r="U75" s="62"/>
      <c r="V75" s="62"/>
      <c r="W75" s="62"/>
      <c r="X75" s="62"/>
    </row>
    <row r="76" ht="15.75" customHeight="1">
      <c r="D76" s="104"/>
      <c r="E76" s="104"/>
      <c r="F76" s="105"/>
      <c r="G76" s="104"/>
      <c r="H76" s="104"/>
      <c r="K76" s="133"/>
      <c r="Q76" s="62"/>
      <c r="R76" s="62"/>
      <c r="S76" s="62"/>
      <c r="T76" s="62"/>
      <c r="U76" s="62"/>
      <c r="V76" s="62"/>
      <c r="W76" s="62"/>
      <c r="X76" s="62"/>
    </row>
    <row r="77" ht="15.75" customHeight="1">
      <c r="D77" s="104"/>
      <c r="E77" s="104"/>
      <c r="F77" s="105"/>
      <c r="G77" s="104"/>
      <c r="H77" s="104"/>
      <c r="K77" s="133"/>
      <c r="Q77" s="62"/>
      <c r="R77" s="62"/>
      <c r="S77" s="62"/>
      <c r="T77" s="62"/>
      <c r="U77" s="62"/>
      <c r="V77" s="62"/>
      <c r="W77" s="62"/>
      <c r="X77" s="62"/>
    </row>
    <row r="78" ht="15.75" customHeight="1">
      <c r="D78" s="104"/>
      <c r="E78" s="104"/>
      <c r="F78" s="105"/>
      <c r="G78" s="104"/>
      <c r="H78" s="104"/>
      <c r="K78" s="133"/>
      <c r="Q78" s="62"/>
      <c r="R78" s="62"/>
      <c r="S78" s="62"/>
      <c r="T78" s="62"/>
      <c r="U78" s="62"/>
      <c r="V78" s="62"/>
      <c r="W78" s="62"/>
      <c r="X78" s="62"/>
    </row>
    <row r="79" ht="15.75" customHeight="1">
      <c r="D79" s="104"/>
      <c r="E79" s="104"/>
      <c r="F79" s="105"/>
      <c r="G79" s="104"/>
      <c r="H79" s="104"/>
      <c r="K79" s="133"/>
      <c r="Q79" s="62"/>
      <c r="R79" s="62"/>
      <c r="S79" s="62"/>
      <c r="T79" s="62"/>
      <c r="U79" s="62"/>
      <c r="V79" s="62"/>
      <c r="W79" s="62"/>
      <c r="X79" s="62"/>
    </row>
    <row r="80" ht="15.75" customHeight="1">
      <c r="D80" s="104"/>
      <c r="E80" s="104"/>
      <c r="F80" s="105"/>
      <c r="G80" s="104"/>
      <c r="H80" s="104"/>
      <c r="K80" s="133"/>
      <c r="Q80" s="62"/>
      <c r="R80" s="62"/>
      <c r="S80" s="62"/>
      <c r="T80" s="62"/>
      <c r="U80" s="62"/>
      <c r="V80" s="62"/>
      <c r="W80" s="62"/>
      <c r="X80" s="62"/>
    </row>
    <row r="81" ht="15.75" customHeight="1">
      <c r="D81" s="104"/>
      <c r="E81" s="104"/>
      <c r="F81" s="105"/>
      <c r="G81" s="104"/>
      <c r="H81" s="104"/>
      <c r="K81" s="133"/>
      <c r="Q81" s="62"/>
      <c r="R81" s="62"/>
      <c r="S81" s="62"/>
      <c r="T81" s="62"/>
      <c r="U81" s="62"/>
      <c r="V81" s="62"/>
      <c r="W81" s="62"/>
      <c r="X81" s="62"/>
    </row>
    <row r="82" ht="15.75" customHeight="1">
      <c r="D82" s="104"/>
      <c r="E82" s="104"/>
      <c r="F82" s="105"/>
      <c r="G82" s="104"/>
      <c r="H82" s="104"/>
      <c r="K82" s="133"/>
      <c r="Q82" s="62"/>
      <c r="R82" s="62"/>
      <c r="S82" s="62"/>
      <c r="T82" s="62"/>
      <c r="U82" s="62"/>
      <c r="V82" s="62"/>
      <c r="W82" s="62"/>
      <c r="X82" s="62"/>
    </row>
    <row r="83" ht="15.75" customHeight="1">
      <c r="D83" s="104"/>
      <c r="E83" s="104"/>
      <c r="F83" s="105"/>
      <c r="G83" s="104"/>
      <c r="H83" s="104"/>
      <c r="K83" s="133"/>
      <c r="Q83" s="62"/>
      <c r="R83" s="62"/>
      <c r="S83" s="62"/>
      <c r="T83" s="62"/>
      <c r="U83" s="62"/>
      <c r="V83" s="62"/>
      <c r="W83" s="62"/>
      <c r="X83" s="62"/>
    </row>
    <row r="84" ht="15.75" customHeight="1">
      <c r="D84" s="104"/>
      <c r="E84" s="104"/>
      <c r="F84" s="105"/>
      <c r="G84" s="104"/>
      <c r="H84" s="104"/>
      <c r="K84" s="133"/>
      <c r="Q84" s="62"/>
      <c r="R84" s="62"/>
      <c r="S84" s="62"/>
      <c r="T84" s="62"/>
      <c r="U84" s="62"/>
      <c r="V84" s="62"/>
      <c r="W84" s="62"/>
      <c r="X84" s="62"/>
    </row>
    <row r="85" ht="15.75" customHeight="1">
      <c r="D85" s="104"/>
      <c r="E85" s="104"/>
      <c r="F85" s="105"/>
      <c r="G85" s="104"/>
      <c r="H85" s="104"/>
      <c r="K85" s="133"/>
      <c r="Q85" s="62"/>
      <c r="R85" s="62"/>
      <c r="S85" s="62"/>
      <c r="T85" s="62"/>
      <c r="U85" s="62"/>
      <c r="V85" s="62"/>
      <c r="W85" s="62"/>
      <c r="X85" s="62"/>
    </row>
    <row r="86" ht="15.75" customHeight="1">
      <c r="D86" s="104"/>
      <c r="E86" s="104"/>
      <c r="F86" s="105"/>
      <c r="G86" s="104"/>
      <c r="H86" s="104"/>
      <c r="K86" s="133"/>
      <c r="Q86" s="62"/>
      <c r="R86" s="62"/>
      <c r="S86" s="62"/>
      <c r="T86" s="62"/>
      <c r="U86" s="62"/>
      <c r="V86" s="62"/>
      <c r="W86" s="62"/>
      <c r="X86" s="62"/>
    </row>
    <row r="87" ht="15.75" customHeight="1">
      <c r="D87" s="104"/>
      <c r="E87" s="104"/>
      <c r="F87" s="105"/>
      <c r="G87" s="104"/>
      <c r="H87" s="104"/>
      <c r="K87" s="133"/>
      <c r="Q87" s="62"/>
      <c r="R87" s="62"/>
      <c r="S87" s="62"/>
      <c r="T87" s="62"/>
      <c r="U87" s="62"/>
      <c r="V87" s="62"/>
      <c r="W87" s="62"/>
      <c r="X87" s="62"/>
    </row>
    <row r="88" ht="15.75" customHeight="1">
      <c r="D88" s="104"/>
      <c r="E88" s="104"/>
      <c r="F88" s="105"/>
      <c r="G88" s="104"/>
      <c r="H88" s="104"/>
      <c r="K88" s="133"/>
      <c r="Q88" s="62"/>
      <c r="R88" s="62"/>
      <c r="S88" s="62"/>
      <c r="T88" s="62"/>
      <c r="U88" s="62"/>
      <c r="V88" s="62"/>
      <c r="W88" s="62"/>
      <c r="X88" s="62"/>
    </row>
    <row r="89" ht="15.75" customHeight="1">
      <c r="D89" s="104"/>
      <c r="E89" s="104"/>
      <c r="F89" s="105"/>
      <c r="G89" s="104"/>
      <c r="H89" s="104"/>
      <c r="K89" s="133"/>
      <c r="Q89" s="62"/>
      <c r="R89" s="62"/>
      <c r="S89" s="62"/>
      <c r="T89" s="62"/>
      <c r="U89" s="62"/>
      <c r="V89" s="62"/>
      <c r="W89" s="62"/>
      <c r="X89" s="62"/>
    </row>
    <row r="90" ht="15.75" customHeight="1">
      <c r="D90" s="104"/>
      <c r="E90" s="104"/>
      <c r="F90" s="105"/>
      <c r="G90" s="104"/>
      <c r="H90" s="104"/>
      <c r="K90" s="133"/>
      <c r="Q90" s="62"/>
      <c r="R90" s="62"/>
      <c r="S90" s="62"/>
      <c r="T90" s="62"/>
      <c r="U90" s="62"/>
      <c r="V90" s="62"/>
      <c r="W90" s="62"/>
      <c r="X90" s="62"/>
    </row>
    <row r="91" ht="15.75" customHeight="1">
      <c r="D91" s="104"/>
      <c r="E91" s="104"/>
      <c r="F91" s="105"/>
      <c r="G91" s="104"/>
      <c r="H91" s="104"/>
      <c r="K91" s="133"/>
      <c r="Q91" s="62"/>
      <c r="R91" s="62"/>
      <c r="S91" s="62"/>
      <c r="T91" s="62"/>
      <c r="U91" s="62"/>
      <c r="V91" s="62"/>
      <c r="W91" s="62"/>
      <c r="X91" s="62"/>
    </row>
    <row r="92" ht="15.75" customHeight="1">
      <c r="D92" s="104"/>
      <c r="E92" s="104"/>
      <c r="F92" s="105"/>
      <c r="G92" s="104"/>
      <c r="H92" s="104"/>
      <c r="K92" s="133"/>
      <c r="Q92" s="62"/>
      <c r="R92" s="62"/>
      <c r="S92" s="62"/>
      <c r="T92" s="62"/>
      <c r="U92" s="62"/>
      <c r="V92" s="62"/>
      <c r="W92" s="62"/>
      <c r="X92" s="62"/>
    </row>
    <row r="93" ht="15.75" customHeight="1">
      <c r="D93" s="104"/>
      <c r="E93" s="104"/>
      <c r="F93" s="105"/>
      <c r="G93" s="104"/>
      <c r="H93" s="104"/>
      <c r="K93" s="133"/>
      <c r="Q93" s="62"/>
      <c r="R93" s="62"/>
      <c r="S93" s="62"/>
      <c r="T93" s="62"/>
      <c r="U93" s="62"/>
      <c r="V93" s="62"/>
      <c r="W93" s="62"/>
      <c r="X93" s="62"/>
    </row>
    <row r="94" ht="15.75" customHeight="1">
      <c r="D94" s="104"/>
      <c r="E94" s="104"/>
      <c r="F94" s="105"/>
      <c r="G94" s="104"/>
      <c r="H94" s="104"/>
      <c r="K94" s="133"/>
      <c r="Q94" s="62"/>
      <c r="R94" s="62"/>
      <c r="S94" s="62"/>
      <c r="T94" s="62"/>
      <c r="U94" s="62"/>
      <c r="V94" s="62"/>
      <c r="W94" s="62"/>
      <c r="X94" s="62"/>
    </row>
    <row r="95" ht="15.75" customHeight="1">
      <c r="D95" s="104"/>
      <c r="E95" s="104"/>
      <c r="F95" s="105"/>
      <c r="G95" s="104"/>
      <c r="H95" s="104"/>
      <c r="K95" s="133"/>
      <c r="Q95" s="62"/>
      <c r="R95" s="62"/>
      <c r="S95" s="62"/>
      <c r="T95" s="62"/>
      <c r="U95" s="62"/>
      <c r="V95" s="62"/>
      <c r="W95" s="62"/>
      <c r="X95" s="62"/>
    </row>
    <row r="96" ht="15.75" customHeight="1">
      <c r="D96" s="104"/>
      <c r="E96" s="104"/>
      <c r="F96" s="105"/>
      <c r="G96" s="104"/>
      <c r="H96" s="104"/>
      <c r="K96" s="133"/>
      <c r="Q96" s="62"/>
      <c r="R96" s="62"/>
      <c r="S96" s="62"/>
      <c r="T96" s="62"/>
      <c r="U96" s="62"/>
      <c r="V96" s="62"/>
      <c r="W96" s="62"/>
      <c r="X96" s="62"/>
    </row>
    <row r="97" ht="15.75" customHeight="1">
      <c r="D97" s="104"/>
      <c r="E97" s="104"/>
      <c r="F97" s="105"/>
      <c r="G97" s="104"/>
      <c r="H97" s="104"/>
      <c r="K97" s="133"/>
      <c r="Q97" s="62"/>
      <c r="R97" s="62"/>
      <c r="S97" s="62"/>
      <c r="T97" s="62"/>
      <c r="U97" s="62"/>
      <c r="V97" s="62"/>
      <c r="W97" s="62"/>
      <c r="X97" s="62"/>
    </row>
    <row r="98" ht="15.75" customHeight="1">
      <c r="D98" s="104"/>
      <c r="E98" s="104"/>
      <c r="F98" s="105"/>
      <c r="G98" s="104"/>
      <c r="H98" s="104"/>
      <c r="K98" s="133"/>
      <c r="Q98" s="62"/>
      <c r="R98" s="62"/>
      <c r="S98" s="62"/>
      <c r="T98" s="62"/>
      <c r="U98" s="62"/>
      <c r="V98" s="62"/>
      <c r="W98" s="62"/>
      <c r="X98" s="62"/>
    </row>
    <row r="99" ht="15.75" customHeight="1">
      <c r="D99" s="104"/>
      <c r="E99" s="104"/>
      <c r="F99" s="105"/>
      <c r="G99" s="104"/>
      <c r="H99" s="104"/>
      <c r="K99" s="133"/>
      <c r="Q99" s="62"/>
      <c r="R99" s="62"/>
      <c r="S99" s="62"/>
      <c r="T99" s="62"/>
      <c r="U99" s="62"/>
      <c r="V99" s="62"/>
      <c r="W99" s="62"/>
      <c r="X99" s="62"/>
    </row>
    <row r="100" ht="15.75" customHeight="1">
      <c r="D100" s="104"/>
      <c r="E100" s="104"/>
      <c r="F100" s="105"/>
      <c r="G100" s="104"/>
      <c r="H100" s="104"/>
      <c r="K100" s="133"/>
      <c r="Q100" s="62"/>
      <c r="R100" s="62"/>
      <c r="S100" s="62"/>
      <c r="T100" s="62"/>
      <c r="U100" s="62"/>
      <c r="V100" s="62"/>
      <c r="W100" s="62"/>
      <c r="X100" s="62"/>
    </row>
    <row r="101" ht="15.75" customHeight="1">
      <c r="D101" s="104"/>
      <c r="E101" s="104"/>
      <c r="F101" s="105"/>
      <c r="G101" s="104"/>
      <c r="H101" s="104"/>
      <c r="K101" s="133"/>
      <c r="Q101" s="62"/>
      <c r="R101" s="62"/>
      <c r="S101" s="62"/>
      <c r="T101" s="62"/>
      <c r="U101" s="62"/>
      <c r="V101" s="62"/>
      <c r="W101" s="62"/>
      <c r="X101" s="62"/>
    </row>
    <row r="102" ht="15.75" customHeight="1">
      <c r="D102" s="104"/>
      <c r="E102" s="104"/>
      <c r="F102" s="105"/>
      <c r="G102" s="104"/>
      <c r="H102" s="104"/>
      <c r="K102" s="133"/>
      <c r="Q102" s="62"/>
      <c r="R102" s="62"/>
      <c r="S102" s="62"/>
      <c r="T102" s="62"/>
      <c r="U102" s="62"/>
      <c r="V102" s="62"/>
      <c r="W102" s="62"/>
      <c r="X102" s="62"/>
    </row>
    <row r="103" ht="15.75" customHeight="1">
      <c r="D103" s="104"/>
      <c r="E103" s="104"/>
      <c r="F103" s="105"/>
      <c r="G103" s="104"/>
      <c r="H103" s="104"/>
      <c r="K103" s="133"/>
      <c r="Q103" s="62"/>
      <c r="R103" s="62"/>
      <c r="S103" s="62"/>
      <c r="T103" s="62"/>
      <c r="U103" s="62"/>
      <c r="V103" s="62"/>
      <c r="W103" s="62"/>
      <c r="X103" s="62"/>
    </row>
    <row r="104" ht="15.75" customHeight="1">
      <c r="D104" s="104"/>
      <c r="E104" s="104"/>
      <c r="F104" s="105"/>
      <c r="G104" s="104"/>
      <c r="H104" s="104"/>
      <c r="K104" s="133"/>
      <c r="Q104" s="62"/>
      <c r="R104" s="62"/>
      <c r="S104" s="62"/>
      <c r="T104" s="62"/>
      <c r="U104" s="62"/>
      <c r="V104" s="62"/>
      <c r="W104" s="62"/>
      <c r="X104" s="62"/>
    </row>
    <row r="105" ht="15.75" customHeight="1">
      <c r="D105" s="104"/>
      <c r="E105" s="104"/>
      <c r="F105" s="105"/>
      <c r="G105" s="104"/>
      <c r="H105" s="104"/>
      <c r="K105" s="133"/>
      <c r="Q105" s="62"/>
      <c r="R105" s="62"/>
      <c r="S105" s="62"/>
      <c r="T105" s="62"/>
      <c r="U105" s="62"/>
      <c r="V105" s="62"/>
      <c r="W105" s="62"/>
      <c r="X105" s="62"/>
    </row>
    <row r="106" ht="15.75" customHeight="1">
      <c r="D106" s="104"/>
      <c r="E106" s="104"/>
      <c r="F106" s="105"/>
      <c r="G106" s="104"/>
      <c r="H106" s="104"/>
      <c r="K106" s="133"/>
      <c r="Q106" s="62"/>
      <c r="R106" s="62"/>
      <c r="S106" s="62"/>
      <c r="T106" s="62"/>
      <c r="U106" s="62"/>
      <c r="V106" s="62"/>
      <c r="W106" s="62"/>
      <c r="X106" s="62"/>
    </row>
    <row r="107" ht="15.75" customHeight="1">
      <c r="D107" s="104"/>
      <c r="E107" s="104"/>
      <c r="F107" s="105"/>
      <c r="G107" s="104"/>
      <c r="H107" s="104"/>
      <c r="K107" s="133"/>
      <c r="Q107" s="62"/>
      <c r="R107" s="62"/>
      <c r="S107" s="62"/>
      <c r="T107" s="62"/>
      <c r="U107" s="62"/>
      <c r="V107" s="62"/>
      <c r="W107" s="62"/>
      <c r="X107" s="62"/>
    </row>
    <row r="108" ht="15.75" customHeight="1">
      <c r="D108" s="104"/>
      <c r="E108" s="104"/>
      <c r="F108" s="105"/>
      <c r="G108" s="104"/>
      <c r="H108" s="104"/>
      <c r="K108" s="133"/>
      <c r="Q108" s="62"/>
      <c r="R108" s="62"/>
      <c r="S108" s="62"/>
      <c r="T108" s="62"/>
      <c r="U108" s="62"/>
      <c r="V108" s="62"/>
      <c r="W108" s="62"/>
      <c r="X108" s="62"/>
    </row>
    <row r="109" ht="15.75" customHeight="1">
      <c r="D109" s="104"/>
      <c r="E109" s="104"/>
      <c r="F109" s="105"/>
      <c r="G109" s="104"/>
      <c r="H109" s="104"/>
      <c r="K109" s="133"/>
      <c r="Q109" s="62"/>
      <c r="R109" s="62"/>
      <c r="S109" s="62"/>
      <c r="T109" s="62"/>
      <c r="U109" s="62"/>
      <c r="V109" s="62"/>
      <c r="W109" s="62"/>
      <c r="X109" s="62"/>
    </row>
    <row r="110" ht="15.75" customHeight="1">
      <c r="D110" s="104"/>
      <c r="E110" s="104"/>
      <c r="F110" s="105"/>
      <c r="G110" s="104"/>
      <c r="H110" s="104"/>
      <c r="K110" s="133"/>
      <c r="Q110" s="62"/>
      <c r="R110" s="62"/>
      <c r="S110" s="62"/>
      <c r="T110" s="62"/>
      <c r="U110" s="62"/>
      <c r="V110" s="62"/>
      <c r="W110" s="62"/>
      <c r="X110" s="62"/>
    </row>
    <row r="111" ht="15.75" customHeight="1">
      <c r="D111" s="104"/>
      <c r="E111" s="104"/>
      <c r="F111" s="105"/>
      <c r="G111" s="104"/>
      <c r="H111" s="104"/>
      <c r="K111" s="133"/>
      <c r="Q111" s="62"/>
      <c r="R111" s="62"/>
      <c r="S111" s="62"/>
      <c r="T111" s="62"/>
      <c r="U111" s="62"/>
      <c r="V111" s="62"/>
      <c r="W111" s="62"/>
      <c r="X111" s="62"/>
    </row>
    <row r="112" ht="15.75" customHeight="1">
      <c r="D112" s="104"/>
      <c r="E112" s="104"/>
      <c r="F112" s="105"/>
      <c r="G112" s="104"/>
      <c r="H112" s="104"/>
      <c r="K112" s="133"/>
      <c r="Q112" s="62"/>
      <c r="R112" s="62"/>
      <c r="S112" s="62"/>
      <c r="T112" s="62"/>
      <c r="U112" s="62"/>
      <c r="V112" s="62"/>
      <c r="W112" s="62"/>
      <c r="X112" s="62"/>
    </row>
    <row r="113" ht="15.75" customHeight="1">
      <c r="D113" s="104"/>
      <c r="E113" s="104"/>
      <c r="F113" s="105"/>
      <c r="G113" s="104"/>
      <c r="H113" s="104"/>
      <c r="K113" s="133"/>
      <c r="Q113" s="62"/>
      <c r="R113" s="62"/>
      <c r="S113" s="62"/>
      <c r="T113" s="62"/>
      <c r="U113" s="62"/>
      <c r="V113" s="62"/>
      <c r="W113" s="62"/>
      <c r="X113" s="62"/>
    </row>
    <row r="114" ht="15.75" customHeight="1">
      <c r="D114" s="104"/>
      <c r="E114" s="104"/>
      <c r="F114" s="105"/>
      <c r="G114" s="104"/>
      <c r="H114" s="104"/>
      <c r="K114" s="133"/>
      <c r="Q114" s="62"/>
      <c r="R114" s="62"/>
      <c r="S114" s="62"/>
      <c r="T114" s="62"/>
      <c r="U114" s="62"/>
      <c r="V114" s="62"/>
      <c r="W114" s="62"/>
      <c r="X114" s="62"/>
    </row>
    <row r="115" ht="15.75" customHeight="1">
      <c r="D115" s="104"/>
      <c r="E115" s="104"/>
      <c r="F115" s="105"/>
      <c r="G115" s="104"/>
      <c r="H115" s="104"/>
      <c r="K115" s="133"/>
      <c r="Q115" s="62"/>
      <c r="R115" s="62"/>
      <c r="S115" s="62"/>
      <c r="T115" s="62"/>
      <c r="U115" s="62"/>
      <c r="V115" s="62"/>
      <c r="W115" s="62"/>
      <c r="X115" s="62"/>
    </row>
    <row r="116" ht="15.75" customHeight="1">
      <c r="D116" s="104"/>
      <c r="E116" s="104"/>
      <c r="F116" s="105"/>
      <c r="G116" s="104"/>
      <c r="H116" s="104"/>
      <c r="K116" s="133"/>
      <c r="Q116" s="62"/>
      <c r="R116" s="62"/>
      <c r="S116" s="62"/>
      <c r="T116" s="62"/>
      <c r="U116" s="62"/>
      <c r="V116" s="62"/>
      <c r="W116" s="62"/>
      <c r="X116" s="62"/>
    </row>
    <row r="117" ht="15.75" customHeight="1">
      <c r="D117" s="104"/>
      <c r="E117" s="104"/>
      <c r="F117" s="105"/>
      <c r="G117" s="104"/>
      <c r="H117" s="104"/>
      <c r="K117" s="133"/>
      <c r="Q117" s="62"/>
      <c r="R117" s="62"/>
      <c r="S117" s="62"/>
      <c r="T117" s="62"/>
      <c r="U117" s="62"/>
      <c r="V117" s="62"/>
      <c r="W117" s="62"/>
      <c r="X117" s="62"/>
    </row>
    <row r="118" ht="15.75" customHeight="1">
      <c r="D118" s="104"/>
      <c r="E118" s="104"/>
      <c r="F118" s="105"/>
      <c r="G118" s="104"/>
      <c r="H118" s="104"/>
      <c r="K118" s="133"/>
      <c r="Q118" s="62"/>
      <c r="R118" s="62"/>
      <c r="S118" s="62"/>
      <c r="T118" s="62"/>
      <c r="U118" s="62"/>
      <c r="V118" s="62"/>
      <c r="W118" s="62"/>
      <c r="X118" s="62"/>
    </row>
    <row r="119" ht="15.75" customHeight="1">
      <c r="D119" s="104"/>
      <c r="E119" s="104"/>
      <c r="F119" s="105"/>
      <c r="G119" s="104"/>
      <c r="H119" s="104"/>
      <c r="K119" s="133"/>
      <c r="Q119" s="62"/>
      <c r="R119" s="62"/>
      <c r="S119" s="62"/>
      <c r="T119" s="62"/>
      <c r="U119" s="62"/>
      <c r="V119" s="62"/>
      <c r="W119" s="62"/>
      <c r="X119" s="62"/>
    </row>
    <row r="120" ht="15.75" customHeight="1">
      <c r="D120" s="104"/>
      <c r="E120" s="104"/>
      <c r="F120" s="105"/>
      <c r="G120" s="104"/>
      <c r="H120" s="104"/>
      <c r="K120" s="133"/>
      <c r="Q120" s="62"/>
      <c r="R120" s="62"/>
      <c r="S120" s="62"/>
      <c r="T120" s="62"/>
      <c r="U120" s="62"/>
      <c r="V120" s="62"/>
      <c r="W120" s="62"/>
      <c r="X120" s="62"/>
    </row>
    <row r="121" ht="15.75" customHeight="1">
      <c r="D121" s="104"/>
      <c r="E121" s="104"/>
      <c r="F121" s="105"/>
      <c r="G121" s="104"/>
      <c r="H121" s="104"/>
      <c r="K121" s="133"/>
      <c r="Q121" s="62"/>
      <c r="R121" s="62"/>
      <c r="S121" s="62"/>
      <c r="T121" s="62"/>
      <c r="U121" s="62"/>
      <c r="V121" s="62"/>
      <c r="W121" s="62"/>
      <c r="X121" s="62"/>
    </row>
    <row r="122" ht="15.75" customHeight="1">
      <c r="D122" s="104"/>
      <c r="E122" s="104"/>
      <c r="F122" s="105"/>
      <c r="G122" s="104"/>
      <c r="H122" s="104"/>
      <c r="K122" s="133"/>
      <c r="Q122" s="62"/>
      <c r="R122" s="62"/>
      <c r="S122" s="62"/>
      <c r="T122" s="62"/>
      <c r="U122" s="62"/>
      <c r="V122" s="62"/>
      <c r="W122" s="62"/>
      <c r="X122" s="62"/>
    </row>
    <row r="123" ht="15.75" customHeight="1">
      <c r="D123" s="104"/>
      <c r="E123" s="104"/>
      <c r="F123" s="105"/>
      <c r="G123" s="104"/>
      <c r="H123" s="104"/>
      <c r="K123" s="133"/>
      <c r="Q123" s="62"/>
      <c r="R123" s="62"/>
      <c r="S123" s="62"/>
      <c r="T123" s="62"/>
      <c r="U123" s="62"/>
      <c r="V123" s="62"/>
      <c r="W123" s="62"/>
      <c r="X123" s="62"/>
    </row>
    <row r="124" ht="15.75" customHeight="1">
      <c r="D124" s="104"/>
      <c r="E124" s="104"/>
      <c r="F124" s="105"/>
      <c r="G124" s="104"/>
      <c r="H124" s="104"/>
      <c r="K124" s="133"/>
      <c r="Q124" s="62"/>
      <c r="R124" s="62"/>
      <c r="S124" s="62"/>
      <c r="T124" s="62"/>
      <c r="U124" s="62"/>
      <c r="V124" s="62"/>
      <c r="W124" s="62"/>
      <c r="X124" s="62"/>
    </row>
    <row r="125" ht="15.75" customHeight="1">
      <c r="D125" s="104"/>
      <c r="E125" s="104"/>
      <c r="F125" s="105"/>
      <c r="G125" s="104"/>
      <c r="H125" s="104"/>
      <c r="K125" s="133"/>
      <c r="Q125" s="62"/>
      <c r="R125" s="62"/>
      <c r="S125" s="62"/>
      <c r="T125" s="62"/>
      <c r="U125" s="62"/>
      <c r="V125" s="62"/>
      <c r="W125" s="62"/>
      <c r="X125" s="62"/>
    </row>
    <row r="126" ht="15.75" customHeight="1">
      <c r="D126" s="104"/>
      <c r="E126" s="104"/>
      <c r="F126" s="105"/>
      <c r="G126" s="104"/>
      <c r="H126" s="104"/>
      <c r="K126" s="133"/>
      <c r="Q126" s="62"/>
      <c r="R126" s="62"/>
      <c r="S126" s="62"/>
      <c r="T126" s="62"/>
      <c r="U126" s="62"/>
      <c r="V126" s="62"/>
      <c r="W126" s="62"/>
      <c r="X126" s="62"/>
    </row>
    <row r="127" ht="15.75" customHeight="1">
      <c r="D127" s="104"/>
      <c r="E127" s="104"/>
      <c r="F127" s="105"/>
      <c r="G127" s="104"/>
      <c r="H127" s="104"/>
      <c r="K127" s="133"/>
      <c r="Q127" s="62"/>
      <c r="R127" s="62"/>
      <c r="S127" s="62"/>
      <c r="T127" s="62"/>
      <c r="U127" s="62"/>
      <c r="V127" s="62"/>
      <c r="W127" s="62"/>
      <c r="X127" s="62"/>
    </row>
    <row r="128" ht="15.75" customHeight="1">
      <c r="D128" s="104"/>
      <c r="E128" s="104"/>
      <c r="F128" s="105"/>
      <c r="G128" s="104"/>
      <c r="H128" s="104"/>
      <c r="K128" s="133"/>
      <c r="Q128" s="62"/>
      <c r="R128" s="62"/>
      <c r="S128" s="62"/>
      <c r="T128" s="62"/>
      <c r="U128" s="62"/>
      <c r="V128" s="62"/>
      <c r="W128" s="62"/>
      <c r="X128" s="62"/>
    </row>
    <row r="129" ht="15.75" customHeight="1">
      <c r="D129" s="104"/>
      <c r="E129" s="104"/>
      <c r="F129" s="105"/>
      <c r="G129" s="104"/>
      <c r="H129" s="104"/>
      <c r="K129" s="133"/>
      <c r="Q129" s="62"/>
      <c r="R129" s="62"/>
      <c r="S129" s="62"/>
      <c r="T129" s="62"/>
      <c r="U129" s="62"/>
      <c r="V129" s="62"/>
      <c r="W129" s="62"/>
      <c r="X129" s="62"/>
    </row>
    <row r="130" ht="15.75" customHeight="1">
      <c r="D130" s="104"/>
      <c r="E130" s="104"/>
      <c r="F130" s="105"/>
      <c r="G130" s="104"/>
      <c r="H130" s="104"/>
      <c r="K130" s="133"/>
      <c r="Q130" s="62"/>
      <c r="R130" s="62"/>
      <c r="S130" s="62"/>
      <c r="T130" s="62"/>
      <c r="U130" s="62"/>
      <c r="V130" s="62"/>
      <c r="W130" s="62"/>
      <c r="X130" s="62"/>
    </row>
    <row r="131" ht="15.75" customHeight="1">
      <c r="D131" s="104"/>
      <c r="E131" s="104"/>
      <c r="F131" s="105"/>
      <c r="G131" s="104"/>
      <c r="H131" s="104"/>
      <c r="K131" s="133"/>
      <c r="Q131" s="62"/>
      <c r="R131" s="62"/>
      <c r="S131" s="62"/>
      <c r="T131" s="62"/>
      <c r="U131" s="62"/>
      <c r="V131" s="62"/>
      <c r="W131" s="62"/>
      <c r="X131" s="62"/>
    </row>
    <row r="132" ht="15.75" customHeight="1">
      <c r="D132" s="104"/>
      <c r="E132" s="104"/>
      <c r="F132" s="105"/>
      <c r="G132" s="104"/>
      <c r="H132" s="104"/>
      <c r="K132" s="133"/>
      <c r="Q132" s="62"/>
      <c r="R132" s="62"/>
      <c r="S132" s="62"/>
      <c r="T132" s="62"/>
      <c r="U132" s="62"/>
      <c r="V132" s="62"/>
      <c r="W132" s="62"/>
      <c r="X132" s="62"/>
    </row>
    <row r="133" ht="15.75" customHeight="1">
      <c r="D133" s="104"/>
      <c r="E133" s="104"/>
      <c r="F133" s="105"/>
      <c r="G133" s="104"/>
      <c r="H133" s="104"/>
      <c r="K133" s="133"/>
      <c r="Q133" s="62"/>
      <c r="R133" s="62"/>
      <c r="S133" s="62"/>
      <c r="T133" s="62"/>
      <c r="U133" s="62"/>
      <c r="V133" s="62"/>
      <c r="W133" s="62"/>
      <c r="X133" s="62"/>
    </row>
    <row r="134" ht="15.75" customHeight="1">
      <c r="D134" s="104"/>
      <c r="E134" s="104"/>
      <c r="F134" s="105"/>
      <c r="G134" s="104"/>
      <c r="H134" s="104"/>
      <c r="K134" s="133"/>
      <c r="Q134" s="62"/>
      <c r="R134" s="62"/>
      <c r="S134" s="62"/>
      <c r="T134" s="62"/>
      <c r="U134" s="62"/>
      <c r="V134" s="62"/>
      <c r="W134" s="62"/>
      <c r="X134" s="62"/>
    </row>
    <row r="135" ht="15.75" customHeight="1">
      <c r="D135" s="104"/>
      <c r="E135" s="104"/>
      <c r="F135" s="105"/>
      <c r="G135" s="104"/>
      <c r="H135" s="104"/>
      <c r="K135" s="133"/>
      <c r="Q135" s="62"/>
      <c r="R135" s="62"/>
      <c r="S135" s="62"/>
      <c r="T135" s="62"/>
      <c r="U135" s="62"/>
      <c r="V135" s="62"/>
      <c r="W135" s="62"/>
      <c r="X135" s="62"/>
    </row>
    <row r="136" ht="15.75" customHeight="1">
      <c r="D136" s="104"/>
      <c r="E136" s="104"/>
      <c r="F136" s="105"/>
      <c r="G136" s="104"/>
      <c r="H136" s="104"/>
      <c r="K136" s="133"/>
      <c r="Q136" s="62"/>
      <c r="R136" s="62"/>
      <c r="S136" s="62"/>
      <c r="T136" s="62"/>
      <c r="U136" s="62"/>
      <c r="V136" s="62"/>
      <c r="W136" s="62"/>
      <c r="X136" s="62"/>
    </row>
    <row r="137" ht="15.75" customHeight="1">
      <c r="D137" s="104"/>
      <c r="E137" s="104"/>
      <c r="F137" s="105"/>
      <c r="G137" s="104"/>
      <c r="H137" s="104"/>
      <c r="K137" s="133"/>
      <c r="Q137" s="62"/>
      <c r="R137" s="62"/>
      <c r="S137" s="62"/>
      <c r="T137" s="62"/>
      <c r="U137" s="62"/>
      <c r="V137" s="62"/>
      <c r="W137" s="62"/>
      <c r="X137" s="62"/>
    </row>
    <row r="138" ht="15.75" customHeight="1">
      <c r="D138" s="104"/>
      <c r="E138" s="104"/>
      <c r="F138" s="105"/>
      <c r="G138" s="104"/>
      <c r="H138" s="104"/>
      <c r="K138" s="133"/>
      <c r="Q138" s="62"/>
      <c r="R138" s="62"/>
      <c r="S138" s="62"/>
      <c r="T138" s="62"/>
      <c r="U138" s="62"/>
      <c r="V138" s="62"/>
      <c r="W138" s="62"/>
      <c r="X138" s="62"/>
    </row>
    <row r="139" ht="15.75" customHeight="1">
      <c r="D139" s="104"/>
      <c r="E139" s="104"/>
      <c r="F139" s="105"/>
      <c r="G139" s="104"/>
      <c r="H139" s="104"/>
      <c r="K139" s="133"/>
      <c r="Q139" s="62"/>
      <c r="R139" s="62"/>
      <c r="S139" s="62"/>
      <c r="T139" s="62"/>
      <c r="U139" s="62"/>
      <c r="V139" s="62"/>
      <c r="W139" s="62"/>
      <c r="X139" s="62"/>
    </row>
    <row r="140" ht="15.75" customHeight="1">
      <c r="D140" s="104"/>
      <c r="E140" s="104"/>
      <c r="F140" s="105"/>
      <c r="G140" s="104"/>
      <c r="H140" s="104"/>
      <c r="K140" s="133"/>
      <c r="Q140" s="62"/>
      <c r="R140" s="62"/>
      <c r="S140" s="62"/>
      <c r="T140" s="62"/>
      <c r="U140" s="62"/>
      <c r="V140" s="62"/>
      <c r="W140" s="62"/>
      <c r="X140" s="62"/>
    </row>
    <row r="141" ht="15.75" customHeight="1">
      <c r="D141" s="104"/>
      <c r="E141" s="104"/>
      <c r="F141" s="105"/>
      <c r="G141" s="104"/>
      <c r="H141" s="104"/>
      <c r="K141" s="133"/>
      <c r="Q141" s="62"/>
      <c r="R141" s="62"/>
      <c r="S141" s="62"/>
      <c r="T141" s="62"/>
      <c r="U141" s="62"/>
      <c r="V141" s="62"/>
      <c r="W141" s="62"/>
      <c r="X141" s="62"/>
    </row>
    <row r="142" ht="15.75" customHeight="1">
      <c r="D142" s="104"/>
      <c r="E142" s="104"/>
      <c r="F142" s="105"/>
      <c r="G142" s="104"/>
      <c r="H142" s="104"/>
      <c r="K142" s="133"/>
      <c r="Q142" s="62"/>
      <c r="R142" s="62"/>
      <c r="S142" s="62"/>
      <c r="T142" s="62"/>
      <c r="U142" s="62"/>
      <c r="V142" s="62"/>
      <c r="W142" s="62"/>
      <c r="X142" s="62"/>
    </row>
    <row r="143" ht="15.75" customHeight="1">
      <c r="D143" s="104"/>
      <c r="E143" s="104"/>
      <c r="F143" s="105"/>
      <c r="G143" s="104"/>
      <c r="H143" s="104"/>
      <c r="K143" s="133"/>
      <c r="Q143" s="62"/>
      <c r="R143" s="62"/>
      <c r="S143" s="62"/>
      <c r="T143" s="62"/>
      <c r="U143" s="62"/>
      <c r="V143" s="62"/>
      <c r="W143" s="62"/>
      <c r="X143" s="62"/>
    </row>
    <row r="144" ht="15.75" customHeight="1">
      <c r="D144" s="104"/>
      <c r="E144" s="104"/>
      <c r="F144" s="105"/>
      <c r="G144" s="104"/>
      <c r="H144" s="104"/>
      <c r="K144" s="133"/>
      <c r="Q144" s="62"/>
      <c r="R144" s="62"/>
      <c r="S144" s="62"/>
      <c r="T144" s="62"/>
      <c r="U144" s="62"/>
      <c r="V144" s="62"/>
      <c r="W144" s="62"/>
      <c r="X144" s="62"/>
    </row>
    <row r="145" ht="15.75" customHeight="1">
      <c r="D145" s="104"/>
      <c r="E145" s="104"/>
      <c r="F145" s="105"/>
      <c r="G145" s="104"/>
      <c r="H145" s="104"/>
      <c r="K145" s="133"/>
      <c r="Q145" s="62"/>
      <c r="R145" s="62"/>
      <c r="S145" s="62"/>
      <c r="T145" s="62"/>
      <c r="U145" s="62"/>
      <c r="V145" s="62"/>
      <c r="W145" s="62"/>
      <c r="X145" s="62"/>
    </row>
    <row r="146" ht="15.75" customHeight="1">
      <c r="D146" s="104"/>
      <c r="E146" s="104"/>
      <c r="F146" s="105"/>
      <c r="G146" s="104"/>
      <c r="H146" s="104"/>
      <c r="K146" s="133"/>
      <c r="Q146" s="62"/>
      <c r="R146" s="62"/>
      <c r="S146" s="62"/>
      <c r="T146" s="62"/>
      <c r="U146" s="62"/>
      <c r="V146" s="62"/>
      <c r="W146" s="62"/>
      <c r="X146" s="62"/>
    </row>
    <row r="147" ht="15.75" customHeight="1">
      <c r="D147" s="104"/>
      <c r="E147" s="104"/>
      <c r="F147" s="105"/>
      <c r="G147" s="104"/>
      <c r="H147" s="104"/>
      <c r="K147" s="133"/>
      <c r="Q147" s="62"/>
      <c r="R147" s="62"/>
      <c r="S147" s="62"/>
      <c r="T147" s="62"/>
      <c r="U147" s="62"/>
      <c r="V147" s="62"/>
      <c r="W147" s="62"/>
      <c r="X147" s="62"/>
    </row>
    <row r="148" ht="15.75" customHeight="1">
      <c r="D148" s="104"/>
      <c r="E148" s="104"/>
      <c r="F148" s="105"/>
      <c r="G148" s="104"/>
      <c r="H148" s="104"/>
      <c r="K148" s="133"/>
      <c r="Q148" s="62"/>
      <c r="R148" s="62"/>
      <c r="S148" s="62"/>
      <c r="T148" s="62"/>
      <c r="U148" s="62"/>
      <c r="V148" s="62"/>
      <c r="W148" s="62"/>
      <c r="X148" s="62"/>
    </row>
    <row r="149" ht="15.75" customHeight="1">
      <c r="D149" s="104"/>
      <c r="E149" s="104"/>
      <c r="F149" s="105"/>
      <c r="G149" s="104"/>
      <c r="H149" s="104"/>
      <c r="K149" s="133"/>
      <c r="Q149" s="62"/>
      <c r="R149" s="62"/>
      <c r="S149" s="62"/>
      <c r="T149" s="62"/>
      <c r="U149" s="62"/>
      <c r="V149" s="62"/>
      <c r="W149" s="62"/>
      <c r="X149" s="62"/>
    </row>
    <row r="150" ht="15.75" customHeight="1">
      <c r="D150" s="104"/>
      <c r="E150" s="104"/>
      <c r="F150" s="105"/>
      <c r="G150" s="104"/>
      <c r="H150" s="104"/>
      <c r="K150" s="133"/>
      <c r="Q150" s="62"/>
      <c r="R150" s="62"/>
      <c r="S150" s="62"/>
      <c r="T150" s="62"/>
      <c r="U150" s="62"/>
      <c r="V150" s="62"/>
      <c r="W150" s="62"/>
      <c r="X150" s="62"/>
    </row>
    <row r="151" ht="15.75" customHeight="1">
      <c r="D151" s="104"/>
      <c r="E151" s="104"/>
      <c r="F151" s="105"/>
      <c r="G151" s="104"/>
      <c r="H151" s="104"/>
      <c r="K151" s="133"/>
      <c r="Q151" s="62"/>
      <c r="R151" s="62"/>
      <c r="S151" s="62"/>
      <c r="T151" s="62"/>
      <c r="U151" s="62"/>
      <c r="V151" s="62"/>
      <c r="W151" s="62"/>
      <c r="X151" s="62"/>
    </row>
    <row r="152" ht="15.75" customHeight="1">
      <c r="D152" s="104"/>
      <c r="E152" s="104"/>
      <c r="F152" s="105"/>
      <c r="G152" s="104"/>
      <c r="H152" s="104"/>
      <c r="K152" s="133"/>
      <c r="Q152" s="62"/>
      <c r="R152" s="62"/>
      <c r="S152" s="62"/>
      <c r="T152" s="62"/>
      <c r="U152" s="62"/>
      <c r="V152" s="62"/>
      <c r="W152" s="62"/>
      <c r="X152" s="62"/>
    </row>
    <row r="153" ht="15.75" customHeight="1">
      <c r="D153" s="104"/>
      <c r="E153" s="104"/>
      <c r="F153" s="105"/>
      <c r="G153" s="104"/>
      <c r="H153" s="104"/>
      <c r="K153" s="133"/>
      <c r="Q153" s="62"/>
      <c r="R153" s="62"/>
      <c r="S153" s="62"/>
      <c r="T153" s="62"/>
      <c r="U153" s="62"/>
      <c r="V153" s="62"/>
      <c r="W153" s="62"/>
      <c r="X153" s="62"/>
    </row>
    <row r="154" ht="15.75" customHeight="1">
      <c r="D154" s="104"/>
      <c r="E154" s="104"/>
      <c r="F154" s="105"/>
      <c r="G154" s="104"/>
      <c r="H154" s="104"/>
      <c r="K154" s="133"/>
      <c r="Q154" s="62"/>
      <c r="R154" s="62"/>
      <c r="S154" s="62"/>
      <c r="T154" s="62"/>
      <c r="U154" s="62"/>
      <c r="V154" s="62"/>
      <c r="W154" s="62"/>
      <c r="X154" s="62"/>
    </row>
    <row r="155" ht="15.75" customHeight="1">
      <c r="D155" s="104"/>
      <c r="E155" s="104"/>
      <c r="F155" s="105"/>
      <c r="G155" s="104"/>
      <c r="H155" s="104"/>
      <c r="K155" s="133"/>
      <c r="Q155" s="62"/>
      <c r="R155" s="62"/>
      <c r="S155" s="62"/>
      <c r="T155" s="62"/>
      <c r="U155" s="62"/>
      <c r="V155" s="62"/>
      <c r="W155" s="62"/>
      <c r="X155" s="62"/>
    </row>
    <row r="156" ht="15.75" customHeight="1">
      <c r="D156" s="104"/>
      <c r="E156" s="104"/>
      <c r="F156" s="105"/>
      <c r="G156" s="104"/>
      <c r="H156" s="104"/>
      <c r="K156" s="133"/>
      <c r="Q156" s="62"/>
      <c r="R156" s="62"/>
      <c r="S156" s="62"/>
      <c r="T156" s="62"/>
      <c r="U156" s="62"/>
      <c r="V156" s="62"/>
      <c r="W156" s="62"/>
      <c r="X156" s="62"/>
    </row>
    <row r="157" ht="15.75" customHeight="1">
      <c r="D157" s="104"/>
      <c r="E157" s="104"/>
      <c r="F157" s="105"/>
      <c r="G157" s="104"/>
      <c r="H157" s="104"/>
      <c r="K157" s="133"/>
      <c r="Q157" s="62"/>
      <c r="R157" s="62"/>
      <c r="S157" s="62"/>
      <c r="T157" s="62"/>
      <c r="U157" s="62"/>
      <c r="V157" s="62"/>
      <c r="W157" s="62"/>
      <c r="X157" s="62"/>
    </row>
    <row r="158" ht="15.75" customHeight="1">
      <c r="D158" s="104"/>
      <c r="E158" s="104"/>
      <c r="F158" s="105"/>
      <c r="G158" s="104"/>
      <c r="H158" s="104"/>
      <c r="K158" s="133"/>
      <c r="Q158" s="62"/>
      <c r="R158" s="62"/>
      <c r="S158" s="62"/>
      <c r="T158" s="62"/>
      <c r="U158" s="62"/>
      <c r="V158" s="62"/>
      <c r="W158" s="62"/>
      <c r="X158" s="62"/>
    </row>
    <row r="159" ht="15.75" customHeight="1">
      <c r="D159" s="104"/>
      <c r="E159" s="104"/>
      <c r="F159" s="105"/>
      <c r="G159" s="104"/>
      <c r="H159" s="104"/>
      <c r="K159" s="133"/>
      <c r="Q159" s="62"/>
      <c r="R159" s="62"/>
      <c r="S159" s="62"/>
      <c r="T159" s="62"/>
      <c r="U159" s="62"/>
      <c r="V159" s="62"/>
      <c r="W159" s="62"/>
      <c r="X159" s="62"/>
    </row>
    <row r="160" ht="15.75" customHeight="1">
      <c r="D160" s="104"/>
      <c r="E160" s="104"/>
      <c r="F160" s="105"/>
      <c r="G160" s="104"/>
      <c r="H160" s="104"/>
      <c r="K160" s="133"/>
      <c r="Q160" s="62"/>
      <c r="R160" s="62"/>
      <c r="S160" s="62"/>
      <c r="T160" s="62"/>
      <c r="U160" s="62"/>
      <c r="V160" s="62"/>
      <c r="W160" s="62"/>
      <c r="X160" s="62"/>
    </row>
    <row r="161" ht="15.75" customHeight="1">
      <c r="D161" s="104"/>
      <c r="E161" s="104"/>
      <c r="F161" s="105"/>
      <c r="G161" s="104"/>
      <c r="H161" s="104"/>
      <c r="K161" s="133"/>
      <c r="Q161" s="62"/>
      <c r="R161" s="62"/>
      <c r="S161" s="62"/>
      <c r="T161" s="62"/>
      <c r="U161" s="62"/>
      <c r="V161" s="62"/>
      <c r="W161" s="62"/>
      <c r="X161" s="62"/>
    </row>
    <row r="162" ht="15.75" customHeight="1">
      <c r="D162" s="104"/>
      <c r="E162" s="104"/>
      <c r="F162" s="105"/>
      <c r="G162" s="104"/>
      <c r="H162" s="104"/>
      <c r="K162" s="133"/>
      <c r="Q162" s="62"/>
      <c r="R162" s="62"/>
      <c r="S162" s="62"/>
      <c r="T162" s="62"/>
      <c r="U162" s="62"/>
      <c r="V162" s="62"/>
      <c r="W162" s="62"/>
      <c r="X162" s="62"/>
    </row>
    <row r="163" ht="15.75" customHeight="1">
      <c r="D163" s="104"/>
      <c r="E163" s="104"/>
      <c r="F163" s="105"/>
      <c r="G163" s="104"/>
      <c r="H163" s="104"/>
      <c r="K163" s="133"/>
      <c r="Q163" s="62"/>
      <c r="R163" s="62"/>
      <c r="S163" s="62"/>
      <c r="T163" s="62"/>
      <c r="U163" s="62"/>
      <c r="V163" s="62"/>
      <c r="W163" s="62"/>
      <c r="X163" s="62"/>
    </row>
    <row r="164" ht="15.75" customHeight="1">
      <c r="D164" s="104"/>
      <c r="E164" s="104"/>
      <c r="F164" s="105"/>
      <c r="G164" s="104"/>
      <c r="H164" s="104"/>
      <c r="K164" s="133"/>
      <c r="Q164" s="62"/>
      <c r="R164" s="62"/>
      <c r="S164" s="62"/>
      <c r="T164" s="62"/>
      <c r="U164" s="62"/>
      <c r="V164" s="62"/>
      <c r="W164" s="62"/>
      <c r="X164" s="62"/>
    </row>
    <row r="165" ht="15.75" customHeight="1">
      <c r="D165" s="104"/>
      <c r="E165" s="104"/>
      <c r="F165" s="105"/>
      <c r="G165" s="104"/>
      <c r="H165" s="104"/>
      <c r="K165" s="133"/>
      <c r="Q165" s="62"/>
      <c r="R165" s="62"/>
      <c r="S165" s="62"/>
      <c r="T165" s="62"/>
      <c r="U165" s="62"/>
      <c r="V165" s="62"/>
      <c r="W165" s="62"/>
      <c r="X165" s="62"/>
    </row>
    <row r="166" ht="15.75" customHeight="1">
      <c r="D166" s="104"/>
      <c r="E166" s="104"/>
      <c r="F166" s="105"/>
      <c r="G166" s="104"/>
      <c r="H166" s="104"/>
      <c r="K166" s="133"/>
      <c r="Q166" s="62"/>
      <c r="R166" s="62"/>
      <c r="S166" s="62"/>
      <c r="T166" s="62"/>
      <c r="U166" s="62"/>
      <c r="V166" s="62"/>
      <c r="W166" s="62"/>
      <c r="X166" s="62"/>
    </row>
    <row r="167" ht="15.75" customHeight="1">
      <c r="D167" s="104"/>
      <c r="E167" s="104"/>
      <c r="F167" s="105"/>
      <c r="G167" s="104"/>
      <c r="H167" s="104"/>
      <c r="K167" s="133"/>
      <c r="Q167" s="62"/>
      <c r="R167" s="62"/>
      <c r="S167" s="62"/>
      <c r="T167" s="62"/>
      <c r="U167" s="62"/>
      <c r="V167" s="62"/>
      <c r="W167" s="62"/>
      <c r="X167" s="62"/>
    </row>
    <row r="168" ht="15.75" customHeight="1">
      <c r="D168" s="104"/>
      <c r="E168" s="104"/>
      <c r="F168" s="105"/>
      <c r="G168" s="104"/>
      <c r="H168" s="104"/>
      <c r="K168" s="133"/>
      <c r="Q168" s="62"/>
      <c r="R168" s="62"/>
      <c r="S168" s="62"/>
      <c r="T168" s="62"/>
      <c r="U168" s="62"/>
      <c r="V168" s="62"/>
      <c r="W168" s="62"/>
      <c r="X168" s="62"/>
    </row>
    <row r="169" ht="15.75" customHeight="1">
      <c r="D169" s="104"/>
      <c r="E169" s="104"/>
      <c r="F169" s="105"/>
      <c r="G169" s="104"/>
      <c r="H169" s="104"/>
      <c r="K169" s="133"/>
      <c r="Q169" s="62"/>
      <c r="R169" s="62"/>
      <c r="S169" s="62"/>
      <c r="T169" s="62"/>
      <c r="U169" s="62"/>
      <c r="V169" s="62"/>
      <c r="W169" s="62"/>
      <c r="X169" s="62"/>
    </row>
    <row r="170" ht="15.75" customHeight="1">
      <c r="D170" s="104"/>
      <c r="E170" s="104"/>
      <c r="F170" s="105"/>
      <c r="G170" s="104"/>
      <c r="H170" s="104"/>
      <c r="K170" s="133"/>
      <c r="Q170" s="62"/>
      <c r="R170" s="62"/>
      <c r="S170" s="62"/>
      <c r="T170" s="62"/>
      <c r="U170" s="62"/>
      <c r="V170" s="62"/>
      <c r="W170" s="62"/>
      <c r="X170" s="62"/>
    </row>
    <row r="171" ht="15.75" customHeight="1">
      <c r="D171" s="104"/>
      <c r="E171" s="104"/>
      <c r="F171" s="105"/>
      <c r="G171" s="104"/>
      <c r="H171" s="104"/>
      <c r="K171" s="133"/>
      <c r="Q171" s="62"/>
      <c r="R171" s="62"/>
      <c r="S171" s="62"/>
      <c r="T171" s="62"/>
      <c r="U171" s="62"/>
      <c r="V171" s="62"/>
      <c r="W171" s="62"/>
      <c r="X171" s="62"/>
    </row>
    <row r="172" ht="15.75" customHeight="1">
      <c r="D172" s="104"/>
      <c r="E172" s="104"/>
      <c r="F172" s="105"/>
      <c r="G172" s="104"/>
      <c r="H172" s="104"/>
      <c r="K172" s="133"/>
      <c r="Q172" s="62"/>
      <c r="R172" s="62"/>
      <c r="S172" s="62"/>
      <c r="T172" s="62"/>
      <c r="U172" s="62"/>
      <c r="V172" s="62"/>
      <c r="W172" s="62"/>
      <c r="X172" s="62"/>
    </row>
    <row r="173" ht="15.75" customHeight="1">
      <c r="D173" s="104"/>
      <c r="E173" s="104"/>
      <c r="F173" s="105"/>
      <c r="G173" s="104"/>
      <c r="H173" s="104"/>
      <c r="K173" s="133"/>
      <c r="Q173" s="62"/>
      <c r="R173" s="62"/>
      <c r="S173" s="62"/>
      <c r="T173" s="62"/>
      <c r="U173" s="62"/>
      <c r="V173" s="62"/>
      <c r="W173" s="62"/>
      <c r="X173" s="62"/>
    </row>
    <row r="174" ht="15.75" customHeight="1">
      <c r="D174" s="104"/>
      <c r="E174" s="104"/>
      <c r="F174" s="105"/>
      <c r="G174" s="104"/>
      <c r="H174" s="104"/>
      <c r="K174" s="133"/>
      <c r="Q174" s="62"/>
      <c r="R174" s="62"/>
      <c r="S174" s="62"/>
      <c r="T174" s="62"/>
      <c r="U174" s="62"/>
      <c r="V174" s="62"/>
      <c r="W174" s="62"/>
      <c r="X174" s="62"/>
    </row>
    <row r="175" ht="15.75" customHeight="1">
      <c r="D175" s="104"/>
      <c r="E175" s="104"/>
      <c r="F175" s="105"/>
      <c r="G175" s="104"/>
      <c r="H175" s="104"/>
      <c r="K175" s="133"/>
      <c r="Q175" s="62"/>
      <c r="R175" s="62"/>
      <c r="S175" s="62"/>
      <c r="T175" s="62"/>
      <c r="U175" s="62"/>
      <c r="V175" s="62"/>
      <c r="W175" s="62"/>
      <c r="X175" s="62"/>
    </row>
    <row r="176" ht="15.75" customHeight="1">
      <c r="D176" s="104"/>
      <c r="E176" s="104"/>
      <c r="F176" s="105"/>
      <c r="G176" s="104"/>
      <c r="H176" s="104"/>
      <c r="K176" s="133"/>
      <c r="Q176" s="62"/>
      <c r="R176" s="62"/>
      <c r="S176" s="62"/>
      <c r="T176" s="62"/>
      <c r="U176" s="62"/>
      <c r="V176" s="62"/>
      <c r="W176" s="62"/>
      <c r="X176" s="62"/>
    </row>
    <row r="177" ht="15.75" customHeight="1">
      <c r="D177" s="104"/>
      <c r="E177" s="104"/>
      <c r="F177" s="105"/>
      <c r="G177" s="104"/>
      <c r="H177" s="104"/>
      <c r="K177" s="133"/>
      <c r="Q177" s="62"/>
      <c r="R177" s="62"/>
      <c r="S177" s="62"/>
      <c r="T177" s="62"/>
      <c r="U177" s="62"/>
      <c r="V177" s="62"/>
      <c r="W177" s="62"/>
      <c r="X177" s="62"/>
    </row>
    <row r="178" ht="15.75" customHeight="1">
      <c r="D178" s="104"/>
      <c r="E178" s="104"/>
      <c r="F178" s="105"/>
      <c r="G178" s="104"/>
      <c r="H178" s="104"/>
      <c r="K178" s="133"/>
      <c r="Q178" s="62"/>
      <c r="R178" s="62"/>
      <c r="S178" s="62"/>
      <c r="T178" s="62"/>
      <c r="U178" s="62"/>
      <c r="V178" s="62"/>
      <c r="W178" s="62"/>
      <c r="X178" s="62"/>
    </row>
    <row r="179" ht="15.75" customHeight="1">
      <c r="D179" s="104"/>
      <c r="E179" s="104"/>
      <c r="F179" s="105"/>
      <c r="G179" s="104"/>
      <c r="H179" s="104"/>
      <c r="K179" s="133"/>
      <c r="Q179" s="62"/>
      <c r="R179" s="62"/>
      <c r="S179" s="62"/>
      <c r="T179" s="62"/>
      <c r="U179" s="62"/>
      <c r="V179" s="62"/>
      <c r="W179" s="62"/>
      <c r="X179" s="62"/>
    </row>
    <row r="180" ht="15.75" customHeight="1">
      <c r="D180" s="104"/>
      <c r="E180" s="104"/>
      <c r="F180" s="105"/>
      <c r="G180" s="104"/>
      <c r="H180" s="104"/>
      <c r="K180" s="133"/>
      <c r="Q180" s="62"/>
      <c r="R180" s="62"/>
      <c r="S180" s="62"/>
      <c r="T180" s="62"/>
      <c r="U180" s="62"/>
      <c r="V180" s="62"/>
      <c r="W180" s="62"/>
      <c r="X180" s="62"/>
    </row>
    <row r="181" ht="15.75" customHeight="1">
      <c r="D181" s="104"/>
      <c r="E181" s="104"/>
      <c r="F181" s="105"/>
      <c r="G181" s="104"/>
      <c r="H181" s="104"/>
      <c r="K181" s="133"/>
      <c r="Q181" s="62"/>
      <c r="R181" s="62"/>
      <c r="S181" s="62"/>
      <c r="T181" s="62"/>
      <c r="U181" s="62"/>
      <c r="V181" s="62"/>
      <c r="W181" s="62"/>
      <c r="X181" s="62"/>
    </row>
    <row r="182" ht="15.75" customHeight="1">
      <c r="D182" s="104"/>
      <c r="E182" s="104"/>
      <c r="F182" s="105"/>
      <c r="G182" s="104"/>
      <c r="H182" s="104"/>
      <c r="K182" s="133"/>
      <c r="Q182" s="62"/>
      <c r="R182" s="62"/>
      <c r="S182" s="62"/>
      <c r="T182" s="62"/>
      <c r="U182" s="62"/>
      <c r="V182" s="62"/>
      <c r="W182" s="62"/>
      <c r="X182" s="62"/>
    </row>
    <row r="183" ht="15.75" customHeight="1">
      <c r="D183" s="104"/>
      <c r="E183" s="104"/>
      <c r="F183" s="105"/>
      <c r="G183" s="104"/>
      <c r="H183" s="104"/>
      <c r="K183" s="133"/>
      <c r="Q183" s="62"/>
      <c r="R183" s="62"/>
      <c r="S183" s="62"/>
      <c r="T183" s="62"/>
      <c r="U183" s="62"/>
      <c r="V183" s="62"/>
      <c r="W183" s="62"/>
      <c r="X183" s="62"/>
    </row>
    <row r="184" ht="15.75" customHeight="1">
      <c r="D184" s="104"/>
      <c r="E184" s="104"/>
      <c r="F184" s="105"/>
      <c r="G184" s="104"/>
      <c r="H184" s="104"/>
      <c r="K184" s="133"/>
      <c r="Q184" s="62"/>
      <c r="R184" s="62"/>
      <c r="S184" s="62"/>
      <c r="T184" s="62"/>
      <c r="U184" s="62"/>
      <c r="V184" s="62"/>
      <c r="W184" s="62"/>
      <c r="X184" s="62"/>
    </row>
    <row r="185" ht="15.75" customHeight="1">
      <c r="D185" s="104"/>
      <c r="E185" s="104"/>
      <c r="F185" s="105"/>
      <c r="G185" s="104"/>
      <c r="H185" s="104"/>
      <c r="K185" s="133"/>
      <c r="Q185" s="62"/>
      <c r="R185" s="62"/>
      <c r="S185" s="62"/>
      <c r="T185" s="62"/>
      <c r="U185" s="62"/>
      <c r="V185" s="62"/>
      <c r="W185" s="62"/>
      <c r="X185" s="62"/>
    </row>
    <row r="186" ht="15.75" customHeight="1">
      <c r="D186" s="104"/>
      <c r="E186" s="104"/>
      <c r="F186" s="105"/>
      <c r="G186" s="104"/>
      <c r="H186" s="104"/>
      <c r="K186" s="133"/>
      <c r="Q186" s="62"/>
      <c r="R186" s="62"/>
      <c r="S186" s="62"/>
      <c r="T186" s="62"/>
      <c r="U186" s="62"/>
      <c r="V186" s="62"/>
      <c r="W186" s="62"/>
      <c r="X186" s="62"/>
    </row>
    <row r="187" ht="15.75" customHeight="1">
      <c r="D187" s="104"/>
      <c r="E187" s="104"/>
      <c r="F187" s="105"/>
      <c r="G187" s="104"/>
      <c r="H187" s="104"/>
      <c r="K187" s="133"/>
      <c r="Q187" s="62"/>
      <c r="R187" s="62"/>
      <c r="S187" s="62"/>
      <c r="T187" s="62"/>
      <c r="U187" s="62"/>
      <c r="V187" s="62"/>
      <c r="W187" s="62"/>
      <c r="X187" s="62"/>
    </row>
    <row r="188" ht="15.75" customHeight="1">
      <c r="D188" s="104"/>
      <c r="E188" s="104"/>
      <c r="F188" s="105"/>
      <c r="G188" s="104"/>
      <c r="H188" s="104"/>
      <c r="K188" s="133"/>
      <c r="Q188" s="62"/>
      <c r="R188" s="62"/>
      <c r="S188" s="62"/>
      <c r="T188" s="62"/>
      <c r="U188" s="62"/>
      <c r="V188" s="62"/>
      <c r="W188" s="62"/>
      <c r="X188" s="62"/>
    </row>
    <row r="189" ht="15.75" customHeight="1">
      <c r="D189" s="104"/>
      <c r="E189" s="104"/>
      <c r="F189" s="105"/>
      <c r="G189" s="104"/>
      <c r="H189" s="104"/>
      <c r="K189" s="133"/>
      <c r="Q189" s="62"/>
      <c r="R189" s="62"/>
      <c r="S189" s="62"/>
      <c r="T189" s="62"/>
      <c r="U189" s="62"/>
      <c r="V189" s="62"/>
      <c r="W189" s="62"/>
      <c r="X189" s="62"/>
    </row>
    <row r="190" ht="15.75" customHeight="1">
      <c r="D190" s="104"/>
      <c r="E190" s="104"/>
      <c r="F190" s="105"/>
      <c r="G190" s="104"/>
      <c r="H190" s="104"/>
      <c r="K190" s="133"/>
      <c r="Q190" s="62"/>
      <c r="R190" s="62"/>
      <c r="S190" s="62"/>
      <c r="T190" s="62"/>
      <c r="U190" s="62"/>
      <c r="V190" s="62"/>
      <c r="W190" s="62"/>
      <c r="X190" s="62"/>
    </row>
    <row r="191" ht="15.75" customHeight="1">
      <c r="D191" s="104"/>
      <c r="E191" s="104"/>
      <c r="F191" s="105"/>
      <c r="G191" s="104"/>
      <c r="H191" s="104"/>
      <c r="K191" s="133"/>
      <c r="Q191" s="62"/>
      <c r="R191" s="62"/>
      <c r="S191" s="62"/>
      <c r="T191" s="62"/>
      <c r="U191" s="62"/>
      <c r="V191" s="62"/>
      <c r="W191" s="62"/>
      <c r="X191" s="62"/>
    </row>
    <row r="192" ht="15.75" customHeight="1">
      <c r="D192" s="104"/>
      <c r="E192" s="104"/>
      <c r="F192" s="105"/>
      <c r="G192" s="104"/>
      <c r="H192" s="104"/>
      <c r="K192" s="133"/>
      <c r="Q192" s="62"/>
      <c r="R192" s="62"/>
      <c r="S192" s="62"/>
      <c r="T192" s="62"/>
      <c r="U192" s="62"/>
      <c r="V192" s="62"/>
      <c r="W192" s="62"/>
      <c r="X192" s="62"/>
    </row>
    <row r="193" ht="15.75" customHeight="1">
      <c r="D193" s="104"/>
      <c r="E193" s="104"/>
      <c r="F193" s="105"/>
      <c r="G193" s="104"/>
      <c r="H193" s="104"/>
      <c r="K193" s="133"/>
      <c r="Q193" s="62"/>
      <c r="R193" s="62"/>
      <c r="S193" s="62"/>
      <c r="T193" s="62"/>
      <c r="U193" s="62"/>
      <c r="V193" s="62"/>
      <c r="W193" s="62"/>
      <c r="X193" s="62"/>
    </row>
    <row r="194" ht="15.75" customHeight="1">
      <c r="D194" s="104"/>
      <c r="E194" s="104"/>
      <c r="F194" s="105"/>
      <c r="G194" s="104"/>
      <c r="H194" s="104"/>
      <c r="K194" s="133"/>
      <c r="Q194" s="62"/>
      <c r="R194" s="62"/>
      <c r="S194" s="62"/>
      <c r="T194" s="62"/>
      <c r="U194" s="62"/>
      <c r="V194" s="62"/>
      <c r="W194" s="62"/>
      <c r="X194" s="62"/>
    </row>
    <row r="195" ht="15.75" customHeight="1">
      <c r="D195" s="104"/>
      <c r="E195" s="104"/>
      <c r="F195" s="105"/>
      <c r="G195" s="104"/>
      <c r="H195" s="104"/>
      <c r="K195" s="133"/>
      <c r="Q195" s="62"/>
      <c r="R195" s="62"/>
      <c r="S195" s="62"/>
      <c r="T195" s="62"/>
      <c r="U195" s="62"/>
      <c r="V195" s="62"/>
      <c r="W195" s="62"/>
      <c r="X195" s="62"/>
    </row>
    <row r="196" ht="15.75" customHeight="1">
      <c r="D196" s="104"/>
      <c r="E196" s="104"/>
      <c r="F196" s="105"/>
      <c r="G196" s="104"/>
      <c r="H196" s="104"/>
      <c r="K196" s="133"/>
      <c r="Q196" s="62"/>
      <c r="R196" s="62"/>
      <c r="S196" s="62"/>
      <c r="T196" s="62"/>
      <c r="U196" s="62"/>
      <c r="V196" s="62"/>
      <c r="W196" s="62"/>
      <c r="X196" s="62"/>
    </row>
    <row r="197" ht="15.75" customHeight="1">
      <c r="D197" s="104"/>
      <c r="E197" s="104"/>
      <c r="F197" s="105"/>
      <c r="G197" s="104"/>
      <c r="H197" s="104"/>
      <c r="K197" s="133"/>
      <c r="Q197" s="62"/>
      <c r="R197" s="62"/>
      <c r="S197" s="62"/>
      <c r="T197" s="62"/>
      <c r="U197" s="62"/>
      <c r="V197" s="62"/>
      <c r="W197" s="62"/>
      <c r="X197" s="62"/>
    </row>
    <row r="198" ht="15.75" customHeight="1">
      <c r="D198" s="104"/>
      <c r="E198" s="104"/>
      <c r="F198" s="105"/>
      <c r="G198" s="104"/>
      <c r="H198" s="104"/>
      <c r="K198" s="133"/>
      <c r="Q198" s="62"/>
      <c r="R198" s="62"/>
      <c r="S198" s="62"/>
      <c r="T198" s="62"/>
      <c r="U198" s="62"/>
      <c r="V198" s="62"/>
      <c r="W198" s="62"/>
      <c r="X198" s="62"/>
    </row>
    <row r="199" ht="15.75" customHeight="1">
      <c r="D199" s="104"/>
      <c r="E199" s="104"/>
      <c r="F199" s="105"/>
      <c r="G199" s="104"/>
      <c r="H199" s="104"/>
      <c r="K199" s="133"/>
      <c r="Q199" s="62"/>
      <c r="R199" s="62"/>
      <c r="S199" s="62"/>
      <c r="T199" s="62"/>
      <c r="U199" s="62"/>
      <c r="V199" s="62"/>
      <c r="W199" s="62"/>
      <c r="X199" s="62"/>
    </row>
    <row r="200" ht="15.75" customHeight="1">
      <c r="D200" s="104"/>
      <c r="E200" s="104"/>
      <c r="F200" s="105"/>
      <c r="G200" s="104"/>
      <c r="H200" s="104"/>
      <c r="K200" s="133"/>
      <c r="Q200" s="62"/>
      <c r="R200" s="62"/>
      <c r="S200" s="62"/>
      <c r="T200" s="62"/>
      <c r="U200" s="62"/>
      <c r="V200" s="62"/>
      <c r="W200" s="62"/>
      <c r="X200" s="62"/>
    </row>
    <row r="201" ht="15.75" customHeight="1">
      <c r="D201" s="104"/>
      <c r="E201" s="104"/>
      <c r="F201" s="105"/>
      <c r="G201" s="104"/>
      <c r="H201" s="104"/>
      <c r="K201" s="133"/>
      <c r="Q201" s="62"/>
      <c r="R201" s="62"/>
      <c r="S201" s="62"/>
      <c r="T201" s="62"/>
      <c r="U201" s="62"/>
      <c r="V201" s="62"/>
      <c r="W201" s="62"/>
      <c r="X201" s="62"/>
    </row>
    <row r="202" ht="15.75" customHeight="1">
      <c r="D202" s="104"/>
      <c r="E202" s="104"/>
      <c r="F202" s="105"/>
      <c r="G202" s="104"/>
      <c r="H202" s="104"/>
      <c r="K202" s="133"/>
      <c r="Q202" s="62"/>
      <c r="R202" s="62"/>
      <c r="S202" s="62"/>
      <c r="T202" s="62"/>
      <c r="U202" s="62"/>
      <c r="V202" s="62"/>
      <c r="W202" s="62"/>
      <c r="X202" s="62"/>
    </row>
    <row r="203" ht="15.75" customHeight="1">
      <c r="D203" s="104"/>
      <c r="E203" s="104"/>
      <c r="F203" s="105"/>
      <c r="G203" s="104"/>
      <c r="H203" s="104"/>
      <c r="K203" s="133"/>
      <c r="Q203" s="62"/>
      <c r="R203" s="62"/>
      <c r="S203" s="62"/>
      <c r="T203" s="62"/>
      <c r="U203" s="62"/>
      <c r="V203" s="62"/>
      <c r="W203" s="62"/>
      <c r="X203" s="62"/>
    </row>
    <row r="204" ht="15.75" customHeight="1">
      <c r="D204" s="104"/>
      <c r="E204" s="104"/>
      <c r="F204" s="105"/>
      <c r="G204" s="104"/>
      <c r="H204" s="104"/>
      <c r="K204" s="133"/>
      <c r="Q204" s="62"/>
      <c r="R204" s="62"/>
      <c r="S204" s="62"/>
      <c r="T204" s="62"/>
      <c r="U204" s="62"/>
      <c r="V204" s="62"/>
      <c r="W204" s="62"/>
      <c r="X204" s="62"/>
    </row>
    <row r="205" ht="15.75" customHeight="1">
      <c r="D205" s="104"/>
      <c r="E205" s="104"/>
      <c r="F205" s="105"/>
      <c r="G205" s="104"/>
      <c r="H205" s="104"/>
      <c r="K205" s="133"/>
      <c r="Q205" s="62"/>
      <c r="R205" s="62"/>
      <c r="S205" s="62"/>
      <c r="T205" s="62"/>
      <c r="U205" s="62"/>
      <c r="V205" s="62"/>
      <c r="W205" s="62"/>
      <c r="X205" s="62"/>
    </row>
    <row r="206" ht="15.75" customHeight="1">
      <c r="D206" s="104"/>
      <c r="E206" s="104"/>
      <c r="F206" s="105"/>
      <c r="G206" s="104"/>
      <c r="H206" s="104"/>
      <c r="K206" s="133"/>
      <c r="Q206" s="62"/>
      <c r="R206" s="62"/>
      <c r="S206" s="62"/>
      <c r="T206" s="62"/>
      <c r="U206" s="62"/>
      <c r="V206" s="62"/>
      <c r="W206" s="62"/>
      <c r="X206" s="62"/>
    </row>
    <row r="207" ht="15.75" customHeight="1">
      <c r="D207" s="104"/>
      <c r="E207" s="104"/>
      <c r="F207" s="105"/>
      <c r="G207" s="104"/>
      <c r="H207" s="104"/>
      <c r="K207" s="133"/>
      <c r="Q207" s="62"/>
      <c r="R207" s="62"/>
      <c r="S207" s="62"/>
      <c r="T207" s="62"/>
      <c r="U207" s="62"/>
      <c r="V207" s="62"/>
      <c r="W207" s="62"/>
      <c r="X207" s="62"/>
    </row>
    <row r="208" ht="15.75" customHeight="1">
      <c r="D208" s="104"/>
      <c r="E208" s="104"/>
      <c r="F208" s="105"/>
      <c r="G208" s="104"/>
      <c r="H208" s="104"/>
      <c r="K208" s="133"/>
      <c r="Q208" s="62"/>
      <c r="R208" s="62"/>
      <c r="S208" s="62"/>
      <c r="T208" s="62"/>
      <c r="U208" s="62"/>
      <c r="V208" s="62"/>
      <c r="W208" s="62"/>
      <c r="X208" s="62"/>
    </row>
    <row r="209" ht="15.75" customHeight="1">
      <c r="D209" s="104"/>
      <c r="E209" s="104"/>
      <c r="F209" s="105"/>
      <c r="G209" s="104"/>
      <c r="H209" s="104"/>
      <c r="K209" s="133"/>
      <c r="Q209" s="62"/>
      <c r="R209" s="62"/>
      <c r="S209" s="62"/>
      <c r="T209" s="62"/>
      <c r="U209" s="62"/>
      <c r="V209" s="62"/>
      <c r="W209" s="62"/>
      <c r="X209" s="62"/>
    </row>
    <row r="210" ht="15.75" customHeight="1">
      <c r="D210" s="104"/>
      <c r="E210" s="104"/>
      <c r="F210" s="105"/>
      <c r="G210" s="104"/>
      <c r="H210" s="104"/>
      <c r="K210" s="133"/>
      <c r="Q210" s="62"/>
      <c r="R210" s="62"/>
      <c r="S210" s="62"/>
      <c r="T210" s="62"/>
      <c r="U210" s="62"/>
      <c r="V210" s="62"/>
      <c r="W210" s="62"/>
      <c r="X210" s="62"/>
    </row>
    <row r="211" ht="15.75" customHeight="1">
      <c r="D211" s="104"/>
      <c r="E211" s="104"/>
      <c r="F211" s="105"/>
      <c r="G211" s="104"/>
      <c r="H211" s="104"/>
      <c r="K211" s="133"/>
      <c r="Q211" s="62"/>
      <c r="R211" s="62"/>
      <c r="S211" s="62"/>
      <c r="T211" s="62"/>
      <c r="U211" s="62"/>
      <c r="V211" s="62"/>
      <c r="W211" s="62"/>
      <c r="X211" s="62"/>
    </row>
    <row r="212" ht="15.75" customHeight="1">
      <c r="D212" s="104"/>
      <c r="E212" s="104"/>
      <c r="F212" s="105"/>
      <c r="G212" s="104"/>
      <c r="H212" s="104"/>
      <c r="K212" s="133"/>
      <c r="Q212" s="62"/>
      <c r="R212" s="62"/>
      <c r="S212" s="62"/>
      <c r="T212" s="62"/>
      <c r="U212" s="62"/>
      <c r="V212" s="62"/>
      <c r="W212" s="62"/>
      <c r="X212" s="62"/>
    </row>
    <row r="213" ht="15.75" customHeight="1">
      <c r="D213" s="104"/>
      <c r="E213" s="104"/>
      <c r="F213" s="105"/>
      <c r="G213" s="104"/>
      <c r="H213" s="104"/>
      <c r="K213" s="133"/>
      <c r="Q213" s="62"/>
      <c r="R213" s="62"/>
      <c r="S213" s="62"/>
      <c r="T213" s="62"/>
      <c r="U213" s="62"/>
      <c r="V213" s="62"/>
      <c r="W213" s="62"/>
      <c r="X213" s="62"/>
    </row>
    <row r="214" ht="15.75" customHeight="1">
      <c r="D214" s="104"/>
      <c r="E214" s="104"/>
      <c r="F214" s="105"/>
      <c r="G214" s="104"/>
      <c r="H214" s="104"/>
      <c r="K214" s="133"/>
      <c r="Q214" s="62"/>
      <c r="R214" s="62"/>
      <c r="S214" s="62"/>
      <c r="T214" s="62"/>
      <c r="U214" s="62"/>
      <c r="V214" s="62"/>
      <c r="W214" s="62"/>
      <c r="X214" s="62"/>
    </row>
    <row r="215" ht="15.75" customHeight="1">
      <c r="D215" s="104"/>
      <c r="E215" s="104"/>
      <c r="F215" s="105"/>
      <c r="G215" s="104"/>
      <c r="H215" s="104"/>
      <c r="K215" s="133"/>
      <c r="Q215" s="62"/>
      <c r="R215" s="62"/>
      <c r="S215" s="62"/>
      <c r="T215" s="62"/>
      <c r="U215" s="62"/>
      <c r="V215" s="62"/>
      <c r="W215" s="62"/>
      <c r="X215" s="62"/>
    </row>
    <row r="216" ht="15.75" customHeight="1">
      <c r="D216" s="104"/>
      <c r="E216" s="104"/>
      <c r="F216" s="105"/>
      <c r="G216" s="104"/>
      <c r="H216" s="104"/>
      <c r="K216" s="133"/>
      <c r="Q216" s="62"/>
      <c r="R216" s="62"/>
      <c r="S216" s="62"/>
      <c r="T216" s="62"/>
      <c r="U216" s="62"/>
      <c r="V216" s="62"/>
      <c r="W216" s="62"/>
      <c r="X216" s="62"/>
    </row>
    <row r="217" ht="15.75" customHeight="1">
      <c r="D217" s="104"/>
      <c r="E217" s="104"/>
      <c r="F217" s="105"/>
      <c r="G217" s="104"/>
      <c r="H217" s="104"/>
      <c r="K217" s="133"/>
      <c r="Q217" s="62"/>
      <c r="R217" s="62"/>
      <c r="S217" s="62"/>
      <c r="T217" s="62"/>
      <c r="U217" s="62"/>
      <c r="V217" s="62"/>
      <c r="W217" s="62"/>
      <c r="X217" s="62"/>
    </row>
    <row r="218" ht="15.75" customHeight="1">
      <c r="D218" s="104"/>
      <c r="E218" s="104"/>
      <c r="F218" s="105"/>
      <c r="G218" s="104"/>
      <c r="H218" s="104"/>
      <c r="K218" s="133"/>
      <c r="Q218" s="62"/>
      <c r="R218" s="62"/>
      <c r="S218" s="62"/>
      <c r="T218" s="62"/>
      <c r="U218" s="62"/>
      <c r="V218" s="62"/>
      <c r="W218" s="62"/>
      <c r="X218" s="62"/>
    </row>
    <row r="219" ht="15.75" customHeight="1">
      <c r="D219" s="104"/>
      <c r="E219" s="104"/>
      <c r="F219" s="105"/>
      <c r="G219" s="104"/>
      <c r="H219" s="104"/>
      <c r="K219" s="133"/>
      <c r="Q219" s="62"/>
      <c r="R219" s="62"/>
      <c r="S219" s="62"/>
      <c r="T219" s="62"/>
      <c r="U219" s="62"/>
      <c r="V219" s="62"/>
      <c r="W219" s="62"/>
      <c r="X219" s="62"/>
    </row>
    <row r="220" ht="15.75" customHeight="1">
      <c r="D220" s="104"/>
      <c r="E220" s="104"/>
      <c r="F220" s="105"/>
      <c r="G220" s="104"/>
      <c r="H220" s="104"/>
      <c r="K220" s="133"/>
      <c r="Q220" s="62"/>
      <c r="R220" s="62"/>
      <c r="S220" s="62"/>
      <c r="T220" s="62"/>
      <c r="U220" s="62"/>
      <c r="V220" s="62"/>
      <c r="W220" s="62"/>
      <c r="X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1:Q1000 R3:T3">
    <cfRule type="expression" dxfId="0" priority="1">
      <formula>Multiply(0.06,M)</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7.13"/>
    <col customWidth="1" min="3" max="3" width="35.13"/>
    <col customWidth="1" min="4" max="4" width="7.88"/>
    <col customWidth="1" min="5" max="5" width="7.38"/>
    <col customWidth="1" min="6" max="6" width="6.38"/>
    <col customWidth="1" min="7" max="7" width="5.38"/>
    <col customWidth="1" min="8" max="8" width="7.13"/>
    <col customWidth="1" min="9" max="11" width="6.13"/>
    <col customWidth="1" min="12" max="13" width="5.88"/>
    <col customWidth="1" min="14" max="14" width="5.5"/>
    <col customWidth="1" min="15" max="16" width="6.5"/>
    <col customWidth="1" min="17" max="17" width="8.38"/>
    <col customWidth="1" min="18" max="19" width="6.5"/>
    <col customWidth="1" min="20" max="22" width="7.25"/>
    <col customWidth="1" min="23" max="23" width="6.25"/>
    <col customWidth="1" min="25" max="25" width="10.38"/>
  </cols>
  <sheetData>
    <row r="1" ht="15.75" customHeight="1">
      <c r="A1" s="99" t="s">
        <v>1</v>
      </c>
      <c r="B1" s="99" t="s">
        <v>2</v>
      </c>
      <c r="C1" s="99" t="s">
        <v>0</v>
      </c>
      <c r="D1" s="99" t="s">
        <v>76</v>
      </c>
      <c r="E1" s="99" t="s">
        <v>4</v>
      </c>
      <c r="F1" s="100" t="s">
        <v>468</v>
      </c>
      <c r="G1" s="99" t="s">
        <v>7</v>
      </c>
      <c r="H1" s="99" t="s">
        <v>8</v>
      </c>
      <c r="I1" s="99" t="s">
        <v>9</v>
      </c>
      <c r="J1" s="101" t="s">
        <v>10</v>
      </c>
      <c r="K1" s="99" t="s">
        <v>12</v>
      </c>
      <c r="L1" s="46" t="s">
        <v>13</v>
      </c>
      <c r="M1" s="101" t="s">
        <v>14</v>
      </c>
      <c r="N1" s="99" t="s">
        <v>15</v>
      </c>
      <c r="O1" s="99" t="s">
        <v>11</v>
      </c>
      <c r="P1" s="46" t="s">
        <v>16</v>
      </c>
      <c r="Q1" s="46" t="s">
        <v>469</v>
      </c>
      <c r="R1" s="46" t="s">
        <v>19</v>
      </c>
      <c r="S1" s="46" t="s">
        <v>20</v>
      </c>
      <c r="T1" s="46"/>
      <c r="U1" s="46" t="s">
        <v>22</v>
      </c>
      <c r="V1" s="46" t="s">
        <v>23</v>
      </c>
      <c r="W1" s="46" t="s">
        <v>24</v>
      </c>
      <c r="X1" s="99" t="s">
        <v>25</v>
      </c>
      <c r="Y1" s="99" t="s">
        <v>26</v>
      </c>
      <c r="Z1" s="99" t="s">
        <v>470</v>
      </c>
      <c r="AA1" s="99" t="s">
        <v>471</v>
      </c>
      <c r="AB1" s="99" t="s">
        <v>472</v>
      </c>
      <c r="AC1" s="99" t="s">
        <v>473</v>
      </c>
      <c r="AD1" s="99" t="s">
        <v>474</v>
      </c>
      <c r="AE1" s="99" t="s">
        <v>475</v>
      </c>
      <c r="AF1" s="99" t="s">
        <v>476</v>
      </c>
      <c r="AG1" s="99" t="s">
        <v>477</v>
      </c>
      <c r="AH1" s="99" t="s">
        <v>478</v>
      </c>
      <c r="AI1" s="99" t="s">
        <v>479</v>
      </c>
      <c r="AJ1" s="99" t="s">
        <v>480</v>
      </c>
      <c r="AK1" s="99" t="s">
        <v>481</v>
      </c>
      <c r="AL1" s="99" t="s">
        <v>482</v>
      </c>
      <c r="AM1" s="99" t="s">
        <v>483</v>
      </c>
      <c r="AN1" s="99" t="s">
        <v>484</v>
      </c>
      <c r="AO1" s="99" t="s">
        <v>485</v>
      </c>
      <c r="AP1" s="99" t="s">
        <v>486</v>
      </c>
      <c r="AQ1" s="99" t="s">
        <v>487</v>
      </c>
      <c r="AR1" s="99" t="s">
        <v>488</v>
      </c>
      <c r="AS1" s="99" t="s">
        <v>489</v>
      </c>
      <c r="AT1" s="99" t="s">
        <v>490</v>
      </c>
      <c r="AU1" s="99" t="s">
        <v>491</v>
      </c>
      <c r="AV1" s="99" t="s">
        <v>492</v>
      </c>
      <c r="AW1" s="99" t="s">
        <v>493</v>
      </c>
      <c r="AX1" s="99" t="s">
        <v>494</v>
      </c>
      <c r="AY1" s="99" t="s">
        <v>495</v>
      </c>
      <c r="AZ1" s="99" t="s">
        <v>496</v>
      </c>
      <c r="BA1" s="99" t="s">
        <v>497</v>
      </c>
      <c r="BB1" s="99" t="s">
        <v>498</v>
      </c>
      <c r="BC1" s="99" t="s">
        <v>499</v>
      </c>
      <c r="BD1" s="99" t="s">
        <v>500</v>
      </c>
      <c r="BE1" s="99" t="s">
        <v>501</v>
      </c>
      <c r="BF1" s="99" t="s">
        <v>502</v>
      </c>
      <c r="BG1" s="99" t="s">
        <v>503</v>
      </c>
      <c r="BH1" s="99" t="s">
        <v>504</v>
      </c>
      <c r="BI1" s="99"/>
      <c r="BJ1" s="99"/>
      <c r="BK1" s="99"/>
      <c r="BL1" s="99"/>
      <c r="BM1" s="99"/>
      <c r="BN1" s="99"/>
      <c r="BO1" s="99"/>
      <c r="BP1" s="99"/>
      <c r="BQ1" s="99"/>
      <c r="BR1" s="99"/>
      <c r="BS1" s="99"/>
      <c r="BT1" s="99"/>
      <c r="BU1" s="99"/>
      <c r="BV1" s="99"/>
      <c r="BW1" s="99"/>
      <c r="BX1" s="99"/>
      <c r="BY1" s="99"/>
      <c r="BZ1" s="99"/>
      <c r="CA1" s="99"/>
      <c r="CB1" s="99"/>
    </row>
    <row r="2" ht="15.0" customHeight="1">
      <c r="A2" s="137" t="s">
        <v>520</v>
      </c>
      <c r="B2" s="138">
        <v>42085.0</v>
      </c>
      <c r="C2" s="137" t="s">
        <v>521</v>
      </c>
      <c r="D2" s="139"/>
      <c r="E2" s="139" t="s">
        <v>119</v>
      </c>
      <c r="F2" s="140" t="s">
        <v>507</v>
      </c>
      <c r="G2" s="139">
        <v>1041.0</v>
      </c>
      <c r="H2" s="137"/>
      <c r="I2" s="137">
        <v>365000.0</v>
      </c>
      <c r="J2" s="141">
        <f t="shared" ref="J2:J10" si="1">I2/G2</f>
        <v>350.6243996</v>
      </c>
      <c r="K2" s="137">
        <v>750000.0</v>
      </c>
      <c r="L2" s="137"/>
      <c r="M2" s="137"/>
      <c r="N2" s="137">
        <f t="shared" ref="N2:N10" si="2">K2-I2</f>
        <v>385000</v>
      </c>
      <c r="O2" s="137">
        <v>150000.0</v>
      </c>
      <c r="P2" s="142">
        <f t="shared" ref="P2:P6" si="3">MULTIPLY(0.06,K2)</f>
        <v>45000</v>
      </c>
      <c r="Q2" s="142"/>
      <c r="R2" s="142"/>
      <c r="S2" s="142">
        <f>N2-O2-P2</f>
        <v>190000</v>
      </c>
      <c r="T2" s="142"/>
      <c r="U2" s="142"/>
      <c r="V2" s="142">
        <f>(K2*0.75)-O2</f>
        <v>412500</v>
      </c>
      <c r="W2" s="142">
        <f>V2-I2</f>
        <v>47500</v>
      </c>
      <c r="X2" s="137" t="s">
        <v>126</v>
      </c>
      <c r="Y2" s="137"/>
      <c r="Z2" s="137"/>
      <c r="AA2" s="137">
        <v>25000.0</v>
      </c>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c r="CA2" s="137"/>
      <c r="CB2" s="137"/>
    </row>
    <row r="3" ht="15.0" customHeight="1">
      <c r="A3" s="66" t="s">
        <v>522</v>
      </c>
      <c r="B3" s="103">
        <v>42152.0</v>
      </c>
      <c r="C3" s="66" t="s">
        <v>523</v>
      </c>
      <c r="D3" s="104"/>
      <c r="E3" s="104" t="s">
        <v>91</v>
      </c>
      <c r="F3" s="105" t="s">
        <v>524</v>
      </c>
      <c r="G3" s="104">
        <v>1001.0</v>
      </c>
      <c r="H3" s="66"/>
      <c r="I3" s="66">
        <v>110000.0</v>
      </c>
      <c r="J3" s="133">
        <f t="shared" si="1"/>
        <v>109.8901099</v>
      </c>
      <c r="K3" s="66">
        <v>200000.0</v>
      </c>
      <c r="L3" s="66"/>
      <c r="M3" s="66"/>
      <c r="N3" s="66">
        <f t="shared" si="2"/>
        <v>90000</v>
      </c>
      <c r="O3" s="66">
        <v>25000.0</v>
      </c>
      <c r="P3" s="62">
        <f t="shared" si="3"/>
        <v>12000</v>
      </c>
      <c r="Q3" s="62"/>
      <c r="R3" s="62"/>
      <c r="S3" s="62"/>
      <c r="T3" s="62"/>
      <c r="U3" s="62"/>
      <c r="V3" s="62"/>
      <c r="W3" s="66"/>
      <c r="X3" s="66" t="s">
        <v>525</v>
      </c>
    </row>
    <row r="4" ht="15.75" customHeight="1">
      <c r="A4" s="66" t="s">
        <v>526</v>
      </c>
      <c r="B4" s="103">
        <v>42236.0</v>
      </c>
      <c r="C4" s="66" t="s">
        <v>527</v>
      </c>
      <c r="D4" s="104"/>
      <c r="E4" s="104" t="s">
        <v>528</v>
      </c>
      <c r="F4" s="105"/>
      <c r="G4" s="104">
        <v>1600.0</v>
      </c>
      <c r="H4" s="66"/>
      <c r="I4" s="66">
        <v>185000.0</v>
      </c>
      <c r="J4" s="133">
        <f t="shared" si="1"/>
        <v>115.625</v>
      </c>
      <c r="K4" s="66">
        <v>575000.0</v>
      </c>
      <c r="L4" s="66"/>
      <c r="M4" s="66"/>
      <c r="N4" s="66">
        <f t="shared" si="2"/>
        <v>390000</v>
      </c>
      <c r="O4" s="66">
        <v>200000.0</v>
      </c>
      <c r="P4" s="62">
        <f t="shared" si="3"/>
        <v>34500</v>
      </c>
      <c r="Q4" s="62"/>
      <c r="R4" s="62"/>
      <c r="S4" s="62">
        <f t="shared" ref="S4:S10" si="4">N4-O4-P4</f>
        <v>155500</v>
      </c>
      <c r="T4" s="62"/>
      <c r="U4" s="62"/>
      <c r="V4" s="62">
        <f t="shared" ref="V4:V10" si="5">(K4*0.75)-O4</f>
        <v>231250</v>
      </c>
      <c r="W4" s="62">
        <f t="shared" ref="W4:W10" si="6">V4-I4</f>
        <v>46250</v>
      </c>
      <c r="X4" s="66" t="s">
        <v>529</v>
      </c>
      <c r="Y4" s="66"/>
    </row>
    <row r="5" ht="15.75" customHeight="1">
      <c r="A5" s="66" t="s">
        <v>520</v>
      </c>
      <c r="B5" s="103">
        <v>42313.0</v>
      </c>
      <c r="C5" s="66" t="s">
        <v>530</v>
      </c>
      <c r="D5" s="104"/>
      <c r="E5" s="104" t="s">
        <v>117</v>
      </c>
      <c r="F5" s="105" t="s">
        <v>531</v>
      </c>
      <c r="G5" s="104">
        <v>2570.0</v>
      </c>
      <c r="H5" s="66"/>
      <c r="I5" s="66">
        <v>300000.0</v>
      </c>
      <c r="J5" s="133">
        <f t="shared" si="1"/>
        <v>116.7315175</v>
      </c>
      <c r="K5" s="66">
        <v>380000.0</v>
      </c>
      <c r="L5" s="133"/>
      <c r="M5" s="133">
        <f t="shared" ref="M5:M10" si="7">K5/G5</f>
        <v>147.8599222</v>
      </c>
      <c r="N5" s="66">
        <f t="shared" si="2"/>
        <v>80000</v>
      </c>
      <c r="O5" s="66">
        <v>20000.0</v>
      </c>
      <c r="P5" s="62">
        <f t="shared" si="3"/>
        <v>22800</v>
      </c>
      <c r="Q5" s="62"/>
      <c r="R5" s="62">
        <f t="shared" ref="R5:R10" si="8">SUM(I5,O5,P5)</f>
        <v>342800</v>
      </c>
      <c r="S5" s="62">
        <f t="shared" si="4"/>
        <v>37200</v>
      </c>
      <c r="T5" s="134"/>
      <c r="U5" s="134">
        <f t="shared" ref="U5:U10" si="9">DIVIDE(S5,R5)</f>
        <v>0.1085180863</v>
      </c>
      <c r="V5" s="62">
        <f t="shared" si="5"/>
        <v>265000</v>
      </c>
      <c r="W5" s="62">
        <f t="shared" si="6"/>
        <v>-35000</v>
      </c>
      <c r="X5" s="66" t="s">
        <v>532</v>
      </c>
      <c r="AA5" s="66">
        <v>20000.0</v>
      </c>
    </row>
    <row r="6" ht="15.75" customHeight="1">
      <c r="A6" s="66" t="s">
        <v>520</v>
      </c>
      <c r="B6" s="103">
        <v>42398.0</v>
      </c>
      <c r="C6" s="66" t="s">
        <v>533</v>
      </c>
      <c r="D6" s="104"/>
      <c r="E6" s="104" t="s">
        <v>154</v>
      </c>
      <c r="F6" s="105" t="s">
        <v>506</v>
      </c>
      <c r="G6" s="104">
        <v>1428.0</v>
      </c>
      <c r="H6" s="66"/>
      <c r="I6" s="66">
        <v>246000.0</v>
      </c>
      <c r="J6" s="133">
        <f t="shared" si="1"/>
        <v>172.2689076</v>
      </c>
      <c r="K6" s="66">
        <v>345000.0</v>
      </c>
      <c r="L6" s="133"/>
      <c r="M6" s="133">
        <f t="shared" si="7"/>
        <v>241.5966387</v>
      </c>
      <c r="N6" s="66">
        <f t="shared" si="2"/>
        <v>99000</v>
      </c>
      <c r="O6" s="66">
        <v>30000.0</v>
      </c>
      <c r="P6" s="62">
        <f t="shared" si="3"/>
        <v>20700</v>
      </c>
      <c r="Q6" s="62"/>
      <c r="R6" s="62">
        <f t="shared" si="8"/>
        <v>296700</v>
      </c>
      <c r="S6" s="62">
        <f t="shared" si="4"/>
        <v>48300</v>
      </c>
      <c r="T6" s="134"/>
      <c r="U6" s="134">
        <f t="shared" si="9"/>
        <v>0.1627906977</v>
      </c>
      <c r="V6" s="62">
        <f t="shared" si="5"/>
        <v>228750</v>
      </c>
      <c r="W6" s="62">
        <f t="shared" si="6"/>
        <v>-17250</v>
      </c>
      <c r="X6" s="66" t="s">
        <v>241</v>
      </c>
      <c r="AA6" s="66">
        <v>9000.0</v>
      </c>
    </row>
    <row r="7" ht="15.75" customHeight="1">
      <c r="A7" s="66" t="s">
        <v>526</v>
      </c>
      <c r="B7" s="103">
        <v>42402.0</v>
      </c>
      <c r="C7" s="66" t="s">
        <v>534</v>
      </c>
      <c r="D7" s="104"/>
      <c r="E7" s="104" t="s">
        <v>117</v>
      </c>
      <c r="F7" s="105" t="s">
        <v>531</v>
      </c>
      <c r="G7" s="104">
        <v>2100.0</v>
      </c>
      <c r="H7" s="66"/>
      <c r="I7" s="66">
        <v>301000.0</v>
      </c>
      <c r="J7" s="133">
        <f t="shared" si="1"/>
        <v>143.3333333</v>
      </c>
      <c r="K7" s="66">
        <v>375000.0</v>
      </c>
      <c r="L7" s="133"/>
      <c r="M7" s="133">
        <f t="shared" si="7"/>
        <v>178.5714286</v>
      </c>
      <c r="N7" s="66">
        <f t="shared" si="2"/>
        <v>74000</v>
      </c>
      <c r="O7" s="66">
        <v>30000.0</v>
      </c>
      <c r="P7" s="62"/>
      <c r="Q7" s="62"/>
      <c r="R7" s="62">
        <f t="shared" si="8"/>
        <v>331000</v>
      </c>
      <c r="S7" s="62">
        <f t="shared" si="4"/>
        <v>44000</v>
      </c>
      <c r="T7" s="134"/>
      <c r="U7" s="134">
        <f t="shared" si="9"/>
        <v>0.1329305136</v>
      </c>
      <c r="V7" s="62">
        <f t="shared" si="5"/>
        <v>251250</v>
      </c>
      <c r="W7" s="62">
        <f t="shared" si="6"/>
        <v>-49750</v>
      </c>
      <c r="X7" s="66" t="s">
        <v>529</v>
      </c>
    </row>
    <row r="8" ht="15.75" customHeight="1">
      <c r="A8" s="66" t="s">
        <v>535</v>
      </c>
      <c r="B8" s="110">
        <v>42491.0</v>
      </c>
      <c r="C8" s="66" t="s">
        <v>280</v>
      </c>
      <c r="E8" s="104"/>
      <c r="F8" s="105"/>
      <c r="G8" s="104">
        <v>1600.0</v>
      </c>
      <c r="H8" s="104"/>
      <c r="I8" s="104">
        <v>123000.0</v>
      </c>
      <c r="J8" s="106">
        <f t="shared" si="1"/>
        <v>76.875</v>
      </c>
      <c r="K8" s="104">
        <v>250000.0</v>
      </c>
      <c r="L8" s="107"/>
      <c r="M8" s="106">
        <f t="shared" si="7"/>
        <v>156.25</v>
      </c>
      <c r="N8" s="104">
        <f t="shared" si="2"/>
        <v>127000</v>
      </c>
      <c r="O8" s="104">
        <v>70000.0</v>
      </c>
      <c r="P8" s="107">
        <f t="shared" ref="P8:P10" si="10">MULTIPLY(0.06,K8)</f>
        <v>15000</v>
      </c>
      <c r="Q8" s="107">
        <f t="shared" ref="Q8:Q10" si="11">0.05*I8</f>
        <v>6150</v>
      </c>
      <c r="R8" s="107">
        <f t="shared" si="8"/>
        <v>208000</v>
      </c>
      <c r="S8" s="107">
        <f t="shared" si="4"/>
        <v>42000</v>
      </c>
      <c r="T8" s="109"/>
      <c r="U8" s="109">
        <f t="shared" si="9"/>
        <v>0.2019230769</v>
      </c>
      <c r="V8" s="107">
        <f t="shared" si="5"/>
        <v>117500</v>
      </c>
      <c r="W8" s="107">
        <f t="shared" si="6"/>
        <v>-5500</v>
      </c>
      <c r="X8" s="66" t="s">
        <v>536</v>
      </c>
    </row>
    <row r="9" ht="15.75" customHeight="1">
      <c r="A9" s="66" t="s">
        <v>537</v>
      </c>
      <c r="B9" s="110">
        <v>42491.0</v>
      </c>
      <c r="C9" s="66" t="s">
        <v>287</v>
      </c>
      <c r="E9" s="104"/>
      <c r="F9" s="105"/>
      <c r="G9" s="104">
        <v>2500.0</v>
      </c>
      <c r="H9" s="104"/>
      <c r="I9" s="104">
        <v>180000.0</v>
      </c>
      <c r="J9" s="106">
        <f t="shared" si="1"/>
        <v>72</v>
      </c>
      <c r="K9" s="104">
        <v>420000.0</v>
      </c>
      <c r="L9" s="107"/>
      <c r="M9" s="106">
        <f t="shared" si="7"/>
        <v>168</v>
      </c>
      <c r="N9" s="104">
        <f t="shared" si="2"/>
        <v>240000</v>
      </c>
      <c r="O9" s="104">
        <v>150000.0</v>
      </c>
      <c r="P9" s="107">
        <f t="shared" si="10"/>
        <v>25200</v>
      </c>
      <c r="Q9" s="107">
        <f t="shared" si="11"/>
        <v>9000</v>
      </c>
      <c r="R9" s="107">
        <f t="shared" si="8"/>
        <v>355200</v>
      </c>
      <c r="S9" s="107">
        <f t="shared" si="4"/>
        <v>64800</v>
      </c>
      <c r="T9" s="109"/>
      <c r="U9" s="109">
        <f t="shared" si="9"/>
        <v>0.1824324324</v>
      </c>
      <c r="V9" s="107">
        <f t="shared" si="5"/>
        <v>165000</v>
      </c>
      <c r="W9" s="107">
        <f t="shared" si="6"/>
        <v>-15000</v>
      </c>
      <c r="X9" s="66" t="s">
        <v>223</v>
      </c>
    </row>
    <row r="10" ht="15.75" customHeight="1">
      <c r="A10" s="66" t="s">
        <v>537</v>
      </c>
      <c r="B10" s="110">
        <v>42522.0</v>
      </c>
      <c r="C10" s="66" t="s">
        <v>301</v>
      </c>
      <c r="E10" s="104"/>
      <c r="F10" s="105" t="s">
        <v>538</v>
      </c>
      <c r="G10" s="104">
        <v>2916.0</v>
      </c>
      <c r="H10" s="104"/>
      <c r="I10" s="104">
        <v>590000.0</v>
      </c>
      <c r="J10" s="106">
        <f t="shared" si="1"/>
        <v>202.3319616</v>
      </c>
      <c r="K10" s="104">
        <v>799000.0</v>
      </c>
      <c r="L10" s="107"/>
      <c r="M10" s="106">
        <f t="shared" si="7"/>
        <v>274.005487</v>
      </c>
      <c r="N10" s="104">
        <f t="shared" si="2"/>
        <v>209000</v>
      </c>
      <c r="O10" s="104">
        <v>80000.0</v>
      </c>
      <c r="P10" s="107">
        <f t="shared" si="10"/>
        <v>47940</v>
      </c>
      <c r="Q10" s="107">
        <f t="shared" si="11"/>
        <v>29500</v>
      </c>
      <c r="R10" s="107">
        <f t="shared" si="8"/>
        <v>717940</v>
      </c>
      <c r="S10" s="107">
        <f t="shared" si="4"/>
        <v>81060</v>
      </c>
      <c r="T10" s="109"/>
      <c r="U10" s="109">
        <f t="shared" si="9"/>
        <v>0.112906371</v>
      </c>
      <c r="V10" s="107">
        <f t="shared" si="5"/>
        <v>519250</v>
      </c>
      <c r="W10" s="107">
        <f t="shared" si="6"/>
        <v>-70750</v>
      </c>
      <c r="X10" s="66" t="s">
        <v>302</v>
      </c>
    </row>
    <row r="11" ht="15.75" customHeight="1">
      <c r="D11" s="104"/>
      <c r="E11" s="104"/>
      <c r="F11" s="105"/>
      <c r="G11" s="104"/>
      <c r="J11" s="133"/>
      <c r="P11" s="62"/>
      <c r="Q11" s="62"/>
      <c r="R11" s="62"/>
      <c r="S11" s="62"/>
      <c r="T11" s="62"/>
      <c r="U11" s="62"/>
      <c r="V11" s="62"/>
      <c r="W11" s="62"/>
    </row>
    <row r="12" ht="15.75" customHeight="1">
      <c r="D12" s="104"/>
      <c r="E12" s="104"/>
      <c r="F12" s="105"/>
      <c r="G12" s="104"/>
      <c r="J12" s="133"/>
      <c r="P12" s="62"/>
      <c r="Q12" s="62"/>
      <c r="R12" s="62"/>
      <c r="S12" s="62"/>
      <c r="T12" s="62"/>
      <c r="U12" s="62"/>
      <c r="V12" s="62"/>
      <c r="W12" s="62"/>
    </row>
    <row r="13" ht="15.75" customHeight="1">
      <c r="D13" s="104"/>
      <c r="E13" s="104"/>
      <c r="F13" s="105"/>
      <c r="G13" s="104"/>
      <c r="J13" s="133"/>
      <c r="P13" s="62"/>
      <c r="Q13" s="62"/>
      <c r="R13" s="62"/>
      <c r="S13" s="62"/>
      <c r="T13" s="62"/>
      <c r="U13" s="62"/>
      <c r="V13" s="62"/>
      <c r="W13" s="62"/>
    </row>
    <row r="14" ht="15.75" customHeight="1">
      <c r="D14" s="104"/>
      <c r="E14" s="104"/>
      <c r="F14" s="105"/>
      <c r="G14" s="104"/>
      <c r="J14" s="133"/>
      <c r="P14" s="62"/>
      <c r="Q14" s="62"/>
      <c r="R14" s="62"/>
      <c r="S14" s="62"/>
      <c r="T14" s="62"/>
      <c r="U14" s="62"/>
      <c r="V14" s="62"/>
      <c r="W14" s="62"/>
    </row>
    <row r="15" ht="15.75" customHeight="1">
      <c r="D15" s="104"/>
      <c r="E15" s="104"/>
      <c r="F15" s="105"/>
      <c r="G15" s="104"/>
      <c r="J15" s="133"/>
      <c r="P15" s="62"/>
      <c r="Q15" s="62"/>
      <c r="R15" s="62"/>
      <c r="S15" s="62"/>
      <c r="T15" s="62"/>
      <c r="U15" s="62"/>
      <c r="V15" s="62"/>
      <c r="W15" s="62"/>
    </row>
    <row r="16" ht="15.75" customHeight="1">
      <c r="D16" s="104"/>
      <c r="E16" s="104"/>
      <c r="F16" s="105"/>
      <c r="G16" s="104"/>
      <c r="J16" s="133"/>
      <c r="P16" s="62"/>
      <c r="Q16" s="62"/>
      <c r="R16" s="62"/>
      <c r="S16" s="62"/>
      <c r="T16" s="62"/>
      <c r="U16" s="62"/>
      <c r="V16" s="62"/>
      <c r="W16" s="62"/>
    </row>
    <row r="17" ht="15.75" customHeight="1">
      <c r="D17" s="104"/>
      <c r="E17" s="104"/>
      <c r="F17" s="105"/>
      <c r="G17" s="104"/>
      <c r="J17" s="133"/>
      <c r="P17" s="62"/>
      <c r="Q17" s="62"/>
      <c r="R17" s="62"/>
      <c r="S17" s="62"/>
      <c r="T17" s="62"/>
      <c r="U17" s="62"/>
      <c r="V17" s="62"/>
      <c r="W17" s="62"/>
    </row>
    <row r="18" ht="15.75" customHeight="1">
      <c r="D18" s="104"/>
      <c r="E18" s="104"/>
      <c r="F18" s="105"/>
      <c r="G18" s="104"/>
      <c r="J18" s="133"/>
      <c r="P18" s="62"/>
      <c r="Q18" s="62"/>
      <c r="R18" s="62"/>
      <c r="S18" s="62"/>
      <c r="T18" s="62"/>
      <c r="U18" s="62"/>
      <c r="V18" s="62"/>
      <c r="W18" s="62"/>
    </row>
    <row r="19" ht="15.75" customHeight="1">
      <c r="D19" s="104"/>
      <c r="E19" s="104"/>
      <c r="F19" s="105"/>
      <c r="G19" s="104"/>
      <c r="J19" s="133"/>
      <c r="P19" s="62"/>
      <c r="Q19" s="62"/>
      <c r="R19" s="62"/>
      <c r="S19" s="62"/>
      <c r="T19" s="62"/>
      <c r="U19" s="62"/>
      <c r="V19" s="62"/>
      <c r="W19" s="62"/>
    </row>
    <row r="20" ht="15.75" customHeight="1">
      <c r="D20" s="104"/>
      <c r="E20" s="104"/>
      <c r="F20" s="105"/>
      <c r="G20" s="104"/>
      <c r="J20" s="133"/>
      <c r="P20" s="62"/>
      <c r="Q20" s="62"/>
      <c r="R20" s="62"/>
      <c r="S20" s="62"/>
      <c r="T20" s="62"/>
      <c r="U20" s="62"/>
      <c r="V20" s="62"/>
      <c r="W20" s="62"/>
    </row>
    <row r="21" ht="15.75" customHeight="1">
      <c r="D21" s="104"/>
      <c r="E21" s="104"/>
      <c r="F21" s="105"/>
      <c r="G21" s="104"/>
      <c r="J21" s="133"/>
      <c r="P21" s="62"/>
      <c r="Q21" s="62"/>
      <c r="R21" s="62"/>
      <c r="S21" s="62"/>
      <c r="T21" s="62"/>
      <c r="U21" s="62"/>
      <c r="V21" s="62"/>
      <c r="W21" s="62"/>
    </row>
    <row r="22" ht="15.75" customHeight="1">
      <c r="D22" s="104"/>
      <c r="E22" s="104"/>
      <c r="F22" s="105"/>
      <c r="G22" s="104"/>
      <c r="J22" s="133"/>
      <c r="P22" s="62"/>
      <c r="Q22" s="62"/>
      <c r="R22" s="62"/>
      <c r="S22" s="62"/>
      <c r="T22" s="62"/>
      <c r="U22" s="62"/>
      <c r="V22" s="62"/>
      <c r="W22" s="62"/>
    </row>
    <row r="23" ht="15.75" customHeight="1">
      <c r="D23" s="104"/>
      <c r="E23" s="104"/>
      <c r="F23" s="105"/>
      <c r="G23" s="104"/>
      <c r="J23" s="133"/>
      <c r="P23" s="62"/>
      <c r="Q23" s="62"/>
      <c r="R23" s="62"/>
      <c r="S23" s="62"/>
      <c r="T23" s="62"/>
      <c r="U23" s="62"/>
      <c r="V23" s="62"/>
      <c r="W23" s="62"/>
    </row>
    <row r="24" ht="15.75" customHeight="1">
      <c r="D24" s="104"/>
      <c r="E24" s="104"/>
      <c r="F24" s="105"/>
      <c r="G24" s="104"/>
      <c r="J24" s="133"/>
      <c r="P24" s="62"/>
      <c r="Q24" s="62"/>
      <c r="R24" s="62"/>
      <c r="S24" s="62"/>
      <c r="T24" s="62"/>
      <c r="U24" s="62"/>
      <c r="V24" s="62"/>
      <c r="W24" s="62"/>
    </row>
    <row r="25" ht="15.75" customHeight="1">
      <c r="D25" s="104"/>
      <c r="E25" s="104"/>
      <c r="F25" s="105"/>
      <c r="G25" s="104"/>
      <c r="J25" s="133"/>
      <c r="P25" s="62"/>
      <c r="Q25" s="62"/>
      <c r="R25" s="62"/>
      <c r="S25" s="62"/>
      <c r="T25" s="62"/>
      <c r="U25" s="62"/>
      <c r="V25" s="62"/>
      <c r="W25" s="62"/>
    </row>
    <row r="26" ht="15.75" customHeight="1">
      <c r="D26" s="104"/>
      <c r="E26" s="104"/>
      <c r="F26" s="105"/>
      <c r="G26" s="104"/>
      <c r="J26" s="133"/>
      <c r="P26" s="62"/>
      <c r="Q26" s="62"/>
      <c r="R26" s="62"/>
      <c r="S26" s="62"/>
      <c r="T26" s="62"/>
      <c r="U26" s="62"/>
      <c r="V26" s="62"/>
      <c r="W26" s="62"/>
    </row>
    <row r="27" ht="15.75" customHeight="1">
      <c r="D27" s="104"/>
      <c r="E27" s="104"/>
      <c r="F27" s="105"/>
      <c r="G27" s="104"/>
      <c r="J27" s="133"/>
      <c r="P27" s="62"/>
      <c r="Q27" s="62"/>
      <c r="R27" s="62"/>
      <c r="S27" s="62"/>
      <c r="T27" s="62"/>
      <c r="U27" s="62"/>
      <c r="V27" s="62"/>
      <c r="W27" s="62"/>
    </row>
    <row r="28" ht="15.75" customHeight="1">
      <c r="D28" s="104"/>
      <c r="E28" s="104"/>
      <c r="F28" s="105"/>
      <c r="G28" s="104"/>
      <c r="J28" s="133"/>
      <c r="P28" s="62"/>
      <c r="Q28" s="62"/>
      <c r="R28" s="62"/>
      <c r="S28" s="62"/>
      <c r="T28" s="62"/>
      <c r="U28" s="62"/>
      <c r="V28" s="62"/>
      <c r="W28" s="62"/>
    </row>
    <row r="29" ht="15.75" customHeight="1">
      <c r="D29" s="104"/>
      <c r="E29" s="104"/>
      <c r="F29" s="105"/>
      <c r="G29" s="104"/>
      <c r="J29" s="133"/>
      <c r="P29" s="62"/>
      <c r="Q29" s="62"/>
      <c r="R29" s="62"/>
      <c r="S29" s="62"/>
      <c r="T29" s="62"/>
      <c r="U29" s="62"/>
      <c r="V29" s="62"/>
      <c r="W29" s="62"/>
    </row>
    <row r="30" ht="15.75" customHeight="1">
      <c r="D30" s="104"/>
      <c r="E30" s="104"/>
      <c r="F30" s="105"/>
      <c r="G30" s="104"/>
      <c r="J30" s="133"/>
      <c r="P30" s="62"/>
      <c r="Q30" s="62"/>
      <c r="R30" s="62"/>
      <c r="S30" s="62"/>
      <c r="T30" s="62"/>
      <c r="U30" s="62"/>
      <c r="V30" s="62"/>
      <c r="W30" s="62"/>
    </row>
    <row r="31" ht="15.75" customHeight="1">
      <c r="D31" s="104"/>
      <c r="E31" s="104"/>
      <c r="F31" s="105"/>
      <c r="G31" s="104"/>
      <c r="J31" s="133"/>
      <c r="P31" s="62"/>
      <c r="Q31" s="62"/>
      <c r="R31" s="62"/>
      <c r="S31" s="62"/>
      <c r="T31" s="62"/>
      <c r="U31" s="62"/>
      <c r="V31" s="62"/>
      <c r="W31" s="62"/>
    </row>
    <row r="32" ht="15.75" customHeight="1">
      <c r="D32" s="104"/>
      <c r="E32" s="104"/>
      <c r="F32" s="105"/>
      <c r="G32" s="104"/>
      <c r="J32" s="133"/>
      <c r="P32" s="62"/>
      <c r="Q32" s="62"/>
      <c r="R32" s="62"/>
      <c r="S32" s="62"/>
      <c r="T32" s="62"/>
      <c r="U32" s="62"/>
      <c r="V32" s="62"/>
      <c r="W32" s="62"/>
    </row>
    <row r="33" ht="15.75" customHeight="1">
      <c r="D33" s="104"/>
      <c r="E33" s="104"/>
      <c r="F33" s="105"/>
      <c r="G33" s="104"/>
      <c r="J33" s="133"/>
      <c r="P33" s="62"/>
      <c r="Q33" s="62"/>
      <c r="R33" s="62"/>
      <c r="S33" s="62"/>
      <c r="T33" s="62"/>
      <c r="U33" s="62"/>
      <c r="V33" s="62"/>
      <c r="W33" s="62"/>
    </row>
    <row r="34" ht="15.75" customHeight="1">
      <c r="D34" s="104"/>
      <c r="E34" s="104"/>
      <c r="F34" s="105"/>
      <c r="G34" s="104"/>
      <c r="J34" s="133"/>
      <c r="P34" s="62"/>
      <c r="Q34" s="62"/>
      <c r="R34" s="62"/>
      <c r="S34" s="62"/>
      <c r="T34" s="62"/>
      <c r="U34" s="62"/>
      <c r="V34" s="62"/>
      <c r="W34" s="62"/>
    </row>
    <row r="35" ht="15.75" customHeight="1">
      <c r="D35" s="104"/>
      <c r="E35" s="104"/>
      <c r="F35" s="105"/>
      <c r="G35" s="104"/>
      <c r="J35" s="133"/>
      <c r="P35" s="62"/>
      <c r="Q35" s="62"/>
      <c r="R35" s="62"/>
      <c r="S35" s="62"/>
      <c r="T35" s="62"/>
      <c r="U35" s="62"/>
      <c r="V35" s="62"/>
      <c r="W35" s="62"/>
    </row>
    <row r="36" ht="15.75" customHeight="1">
      <c r="D36" s="104"/>
      <c r="E36" s="104"/>
      <c r="F36" s="105"/>
      <c r="G36" s="104"/>
      <c r="J36" s="133"/>
      <c r="P36" s="62"/>
      <c r="Q36" s="62"/>
      <c r="R36" s="62"/>
      <c r="S36" s="62"/>
      <c r="T36" s="62"/>
      <c r="U36" s="62"/>
      <c r="V36" s="62"/>
      <c r="W36" s="62"/>
    </row>
    <row r="37" ht="15.75" customHeight="1">
      <c r="D37" s="104"/>
      <c r="E37" s="104"/>
      <c r="F37" s="105"/>
      <c r="G37" s="104"/>
      <c r="J37" s="133"/>
      <c r="P37" s="62"/>
      <c r="Q37" s="62"/>
      <c r="R37" s="62"/>
      <c r="S37" s="62"/>
      <c r="T37" s="62"/>
      <c r="U37" s="62"/>
      <c r="V37" s="62"/>
      <c r="W37" s="62"/>
    </row>
    <row r="38" ht="15.75" customHeight="1">
      <c r="D38" s="104"/>
      <c r="E38" s="104"/>
      <c r="F38" s="105"/>
      <c r="G38" s="104"/>
      <c r="J38" s="133"/>
      <c r="P38" s="62"/>
      <c r="Q38" s="62"/>
      <c r="R38" s="62"/>
      <c r="S38" s="62"/>
      <c r="T38" s="62"/>
      <c r="U38" s="62"/>
      <c r="V38" s="62"/>
      <c r="W38" s="62"/>
    </row>
    <row r="39" ht="15.75" customHeight="1">
      <c r="D39" s="104"/>
      <c r="E39" s="104"/>
      <c r="F39" s="105"/>
      <c r="G39" s="104"/>
      <c r="J39" s="133"/>
      <c r="P39" s="62"/>
      <c r="Q39" s="62"/>
      <c r="R39" s="62"/>
      <c r="S39" s="62"/>
      <c r="T39" s="62"/>
      <c r="U39" s="62"/>
      <c r="V39" s="62"/>
      <c r="W39" s="62"/>
    </row>
    <row r="40" ht="15.75" customHeight="1">
      <c r="D40" s="104"/>
      <c r="E40" s="104"/>
      <c r="F40" s="105"/>
      <c r="G40" s="104"/>
      <c r="J40" s="133"/>
      <c r="P40" s="62"/>
      <c r="Q40" s="62"/>
      <c r="R40" s="62"/>
      <c r="S40" s="62"/>
      <c r="T40" s="62"/>
      <c r="U40" s="62"/>
      <c r="V40" s="62"/>
      <c r="W40" s="62"/>
    </row>
    <row r="41" ht="15.75" customHeight="1">
      <c r="D41" s="104"/>
      <c r="E41" s="104"/>
      <c r="F41" s="105"/>
      <c r="G41" s="104"/>
      <c r="J41" s="133"/>
      <c r="P41" s="62"/>
      <c r="Q41" s="62"/>
      <c r="R41" s="62"/>
      <c r="S41" s="62"/>
      <c r="T41" s="62"/>
      <c r="U41" s="62"/>
      <c r="V41" s="62"/>
      <c r="W41" s="62"/>
    </row>
    <row r="42" ht="15.75" customHeight="1">
      <c r="D42" s="104"/>
      <c r="E42" s="104"/>
      <c r="F42" s="105"/>
      <c r="G42" s="104"/>
      <c r="J42" s="133"/>
      <c r="P42" s="62"/>
      <c r="Q42" s="62"/>
      <c r="R42" s="62"/>
      <c r="S42" s="62"/>
      <c r="T42" s="62"/>
      <c r="U42" s="62"/>
      <c r="V42" s="62"/>
      <c r="W42" s="62"/>
    </row>
    <row r="43" ht="15.75" customHeight="1">
      <c r="D43" s="104"/>
      <c r="E43" s="104"/>
      <c r="F43" s="105"/>
      <c r="G43" s="104"/>
      <c r="J43" s="133"/>
      <c r="P43" s="62"/>
      <c r="Q43" s="62"/>
      <c r="R43" s="62"/>
      <c r="S43" s="62"/>
      <c r="T43" s="62"/>
      <c r="U43" s="62"/>
      <c r="V43" s="62"/>
      <c r="W43" s="62"/>
    </row>
    <row r="44" ht="15.75" customHeight="1">
      <c r="D44" s="104"/>
      <c r="E44" s="104"/>
      <c r="F44" s="105"/>
      <c r="G44" s="104"/>
      <c r="J44" s="133"/>
      <c r="P44" s="62"/>
      <c r="Q44" s="62"/>
      <c r="R44" s="62"/>
      <c r="S44" s="62"/>
      <c r="T44" s="62"/>
      <c r="U44" s="62"/>
      <c r="V44" s="62"/>
      <c r="W44" s="62"/>
    </row>
    <row r="45" ht="15.75" customHeight="1">
      <c r="D45" s="104"/>
      <c r="E45" s="104"/>
      <c r="F45" s="105"/>
      <c r="G45" s="104"/>
      <c r="J45" s="133"/>
      <c r="P45" s="62"/>
      <c r="Q45" s="62"/>
      <c r="R45" s="62"/>
      <c r="S45" s="62"/>
      <c r="T45" s="62"/>
      <c r="U45" s="62"/>
      <c r="V45" s="62"/>
      <c r="W45" s="62"/>
    </row>
    <row r="46" ht="15.75" customHeight="1">
      <c r="D46" s="104"/>
      <c r="E46" s="104"/>
      <c r="F46" s="105"/>
      <c r="G46" s="104"/>
      <c r="J46" s="133"/>
      <c r="P46" s="62"/>
      <c r="Q46" s="62"/>
      <c r="R46" s="62"/>
      <c r="S46" s="62"/>
      <c r="T46" s="62"/>
      <c r="U46" s="62"/>
      <c r="V46" s="62"/>
      <c r="W46" s="62"/>
    </row>
    <row r="47" ht="15.75" customHeight="1">
      <c r="D47" s="104"/>
      <c r="E47" s="104"/>
      <c r="F47" s="105"/>
      <c r="G47" s="104"/>
      <c r="J47" s="133"/>
      <c r="P47" s="62"/>
      <c r="Q47" s="62"/>
      <c r="R47" s="62"/>
      <c r="S47" s="62"/>
      <c r="T47" s="62"/>
      <c r="U47" s="62"/>
      <c r="V47" s="62"/>
      <c r="W47" s="62"/>
    </row>
    <row r="48" ht="15.75" customHeight="1">
      <c r="D48" s="104"/>
      <c r="E48" s="104"/>
      <c r="F48" s="105"/>
      <c r="G48" s="104"/>
      <c r="J48" s="133"/>
      <c r="P48" s="62"/>
      <c r="Q48" s="62"/>
      <c r="R48" s="62"/>
      <c r="S48" s="62"/>
      <c r="T48" s="62"/>
      <c r="U48" s="62"/>
      <c r="V48" s="62"/>
      <c r="W48" s="62"/>
    </row>
    <row r="49" ht="15.75" customHeight="1">
      <c r="D49" s="104"/>
      <c r="E49" s="104"/>
      <c r="F49" s="105"/>
      <c r="G49" s="104"/>
      <c r="J49" s="133"/>
      <c r="P49" s="62"/>
      <c r="Q49" s="62"/>
      <c r="R49" s="62"/>
      <c r="S49" s="62"/>
      <c r="T49" s="62"/>
      <c r="U49" s="62"/>
      <c r="V49" s="62"/>
      <c r="W49" s="62"/>
    </row>
    <row r="50" ht="15.75" customHeight="1">
      <c r="D50" s="104"/>
      <c r="E50" s="104"/>
      <c r="F50" s="105"/>
      <c r="G50" s="104"/>
      <c r="J50" s="133"/>
      <c r="P50" s="62"/>
      <c r="Q50" s="62"/>
      <c r="R50" s="62"/>
      <c r="S50" s="62"/>
      <c r="T50" s="62"/>
      <c r="U50" s="62"/>
      <c r="V50" s="62"/>
      <c r="W50" s="62"/>
    </row>
    <row r="51" ht="15.75" customHeight="1">
      <c r="D51" s="104"/>
      <c r="E51" s="104"/>
      <c r="F51" s="105"/>
      <c r="G51" s="104"/>
      <c r="J51" s="133"/>
      <c r="P51" s="62"/>
      <c r="Q51" s="62"/>
      <c r="R51" s="62"/>
      <c r="S51" s="62"/>
      <c r="T51" s="62"/>
      <c r="U51" s="62"/>
      <c r="V51" s="62"/>
      <c r="W51" s="62"/>
    </row>
    <row r="52" ht="15.75" customHeight="1">
      <c r="D52" s="104"/>
      <c r="E52" s="104"/>
      <c r="F52" s="105"/>
      <c r="G52" s="104"/>
      <c r="J52" s="133"/>
      <c r="P52" s="62"/>
      <c r="Q52" s="62"/>
      <c r="R52" s="62"/>
      <c r="S52" s="62"/>
      <c r="T52" s="62"/>
      <c r="U52" s="62"/>
      <c r="V52" s="62"/>
      <c r="W52" s="62"/>
    </row>
    <row r="53" ht="15.75" customHeight="1">
      <c r="D53" s="104"/>
      <c r="E53" s="104"/>
      <c r="F53" s="105"/>
      <c r="G53" s="104"/>
      <c r="J53" s="133"/>
      <c r="P53" s="62"/>
      <c r="Q53" s="62"/>
      <c r="R53" s="62"/>
      <c r="S53" s="62"/>
      <c r="T53" s="62"/>
      <c r="U53" s="62"/>
      <c r="V53" s="62"/>
      <c r="W53" s="62"/>
    </row>
    <row r="54" ht="15.75" customHeight="1">
      <c r="D54" s="104"/>
      <c r="E54" s="104"/>
      <c r="F54" s="105"/>
      <c r="G54" s="104"/>
      <c r="J54" s="133"/>
      <c r="P54" s="62"/>
      <c r="Q54" s="62"/>
      <c r="R54" s="62"/>
      <c r="S54" s="62"/>
      <c r="T54" s="62"/>
      <c r="U54" s="62"/>
      <c r="V54" s="62"/>
      <c r="W54" s="62"/>
    </row>
    <row r="55" ht="15.75" customHeight="1">
      <c r="D55" s="104"/>
      <c r="E55" s="104"/>
      <c r="F55" s="105"/>
      <c r="G55" s="104"/>
      <c r="J55" s="133"/>
      <c r="P55" s="62"/>
      <c r="Q55" s="62"/>
      <c r="R55" s="62"/>
      <c r="S55" s="62"/>
      <c r="T55" s="62"/>
      <c r="U55" s="62"/>
      <c r="V55" s="62"/>
      <c r="W55" s="62"/>
    </row>
    <row r="56" ht="15.75" customHeight="1">
      <c r="D56" s="104"/>
      <c r="E56" s="104"/>
      <c r="F56" s="105"/>
      <c r="G56" s="104"/>
      <c r="J56" s="133"/>
      <c r="P56" s="62"/>
      <c r="Q56" s="62"/>
      <c r="R56" s="62"/>
      <c r="S56" s="62"/>
      <c r="T56" s="62"/>
      <c r="U56" s="62"/>
      <c r="V56" s="62"/>
      <c r="W56" s="62"/>
    </row>
    <row r="57" ht="15.75" customHeight="1">
      <c r="D57" s="104"/>
      <c r="E57" s="104"/>
      <c r="F57" s="105"/>
      <c r="G57" s="104"/>
      <c r="J57" s="133"/>
      <c r="P57" s="62"/>
      <c r="Q57" s="62"/>
      <c r="R57" s="62"/>
      <c r="S57" s="62"/>
      <c r="T57" s="62"/>
      <c r="U57" s="62"/>
      <c r="V57" s="62"/>
      <c r="W57" s="62"/>
    </row>
    <row r="58" ht="15.75" customHeight="1">
      <c r="D58" s="104"/>
      <c r="E58" s="104"/>
      <c r="F58" s="105"/>
      <c r="G58" s="104"/>
      <c r="J58" s="133"/>
      <c r="P58" s="62"/>
      <c r="Q58" s="62"/>
      <c r="R58" s="62"/>
      <c r="S58" s="62"/>
      <c r="T58" s="62"/>
      <c r="U58" s="62"/>
      <c r="V58" s="62"/>
      <c r="W58" s="62"/>
    </row>
    <row r="59" ht="15.75" customHeight="1">
      <c r="D59" s="104"/>
      <c r="E59" s="104"/>
      <c r="F59" s="105"/>
      <c r="G59" s="104"/>
      <c r="J59" s="133"/>
      <c r="P59" s="62"/>
      <c r="Q59" s="62"/>
      <c r="R59" s="62"/>
      <c r="S59" s="62"/>
      <c r="T59" s="62"/>
      <c r="U59" s="62"/>
      <c r="V59" s="62"/>
      <c r="W59" s="62"/>
    </row>
    <row r="60" ht="15.75" customHeight="1">
      <c r="D60" s="104"/>
      <c r="E60" s="104"/>
      <c r="F60" s="105"/>
      <c r="G60" s="104"/>
      <c r="J60" s="133"/>
      <c r="P60" s="62"/>
      <c r="Q60" s="62"/>
      <c r="R60" s="62"/>
      <c r="S60" s="62"/>
      <c r="T60" s="62"/>
      <c r="U60" s="62"/>
      <c r="V60" s="62"/>
      <c r="W60" s="62"/>
    </row>
    <row r="61" ht="15.75" customHeight="1">
      <c r="D61" s="104"/>
      <c r="E61" s="104"/>
      <c r="F61" s="105"/>
      <c r="G61" s="104"/>
      <c r="J61" s="133"/>
      <c r="P61" s="62"/>
      <c r="Q61" s="62"/>
      <c r="R61" s="62"/>
      <c r="S61" s="62"/>
      <c r="T61" s="62"/>
      <c r="U61" s="62"/>
      <c r="V61" s="62"/>
      <c r="W61" s="62"/>
    </row>
    <row r="62" ht="15.75" customHeight="1">
      <c r="D62" s="104"/>
      <c r="E62" s="104"/>
      <c r="F62" s="105"/>
      <c r="G62" s="104"/>
      <c r="J62" s="133"/>
      <c r="P62" s="62"/>
      <c r="Q62" s="62"/>
      <c r="R62" s="62"/>
      <c r="S62" s="62"/>
      <c r="T62" s="62"/>
      <c r="U62" s="62"/>
      <c r="V62" s="62"/>
      <c r="W62" s="62"/>
    </row>
    <row r="63" ht="15.75" customHeight="1">
      <c r="D63" s="104"/>
      <c r="E63" s="104"/>
      <c r="F63" s="105"/>
      <c r="G63" s="104"/>
      <c r="J63" s="133"/>
      <c r="P63" s="62"/>
      <c r="Q63" s="62"/>
      <c r="R63" s="62"/>
      <c r="S63" s="62"/>
      <c r="T63" s="62"/>
      <c r="U63" s="62"/>
      <c r="V63" s="62"/>
      <c r="W63" s="62"/>
    </row>
    <row r="64" ht="15.75" customHeight="1">
      <c r="D64" s="104"/>
      <c r="E64" s="104"/>
      <c r="F64" s="105"/>
      <c r="G64" s="104"/>
      <c r="J64" s="133"/>
      <c r="P64" s="62"/>
      <c r="Q64" s="62"/>
      <c r="R64" s="62"/>
      <c r="S64" s="62"/>
      <c r="T64" s="62"/>
      <c r="U64" s="62"/>
      <c r="V64" s="62"/>
      <c r="W64" s="62"/>
    </row>
    <row r="65" ht="15.75" customHeight="1">
      <c r="D65" s="104"/>
      <c r="E65" s="104"/>
      <c r="F65" s="105"/>
      <c r="G65" s="104"/>
      <c r="J65" s="133"/>
      <c r="P65" s="62"/>
      <c r="Q65" s="62"/>
      <c r="R65" s="62"/>
      <c r="S65" s="62"/>
      <c r="T65" s="62"/>
      <c r="U65" s="62"/>
      <c r="V65" s="62"/>
      <c r="W65" s="62"/>
    </row>
    <row r="66" ht="15.75" customHeight="1">
      <c r="D66" s="104"/>
      <c r="E66" s="104"/>
      <c r="F66" s="105"/>
      <c r="G66" s="104"/>
      <c r="J66" s="133"/>
      <c r="P66" s="62"/>
      <c r="Q66" s="62"/>
      <c r="R66" s="62"/>
      <c r="S66" s="62"/>
      <c r="T66" s="62"/>
      <c r="U66" s="62"/>
      <c r="V66" s="62"/>
      <c r="W66" s="62"/>
    </row>
    <row r="67" ht="15.75" customHeight="1">
      <c r="D67" s="104"/>
      <c r="E67" s="104"/>
      <c r="F67" s="105"/>
      <c r="G67" s="104"/>
      <c r="J67" s="133"/>
      <c r="P67" s="62"/>
      <c r="Q67" s="62"/>
      <c r="R67" s="62"/>
      <c r="S67" s="62"/>
      <c r="T67" s="62"/>
      <c r="U67" s="62"/>
      <c r="V67" s="62"/>
      <c r="W67" s="62"/>
    </row>
    <row r="68" ht="15.75" customHeight="1">
      <c r="D68" s="104"/>
      <c r="E68" s="104"/>
      <c r="F68" s="105"/>
      <c r="G68" s="104"/>
      <c r="J68" s="133"/>
      <c r="P68" s="62"/>
      <c r="Q68" s="62"/>
      <c r="R68" s="62"/>
      <c r="S68" s="62"/>
      <c r="T68" s="62"/>
      <c r="U68" s="62"/>
      <c r="V68" s="62"/>
      <c r="W68" s="62"/>
    </row>
    <row r="69" ht="15.75" customHeight="1">
      <c r="D69" s="104"/>
      <c r="E69" s="104"/>
      <c r="F69" s="105"/>
      <c r="G69" s="104"/>
      <c r="J69" s="133"/>
      <c r="P69" s="62"/>
      <c r="Q69" s="62"/>
      <c r="R69" s="62"/>
      <c r="S69" s="62"/>
      <c r="T69" s="62"/>
      <c r="U69" s="62"/>
      <c r="V69" s="62"/>
      <c r="W69" s="62"/>
    </row>
    <row r="70" ht="15.75" customHeight="1">
      <c r="D70" s="104"/>
      <c r="E70" s="104"/>
      <c r="F70" s="105"/>
      <c r="G70" s="104"/>
      <c r="J70" s="133"/>
      <c r="P70" s="62"/>
      <c r="Q70" s="62"/>
      <c r="R70" s="62"/>
      <c r="S70" s="62"/>
      <c r="T70" s="62"/>
      <c r="U70" s="62"/>
      <c r="V70" s="62"/>
      <c r="W70" s="62"/>
    </row>
    <row r="71" ht="15.75" customHeight="1">
      <c r="D71" s="104"/>
      <c r="E71" s="104"/>
      <c r="F71" s="105"/>
      <c r="G71" s="104"/>
      <c r="J71" s="133"/>
      <c r="P71" s="62"/>
      <c r="Q71" s="62"/>
      <c r="R71" s="62"/>
      <c r="S71" s="62"/>
      <c r="T71" s="62"/>
      <c r="U71" s="62"/>
      <c r="V71" s="62"/>
      <c r="W71" s="62"/>
    </row>
    <row r="72" ht="15.75" customHeight="1">
      <c r="D72" s="104"/>
      <c r="E72" s="104"/>
      <c r="F72" s="105"/>
      <c r="G72" s="104"/>
      <c r="J72" s="133"/>
      <c r="P72" s="62"/>
      <c r="Q72" s="62"/>
      <c r="R72" s="62"/>
      <c r="S72" s="62"/>
      <c r="T72" s="62"/>
      <c r="U72" s="62"/>
      <c r="V72" s="62"/>
      <c r="W72" s="62"/>
    </row>
    <row r="73" ht="15.75" customHeight="1">
      <c r="D73" s="104"/>
      <c r="E73" s="104"/>
      <c r="F73" s="105"/>
      <c r="G73" s="104"/>
      <c r="J73" s="133"/>
      <c r="P73" s="62"/>
      <c r="Q73" s="62"/>
      <c r="R73" s="62"/>
      <c r="S73" s="62"/>
      <c r="T73" s="62"/>
      <c r="U73" s="62"/>
      <c r="V73" s="62"/>
      <c r="W73" s="62"/>
    </row>
    <row r="74" ht="15.75" customHeight="1">
      <c r="D74" s="104"/>
      <c r="E74" s="104"/>
      <c r="F74" s="105"/>
      <c r="G74" s="104"/>
      <c r="J74" s="133"/>
      <c r="P74" s="62"/>
      <c r="Q74" s="62"/>
      <c r="R74" s="62"/>
      <c r="S74" s="62"/>
      <c r="T74" s="62"/>
      <c r="U74" s="62"/>
      <c r="V74" s="62"/>
      <c r="W74" s="62"/>
    </row>
    <row r="75" ht="15.75" customHeight="1">
      <c r="D75" s="104"/>
      <c r="E75" s="104"/>
      <c r="F75" s="105"/>
      <c r="G75" s="104"/>
      <c r="J75" s="133"/>
      <c r="P75" s="62"/>
      <c r="Q75" s="62"/>
      <c r="R75" s="62"/>
      <c r="S75" s="62"/>
      <c r="T75" s="62"/>
      <c r="U75" s="62"/>
      <c r="V75" s="62"/>
      <c r="W75" s="62"/>
    </row>
    <row r="76" ht="15.75" customHeight="1">
      <c r="D76" s="104"/>
      <c r="E76" s="104"/>
      <c r="F76" s="105"/>
      <c r="G76" s="104"/>
      <c r="J76" s="133"/>
      <c r="P76" s="62"/>
      <c r="Q76" s="62"/>
      <c r="R76" s="62"/>
      <c r="S76" s="62"/>
      <c r="T76" s="62"/>
      <c r="U76" s="62"/>
      <c r="V76" s="62"/>
      <c r="W76" s="62"/>
    </row>
    <row r="77" ht="15.75" customHeight="1">
      <c r="D77" s="104"/>
      <c r="E77" s="104"/>
      <c r="F77" s="105"/>
      <c r="G77" s="104"/>
      <c r="J77" s="133"/>
      <c r="P77" s="62"/>
      <c r="Q77" s="62"/>
      <c r="R77" s="62"/>
      <c r="S77" s="62"/>
      <c r="T77" s="62"/>
      <c r="U77" s="62"/>
      <c r="V77" s="62"/>
      <c r="W77" s="62"/>
    </row>
    <row r="78" ht="15.75" customHeight="1">
      <c r="D78" s="104"/>
      <c r="E78" s="104"/>
      <c r="F78" s="105"/>
      <c r="G78" s="104"/>
      <c r="J78" s="133"/>
      <c r="P78" s="62"/>
      <c r="Q78" s="62"/>
      <c r="R78" s="62"/>
      <c r="S78" s="62"/>
      <c r="T78" s="62"/>
      <c r="U78" s="62"/>
      <c r="V78" s="62"/>
      <c r="W78" s="62"/>
    </row>
    <row r="79" ht="15.75" customHeight="1">
      <c r="D79" s="104"/>
      <c r="E79" s="104"/>
      <c r="F79" s="105"/>
      <c r="G79" s="104"/>
      <c r="J79" s="133"/>
      <c r="P79" s="62"/>
      <c r="Q79" s="62"/>
      <c r="R79" s="62"/>
      <c r="S79" s="62"/>
      <c r="T79" s="62"/>
      <c r="U79" s="62"/>
      <c r="V79" s="62"/>
      <c r="W79" s="62"/>
    </row>
    <row r="80" ht="15.75" customHeight="1">
      <c r="D80" s="104"/>
      <c r="E80" s="104"/>
      <c r="F80" s="105"/>
      <c r="G80" s="104"/>
      <c r="J80" s="133"/>
      <c r="P80" s="62"/>
      <c r="Q80" s="62"/>
      <c r="R80" s="62"/>
      <c r="S80" s="62"/>
      <c r="T80" s="62"/>
      <c r="U80" s="62"/>
      <c r="V80" s="62"/>
      <c r="W80" s="62"/>
    </row>
    <row r="81" ht="15.75" customHeight="1">
      <c r="D81" s="104"/>
      <c r="E81" s="104"/>
      <c r="F81" s="105"/>
      <c r="G81" s="104"/>
      <c r="J81" s="133"/>
      <c r="P81" s="62"/>
      <c r="Q81" s="62"/>
      <c r="R81" s="62"/>
      <c r="S81" s="62"/>
      <c r="T81" s="62"/>
      <c r="U81" s="62"/>
      <c r="V81" s="62"/>
      <c r="W81" s="62"/>
    </row>
    <row r="82" ht="15.75" customHeight="1">
      <c r="D82" s="104"/>
      <c r="E82" s="104"/>
      <c r="F82" s="105"/>
      <c r="G82" s="104"/>
      <c r="J82" s="133"/>
      <c r="P82" s="62"/>
      <c r="Q82" s="62"/>
      <c r="R82" s="62"/>
      <c r="S82" s="62"/>
      <c r="T82" s="62"/>
      <c r="U82" s="62"/>
      <c r="V82" s="62"/>
      <c r="W82" s="62"/>
    </row>
    <row r="83" ht="15.75" customHeight="1">
      <c r="D83" s="104"/>
      <c r="E83" s="104"/>
      <c r="F83" s="105"/>
      <c r="G83" s="104"/>
      <c r="J83" s="133"/>
      <c r="P83" s="62"/>
      <c r="Q83" s="62"/>
      <c r="R83" s="62"/>
      <c r="S83" s="62"/>
      <c r="T83" s="62"/>
      <c r="U83" s="62"/>
      <c r="V83" s="62"/>
      <c r="W83" s="62"/>
    </row>
    <row r="84" ht="15.75" customHeight="1">
      <c r="D84" s="104"/>
      <c r="E84" s="104"/>
      <c r="F84" s="105"/>
      <c r="G84" s="104"/>
      <c r="J84" s="133"/>
      <c r="P84" s="62"/>
      <c r="Q84" s="62"/>
      <c r="R84" s="62"/>
      <c r="S84" s="62"/>
      <c r="T84" s="62"/>
      <c r="U84" s="62"/>
      <c r="V84" s="62"/>
      <c r="W84" s="62"/>
    </row>
    <row r="85" ht="15.75" customHeight="1">
      <c r="D85" s="104"/>
      <c r="E85" s="104"/>
      <c r="F85" s="105"/>
      <c r="G85" s="104"/>
      <c r="J85" s="133"/>
      <c r="P85" s="62"/>
      <c r="Q85" s="62"/>
      <c r="R85" s="62"/>
      <c r="S85" s="62"/>
      <c r="T85" s="62"/>
      <c r="U85" s="62"/>
      <c r="V85" s="62"/>
      <c r="W85" s="62"/>
    </row>
    <row r="86" ht="15.75" customHeight="1">
      <c r="D86" s="104"/>
      <c r="E86" s="104"/>
      <c r="F86" s="105"/>
      <c r="G86" s="104"/>
      <c r="J86" s="133"/>
      <c r="P86" s="62"/>
      <c r="Q86" s="62"/>
      <c r="R86" s="62"/>
      <c r="S86" s="62"/>
      <c r="T86" s="62"/>
      <c r="U86" s="62"/>
      <c r="V86" s="62"/>
      <c r="W86" s="62"/>
    </row>
    <row r="87" ht="15.75" customHeight="1">
      <c r="D87" s="104"/>
      <c r="E87" s="104"/>
      <c r="F87" s="105"/>
      <c r="G87" s="104"/>
      <c r="J87" s="133"/>
      <c r="P87" s="62"/>
      <c r="Q87" s="62"/>
      <c r="R87" s="62"/>
      <c r="S87" s="62"/>
      <c r="T87" s="62"/>
      <c r="U87" s="62"/>
      <c r="V87" s="62"/>
      <c r="W87" s="62"/>
    </row>
    <row r="88" ht="15.75" customHeight="1">
      <c r="D88" s="104"/>
      <c r="E88" s="104"/>
      <c r="F88" s="105"/>
      <c r="G88" s="104"/>
      <c r="J88" s="133"/>
      <c r="P88" s="62"/>
      <c r="Q88" s="62"/>
      <c r="R88" s="62"/>
      <c r="S88" s="62"/>
      <c r="T88" s="62"/>
      <c r="U88" s="62"/>
      <c r="V88" s="62"/>
      <c r="W88" s="62"/>
    </row>
    <row r="89" ht="15.75" customHeight="1">
      <c r="D89" s="104"/>
      <c r="E89" s="104"/>
      <c r="F89" s="105"/>
      <c r="G89" s="104"/>
      <c r="J89" s="133"/>
      <c r="P89" s="62"/>
      <c r="Q89" s="62"/>
      <c r="R89" s="62"/>
      <c r="S89" s="62"/>
      <c r="T89" s="62"/>
      <c r="U89" s="62"/>
      <c r="V89" s="62"/>
      <c r="W89" s="62"/>
    </row>
    <row r="90" ht="15.75" customHeight="1">
      <c r="D90" s="104"/>
      <c r="E90" s="104"/>
      <c r="F90" s="105"/>
      <c r="G90" s="104"/>
      <c r="J90" s="133"/>
      <c r="P90" s="62"/>
      <c r="Q90" s="62"/>
      <c r="R90" s="62"/>
      <c r="S90" s="62"/>
      <c r="T90" s="62"/>
      <c r="U90" s="62"/>
      <c r="V90" s="62"/>
      <c r="W90" s="62"/>
    </row>
    <row r="91" ht="15.75" customHeight="1">
      <c r="D91" s="104"/>
      <c r="E91" s="104"/>
      <c r="F91" s="105"/>
      <c r="G91" s="104"/>
      <c r="J91" s="133"/>
      <c r="P91" s="62"/>
      <c r="Q91" s="62"/>
      <c r="R91" s="62"/>
      <c r="S91" s="62"/>
      <c r="T91" s="62"/>
      <c r="U91" s="62"/>
      <c r="V91" s="62"/>
      <c r="W91" s="62"/>
    </row>
    <row r="92" ht="15.75" customHeight="1">
      <c r="D92" s="104"/>
      <c r="E92" s="104"/>
      <c r="F92" s="105"/>
      <c r="G92" s="104"/>
      <c r="J92" s="133"/>
      <c r="P92" s="62"/>
      <c r="Q92" s="62"/>
      <c r="R92" s="62"/>
      <c r="S92" s="62"/>
      <c r="T92" s="62"/>
      <c r="U92" s="62"/>
      <c r="V92" s="62"/>
      <c r="W92" s="62"/>
    </row>
    <row r="93" ht="15.75" customHeight="1">
      <c r="D93" s="104"/>
      <c r="E93" s="104"/>
      <c r="F93" s="105"/>
      <c r="G93" s="104"/>
      <c r="J93" s="133"/>
      <c r="P93" s="62"/>
      <c r="Q93" s="62"/>
      <c r="R93" s="62"/>
      <c r="S93" s="62"/>
      <c r="T93" s="62"/>
      <c r="U93" s="62"/>
      <c r="V93" s="62"/>
      <c r="W93" s="62"/>
    </row>
    <row r="94" ht="15.75" customHeight="1">
      <c r="D94" s="104"/>
      <c r="E94" s="104"/>
      <c r="F94" s="105"/>
      <c r="G94" s="104"/>
      <c r="J94" s="133"/>
      <c r="P94" s="62"/>
      <c r="Q94" s="62"/>
      <c r="R94" s="62"/>
      <c r="S94" s="62"/>
      <c r="T94" s="62"/>
      <c r="U94" s="62"/>
      <c r="V94" s="62"/>
      <c r="W94" s="62"/>
    </row>
    <row r="95" ht="15.75" customHeight="1">
      <c r="D95" s="104"/>
      <c r="E95" s="104"/>
      <c r="F95" s="105"/>
      <c r="G95" s="104"/>
      <c r="J95" s="133"/>
      <c r="P95" s="62"/>
      <c r="Q95" s="62"/>
      <c r="R95" s="62"/>
      <c r="S95" s="62"/>
      <c r="T95" s="62"/>
      <c r="U95" s="62"/>
      <c r="V95" s="62"/>
      <c r="W95" s="62"/>
    </row>
    <row r="96" ht="15.75" customHeight="1">
      <c r="D96" s="104"/>
      <c r="E96" s="104"/>
      <c r="F96" s="105"/>
      <c r="G96" s="104"/>
      <c r="J96" s="133"/>
      <c r="P96" s="62"/>
      <c r="Q96" s="62"/>
      <c r="R96" s="62"/>
      <c r="S96" s="62"/>
      <c r="T96" s="62"/>
      <c r="U96" s="62"/>
      <c r="V96" s="62"/>
      <c r="W96" s="62"/>
    </row>
    <row r="97" ht="15.75" customHeight="1">
      <c r="D97" s="104"/>
      <c r="E97" s="104"/>
      <c r="F97" s="105"/>
      <c r="G97" s="104"/>
      <c r="J97" s="133"/>
      <c r="P97" s="62"/>
      <c r="Q97" s="62"/>
      <c r="R97" s="62"/>
      <c r="S97" s="62"/>
      <c r="T97" s="62"/>
      <c r="U97" s="62"/>
      <c r="V97" s="62"/>
      <c r="W97" s="62"/>
    </row>
    <row r="98" ht="15.75" customHeight="1">
      <c r="D98" s="104"/>
      <c r="E98" s="104"/>
      <c r="F98" s="105"/>
      <c r="G98" s="104"/>
      <c r="J98" s="133"/>
      <c r="P98" s="62"/>
      <c r="Q98" s="62"/>
      <c r="R98" s="62"/>
      <c r="S98" s="62"/>
      <c r="T98" s="62"/>
      <c r="U98" s="62"/>
      <c r="V98" s="62"/>
      <c r="W98" s="62"/>
    </row>
    <row r="99" ht="15.75" customHeight="1">
      <c r="D99" s="104"/>
      <c r="E99" s="104"/>
      <c r="F99" s="105"/>
      <c r="G99" s="104"/>
      <c r="J99" s="133"/>
      <c r="P99" s="62"/>
      <c r="Q99" s="62"/>
      <c r="R99" s="62"/>
      <c r="S99" s="62"/>
      <c r="T99" s="62"/>
      <c r="U99" s="62"/>
      <c r="V99" s="62"/>
      <c r="W99" s="62"/>
    </row>
    <row r="100" ht="15.75" customHeight="1">
      <c r="D100" s="104"/>
      <c r="E100" s="104"/>
      <c r="F100" s="105"/>
      <c r="G100" s="104"/>
      <c r="J100" s="133"/>
      <c r="P100" s="62"/>
      <c r="Q100" s="62"/>
      <c r="R100" s="62"/>
      <c r="S100" s="62"/>
      <c r="T100" s="62"/>
      <c r="U100" s="62"/>
      <c r="V100" s="62"/>
      <c r="W100" s="62"/>
    </row>
    <row r="101" ht="15.75" customHeight="1">
      <c r="D101" s="104"/>
      <c r="E101" s="104"/>
      <c r="F101" s="105"/>
      <c r="G101" s="104"/>
      <c r="J101" s="133"/>
      <c r="P101" s="62"/>
      <c r="Q101" s="62"/>
      <c r="R101" s="62"/>
      <c r="S101" s="62"/>
      <c r="T101" s="62"/>
      <c r="U101" s="62"/>
      <c r="V101" s="62"/>
      <c r="W101" s="62"/>
    </row>
    <row r="102" ht="15.75" customHeight="1">
      <c r="D102" s="104"/>
      <c r="E102" s="104"/>
      <c r="F102" s="105"/>
      <c r="G102" s="104"/>
      <c r="J102" s="133"/>
      <c r="P102" s="62"/>
      <c r="Q102" s="62"/>
      <c r="R102" s="62"/>
      <c r="S102" s="62"/>
      <c r="T102" s="62"/>
      <c r="U102" s="62"/>
      <c r="V102" s="62"/>
      <c r="W102" s="62"/>
    </row>
    <row r="103" ht="15.75" customHeight="1">
      <c r="D103" s="104"/>
      <c r="E103" s="104"/>
      <c r="F103" s="105"/>
      <c r="G103" s="104"/>
      <c r="J103" s="133"/>
      <c r="P103" s="62"/>
      <c r="Q103" s="62"/>
      <c r="R103" s="62"/>
      <c r="S103" s="62"/>
      <c r="T103" s="62"/>
      <c r="U103" s="62"/>
      <c r="V103" s="62"/>
      <c r="W103" s="62"/>
    </row>
    <row r="104" ht="15.75" customHeight="1">
      <c r="D104" s="104"/>
      <c r="E104" s="104"/>
      <c r="F104" s="105"/>
      <c r="G104" s="104"/>
      <c r="J104" s="133"/>
      <c r="P104" s="62"/>
      <c r="Q104" s="62"/>
      <c r="R104" s="62"/>
      <c r="S104" s="62"/>
      <c r="T104" s="62"/>
      <c r="U104" s="62"/>
      <c r="V104" s="62"/>
      <c r="W104" s="62"/>
    </row>
    <row r="105" ht="15.75" customHeight="1">
      <c r="D105" s="104"/>
      <c r="E105" s="104"/>
      <c r="F105" s="105"/>
      <c r="G105" s="104"/>
      <c r="J105" s="133"/>
      <c r="P105" s="62"/>
      <c r="Q105" s="62"/>
      <c r="R105" s="62"/>
      <c r="S105" s="62"/>
      <c r="T105" s="62"/>
      <c r="U105" s="62"/>
      <c r="V105" s="62"/>
      <c r="W105" s="62"/>
    </row>
    <row r="106" ht="15.75" customHeight="1">
      <c r="D106" s="104"/>
      <c r="E106" s="104"/>
      <c r="F106" s="105"/>
      <c r="G106" s="104"/>
      <c r="J106" s="133"/>
      <c r="P106" s="62"/>
      <c r="Q106" s="62"/>
      <c r="R106" s="62"/>
      <c r="S106" s="62"/>
      <c r="T106" s="62"/>
      <c r="U106" s="62"/>
      <c r="V106" s="62"/>
      <c r="W106" s="62"/>
    </row>
    <row r="107" ht="15.75" customHeight="1">
      <c r="D107" s="104"/>
      <c r="E107" s="104"/>
      <c r="F107" s="105"/>
      <c r="G107" s="104"/>
      <c r="J107" s="133"/>
      <c r="P107" s="62"/>
      <c r="Q107" s="62"/>
      <c r="R107" s="62"/>
      <c r="S107" s="62"/>
      <c r="T107" s="62"/>
      <c r="U107" s="62"/>
      <c r="V107" s="62"/>
      <c r="W107" s="62"/>
    </row>
    <row r="108" ht="15.75" customHeight="1">
      <c r="D108" s="104"/>
      <c r="E108" s="104"/>
      <c r="F108" s="105"/>
      <c r="G108" s="104"/>
      <c r="J108" s="133"/>
      <c r="P108" s="62"/>
      <c r="Q108" s="62"/>
      <c r="R108" s="62"/>
      <c r="S108" s="62"/>
      <c r="T108" s="62"/>
      <c r="U108" s="62"/>
      <c r="V108" s="62"/>
      <c r="W108" s="62"/>
    </row>
    <row r="109" ht="15.75" customHeight="1">
      <c r="D109" s="104"/>
      <c r="E109" s="104"/>
      <c r="F109" s="105"/>
      <c r="G109" s="104"/>
      <c r="J109" s="133"/>
      <c r="P109" s="62"/>
      <c r="Q109" s="62"/>
      <c r="R109" s="62"/>
      <c r="S109" s="62"/>
      <c r="T109" s="62"/>
      <c r="U109" s="62"/>
      <c r="V109" s="62"/>
      <c r="W109" s="62"/>
    </row>
    <row r="110" ht="15.75" customHeight="1">
      <c r="D110" s="104"/>
      <c r="E110" s="104"/>
      <c r="F110" s="105"/>
      <c r="G110" s="104"/>
      <c r="J110" s="133"/>
      <c r="P110" s="62"/>
      <c r="Q110" s="62"/>
      <c r="R110" s="62"/>
      <c r="S110" s="62"/>
      <c r="T110" s="62"/>
      <c r="U110" s="62"/>
      <c r="V110" s="62"/>
      <c r="W110" s="62"/>
    </row>
    <row r="111" ht="15.75" customHeight="1">
      <c r="D111" s="104"/>
      <c r="E111" s="104"/>
      <c r="F111" s="105"/>
      <c r="G111" s="104"/>
      <c r="J111" s="133"/>
      <c r="P111" s="62"/>
      <c r="Q111" s="62"/>
      <c r="R111" s="62"/>
      <c r="S111" s="62"/>
      <c r="T111" s="62"/>
      <c r="U111" s="62"/>
      <c r="V111" s="62"/>
      <c r="W111" s="62"/>
    </row>
    <row r="112" ht="15.75" customHeight="1">
      <c r="D112" s="104"/>
      <c r="E112" s="104"/>
      <c r="F112" s="105"/>
      <c r="G112" s="104"/>
      <c r="J112" s="133"/>
      <c r="P112" s="62"/>
      <c r="Q112" s="62"/>
      <c r="R112" s="62"/>
      <c r="S112" s="62"/>
      <c r="T112" s="62"/>
      <c r="U112" s="62"/>
      <c r="V112" s="62"/>
      <c r="W112" s="62"/>
    </row>
    <row r="113" ht="15.75" customHeight="1">
      <c r="D113" s="104"/>
      <c r="E113" s="104"/>
      <c r="F113" s="105"/>
      <c r="G113" s="104"/>
      <c r="J113" s="133"/>
      <c r="P113" s="62"/>
      <c r="Q113" s="62"/>
      <c r="R113" s="62"/>
      <c r="S113" s="62"/>
      <c r="T113" s="62"/>
      <c r="U113" s="62"/>
      <c r="V113" s="62"/>
      <c r="W113" s="62"/>
    </row>
    <row r="114" ht="15.75" customHeight="1">
      <c r="D114" s="104"/>
      <c r="E114" s="104"/>
      <c r="F114" s="105"/>
      <c r="G114" s="104"/>
      <c r="J114" s="133"/>
      <c r="P114" s="62"/>
      <c r="Q114" s="62"/>
      <c r="R114" s="62"/>
      <c r="S114" s="62"/>
      <c r="T114" s="62"/>
      <c r="U114" s="62"/>
      <c r="V114" s="62"/>
      <c r="W114" s="62"/>
    </row>
    <row r="115" ht="15.75" customHeight="1">
      <c r="D115" s="104"/>
      <c r="E115" s="104"/>
      <c r="F115" s="105"/>
      <c r="G115" s="104"/>
      <c r="J115" s="133"/>
      <c r="P115" s="62"/>
      <c r="Q115" s="62"/>
      <c r="R115" s="62"/>
      <c r="S115" s="62"/>
      <c r="T115" s="62"/>
      <c r="U115" s="62"/>
      <c r="V115" s="62"/>
      <c r="W115" s="62"/>
    </row>
    <row r="116" ht="15.75" customHeight="1">
      <c r="D116" s="104"/>
      <c r="E116" s="104"/>
      <c r="F116" s="105"/>
      <c r="G116" s="104"/>
      <c r="J116" s="133"/>
      <c r="P116" s="62"/>
      <c r="Q116" s="62"/>
      <c r="R116" s="62"/>
      <c r="S116" s="62"/>
      <c r="T116" s="62"/>
      <c r="U116" s="62"/>
      <c r="V116" s="62"/>
      <c r="W116" s="62"/>
    </row>
    <row r="117" ht="15.75" customHeight="1">
      <c r="D117" s="104"/>
      <c r="E117" s="104"/>
      <c r="F117" s="105"/>
      <c r="G117" s="104"/>
      <c r="J117" s="133"/>
      <c r="P117" s="62"/>
      <c r="Q117" s="62"/>
      <c r="R117" s="62"/>
      <c r="S117" s="62"/>
      <c r="T117" s="62"/>
      <c r="U117" s="62"/>
      <c r="V117" s="62"/>
      <c r="W117" s="62"/>
    </row>
    <row r="118" ht="15.75" customHeight="1">
      <c r="D118" s="104"/>
      <c r="E118" s="104"/>
      <c r="F118" s="105"/>
      <c r="G118" s="104"/>
      <c r="J118" s="133"/>
      <c r="P118" s="62"/>
      <c r="Q118" s="62"/>
      <c r="R118" s="62"/>
      <c r="S118" s="62"/>
      <c r="T118" s="62"/>
      <c r="U118" s="62"/>
      <c r="V118" s="62"/>
      <c r="W118" s="62"/>
    </row>
    <row r="119" ht="15.75" customHeight="1">
      <c r="D119" s="104"/>
      <c r="E119" s="104"/>
      <c r="F119" s="105"/>
      <c r="G119" s="104"/>
      <c r="J119" s="133"/>
      <c r="P119" s="62"/>
      <c r="Q119" s="62"/>
      <c r="R119" s="62"/>
      <c r="S119" s="62"/>
      <c r="T119" s="62"/>
      <c r="U119" s="62"/>
      <c r="V119" s="62"/>
      <c r="W119" s="62"/>
    </row>
    <row r="120" ht="15.75" customHeight="1">
      <c r="D120" s="104"/>
      <c r="E120" s="104"/>
      <c r="F120" s="105"/>
      <c r="G120" s="104"/>
      <c r="J120" s="133"/>
      <c r="P120" s="62"/>
      <c r="Q120" s="62"/>
      <c r="R120" s="62"/>
      <c r="S120" s="62"/>
      <c r="T120" s="62"/>
      <c r="U120" s="62"/>
      <c r="V120" s="62"/>
      <c r="W120" s="62"/>
    </row>
    <row r="121" ht="15.75" customHeight="1">
      <c r="D121" s="104"/>
      <c r="E121" s="104"/>
      <c r="F121" s="105"/>
      <c r="G121" s="104"/>
      <c r="J121" s="133"/>
      <c r="P121" s="62"/>
      <c r="Q121" s="62"/>
      <c r="R121" s="62"/>
      <c r="S121" s="62"/>
      <c r="T121" s="62"/>
      <c r="U121" s="62"/>
      <c r="V121" s="62"/>
      <c r="W121" s="62"/>
    </row>
    <row r="122" ht="15.75" customHeight="1">
      <c r="D122" s="104"/>
      <c r="E122" s="104"/>
      <c r="F122" s="105"/>
      <c r="G122" s="104"/>
      <c r="J122" s="133"/>
      <c r="P122" s="62"/>
      <c r="Q122" s="62"/>
      <c r="R122" s="62"/>
      <c r="S122" s="62"/>
      <c r="T122" s="62"/>
      <c r="U122" s="62"/>
      <c r="V122" s="62"/>
      <c r="W122" s="62"/>
    </row>
    <row r="123" ht="15.75" customHeight="1">
      <c r="D123" s="104"/>
      <c r="E123" s="104"/>
      <c r="F123" s="105"/>
      <c r="G123" s="104"/>
      <c r="J123" s="133"/>
      <c r="P123" s="62"/>
      <c r="Q123" s="62"/>
      <c r="R123" s="62"/>
      <c r="S123" s="62"/>
      <c r="T123" s="62"/>
      <c r="U123" s="62"/>
      <c r="V123" s="62"/>
      <c r="W123" s="62"/>
    </row>
    <row r="124" ht="15.75" customHeight="1">
      <c r="D124" s="104"/>
      <c r="E124" s="104"/>
      <c r="F124" s="105"/>
      <c r="G124" s="104"/>
      <c r="J124" s="133"/>
      <c r="P124" s="62"/>
      <c r="Q124" s="62"/>
      <c r="R124" s="62"/>
      <c r="S124" s="62"/>
      <c r="T124" s="62"/>
      <c r="U124" s="62"/>
      <c r="V124" s="62"/>
      <c r="W124" s="62"/>
    </row>
    <row r="125" ht="15.75" customHeight="1">
      <c r="D125" s="104"/>
      <c r="E125" s="104"/>
      <c r="F125" s="105"/>
      <c r="G125" s="104"/>
      <c r="J125" s="133"/>
      <c r="P125" s="62"/>
      <c r="Q125" s="62"/>
      <c r="R125" s="62"/>
      <c r="S125" s="62"/>
      <c r="T125" s="62"/>
      <c r="U125" s="62"/>
      <c r="V125" s="62"/>
      <c r="W125" s="62"/>
    </row>
    <row r="126" ht="15.75" customHeight="1">
      <c r="D126" s="104"/>
      <c r="E126" s="104"/>
      <c r="F126" s="105"/>
      <c r="G126" s="104"/>
      <c r="J126" s="133"/>
      <c r="P126" s="62"/>
      <c r="Q126" s="62"/>
      <c r="R126" s="62"/>
      <c r="S126" s="62"/>
      <c r="T126" s="62"/>
      <c r="U126" s="62"/>
      <c r="V126" s="62"/>
      <c r="W126" s="62"/>
    </row>
    <row r="127" ht="15.75" customHeight="1">
      <c r="D127" s="104"/>
      <c r="E127" s="104"/>
      <c r="F127" s="105"/>
      <c r="G127" s="104"/>
      <c r="J127" s="133"/>
      <c r="P127" s="62"/>
      <c r="Q127" s="62"/>
      <c r="R127" s="62"/>
      <c r="S127" s="62"/>
      <c r="T127" s="62"/>
      <c r="U127" s="62"/>
      <c r="V127" s="62"/>
      <c r="W127" s="62"/>
    </row>
    <row r="128" ht="15.75" customHeight="1">
      <c r="D128" s="104"/>
      <c r="E128" s="104"/>
      <c r="F128" s="105"/>
      <c r="G128" s="104"/>
      <c r="J128" s="133"/>
      <c r="P128" s="62"/>
      <c r="Q128" s="62"/>
      <c r="R128" s="62"/>
      <c r="S128" s="62"/>
      <c r="T128" s="62"/>
      <c r="U128" s="62"/>
      <c r="V128" s="62"/>
      <c r="W128" s="62"/>
    </row>
    <row r="129" ht="15.75" customHeight="1">
      <c r="D129" s="104"/>
      <c r="E129" s="104"/>
      <c r="F129" s="105"/>
      <c r="G129" s="104"/>
      <c r="J129" s="133"/>
      <c r="P129" s="62"/>
      <c r="Q129" s="62"/>
      <c r="R129" s="62"/>
      <c r="S129" s="62"/>
      <c r="T129" s="62"/>
      <c r="U129" s="62"/>
      <c r="V129" s="62"/>
      <c r="W129" s="62"/>
    </row>
    <row r="130" ht="15.75" customHeight="1">
      <c r="D130" s="104"/>
      <c r="E130" s="104"/>
      <c r="F130" s="105"/>
      <c r="G130" s="104"/>
      <c r="J130" s="133"/>
      <c r="P130" s="62"/>
      <c r="Q130" s="62"/>
      <c r="R130" s="62"/>
      <c r="S130" s="62"/>
      <c r="T130" s="62"/>
      <c r="U130" s="62"/>
      <c r="V130" s="62"/>
      <c r="W130" s="62"/>
    </row>
    <row r="131" ht="15.75" customHeight="1">
      <c r="D131" s="104"/>
      <c r="E131" s="104"/>
      <c r="F131" s="105"/>
      <c r="G131" s="104"/>
      <c r="J131" s="133"/>
      <c r="P131" s="62"/>
      <c r="Q131" s="62"/>
      <c r="R131" s="62"/>
      <c r="S131" s="62"/>
      <c r="T131" s="62"/>
      <c r="U131" s="62"/>
      <c r="V131" s="62"/>
      <c r="W131" s="62"/>
    </row>
    <row r="132" ht="15.75" customHeight="1">
      <c r="D132" s="104"/>
      <c r="E132" s="104"/>
      <c r="F132" s="105"/>
      <c r="G132" s="104"/>
      <c r="J132" s="133"/>
      <c r="P132" s="62"/>
      <c r="Q132" s="62"/>
      <c r="R132" s="62"/>
      <c r="S132" s="62"/>
      <c r="T132" s="62"/>
      <c r="U132" s="62"/>
      <c r="V132" s="62"/>
      <c r="W132" s="62"/>
    </row>
    <row r="133" ht="15.75" customHeight="1">
      <c r="D133" s="104"/>
      <c r="E133" s="104"/>
      <c r="F133" s="105"/>
      <c r="G133" s="104"/>
      <c r="J133" s="133"/>
      <c r="P133" s="62"/>
      <c r="Q133" s="62"/>
      <c r="R133" s="62"/>
      <c r="S133" s="62"/>
      <c r="T133" s="62"/>
      <c r="U133" s="62"/>
      <c r="V133" s="62"/>
      <c r="W133" s="62"/>
    </row>
    <row r="134" ht="15.75" customHeight="1">
      <c r="D134" s="104"/>
      <c r="E134" s="104"/>
      <c r="F134" s="105"/>
      <c r="G134" s="104"/>
      <c r="J134" s="133"/>
      <c r="P134" s="62"/>
      <c r="Q134" s="62"/>
      <c r="R134" s="62"/>
      <c r="S134" s="62"/>
      <c r="T134" s="62"/>
      <c r="U134" s="62"/>
      <c r="V134" s="62"/>
      <c r="W134" s="62"/>
    </row>
    <row r="135" ht="15.75" customHeight="1">
      <c r="D135" s="104"/>
      <c r="E135" s="104"/>
      <c r="F135" s="105"/>
      <c r="G135" s="104"/>
      <c r="J135" s="133"/>
      <c r="P135" s="62"/>
      <c r="Q135" s="62"/>
      <c r="R135" s="62"/>
      <c r="S135" s="62"/>
      <c r="T135" s="62"/>
      <c r="U135" s="62"/>
      <c r="V135" s="62"/>
      <c r="W135" s="62"/>
    </row>
    <row r="136" ht="15.75" customHeight="1">
      <c r="D136" s="104"/>
      <c r="E136" s="104"/>
      <c r="F136" s="105"/>
      <c r="G136" s="104"/>
      <c r="J136" s="133"/>
      <c r="P136" s="62"/>
      <c r="Q136" s="62"/>
      <c r="R136" s="62"/>
      <c r="S136" s="62"/>
      <c r="T136" s="62"/>
      <c r="U136" s="62"/>
      <c r="V136" s="62"/>
      <c r="W136" s="62"/>
    </row>
    <row r="137" ht="15.75" customHeight="1">
      <c r="D137" s="104"/>
      <c r="E137" s="104"/>
      <c r="F137" s="105"/>
      <c r="G137" s="104"/>
      <c r="J137" s="133"/>
      <c r="P137" s="62"/>
      <c r="Q137" s="62"/>
      <c r="R137" s="62"/>
      <c r="S137" s="62"/>
      <c r="T137" s="62"/>
      <c r="U137" s="62"/>
      <c r="V137" s="62"/>
      <c r="W137" s="62"/>
    </row>
    <row r="138" ht="15.75" customHeight="1">
      <c r="D138" s="104"/>
      <c r="E138" s="104"/>
      <c r="F138" s="105"/>
      <c r="G138" s="104"/>
      <c r="J138" s="133"/>
      <c r="P138" s="62"/>
      <c r="Q138" s="62"/>
      <c r="R138" s="62"/>
      <c r="S138" s="62"/>
      <c r="T138" s="62"/>
      <c r="U138" s="62"/>
      <c r="V138" s="62"/>
      <c r="W138" s="62"/>
    </row>
    <row r="139" ht="15.75" customHeight="1">
      <c r="D139" s="104"/>
      <c r="E139" s="104"/>
      <c r="F139" s="105"/>
      <c r="G139" s="104"/>
      <c r="J139" s="133"/>
      <c r="P139" s="62"/>
      <c r="Q139" s="62"/>
      <c r="R139" s="62"/>
      <c r="S139" s="62"/>
      <c r="T139" s="62"/>
      <c r="U139" s="62"/>
      <c r="V139" s="62"/>
      <c r="W139" s="62"/>
    </row>
    <row r="140" ht="15.75" customHeight="1">
      <c r="D140" s="104"/>
      <c r="E140" s="104"/>
      <c r="F140" s="105"/>
      <c r="G140" s="104"/>
      <c r="J140" s="133"/>
      <c r="P140" s="62"/>
      <c r="Q140" s="62"/>
      <c r="R140" s="62"/>
      <c r="S140" s="62"/>
      <c r="T140" s="62"/>
      <c r="U140" s="62"/>
      <c r="V140" s="62"/>
      <c r="W140" s="62"/>
    </row>
    <row r="141" ht="15.75" customHeight="1">
      <c r="D141" s="104"/>
      <c r="E141" s="104"/>
      <c r="F141" s="105"/>
      <c r="G141" s="104"/>
      <c r="J141" s="133"/>
      <c r="P141" s="62"/>
      <c r="Q141" s="62"/>
      <c r="R141" s="62"/>
      <c r="S141" s="62"/>
      <c r="T141" s="62"/>
      <c r="U141" s="62"/>
      <c r="V141" s="62"/>
      <c r="W141" s="62"/>
    </row>
    <row r="142" ht="15.75" customHeight="1">
      <c r="D142" s="104"/>
      <c r="E142" s="104"/>
      <c r="F142" s="105"/>
      <c r="G142" s="104"/>
      <c r="J142" s="133"/>
      <c r="P142" s="62"/>
      <c r="Q142" s="62"/>
      <c r="R142" s="62"/>
      <c r="S142" s="62"/>
      <c r="T142" s="62"/>
      <c r="U142" s="62"/>
      <c r="V142" s="62"/>
      <c r="W142" s="62"/>
    </row>
    <row r="143" ht="15.75" customHeight="1">
      <c r="D143" s="104"/>
      <c r="E143" s="104"/>
      <c r="F143" s="105"/>
      <c r="G143" s="104"/>
      <c r="J143" s="133"/>
      <c r="P143" s="62"/>
      <c r="Q143" s="62"/>
      <c r="R143" s="62"/>
      <c r="S143" s="62"/>
      <c r="T143" s="62"/>
      <c r="U143" s="62"/>
      <c r="V143" s="62"/>
      <c r="W143" s="62"/>
    </row>
    <row r="144" ht="15.75" customHeight="1">
      <c r="D144" s="104"/>
      <c r="E144" s="104"/>
      <c r="F144" s="105"/>
      <c r="G144" s="104"/>
      <c r="J144" s="133"/>
      <c r="P144" s="62"/>
      <c r="Q144" s="62"/>
      <c r="R144" s="62"/>
      <c r="S144" s="62"/>
      <c r="T144" s="62"/>
      <c r="U144" s="62"/>
      <c r="V144" s="62"/>
      <c r="W144" s="62"/>
    </row>
    <row r="145" ht="15.75" customHeight="1">
      <c r="D145" s="104"/>
      <c r="E145" s="104"/>
      <c r="F145" s="105"/>
      <c r="G145" s="104"/>
      <c r="J145" s="133"/>
      <c r="P145" s="62"/>
      <c r="Q145" s="62"/>
      <c r="R145" s="62"/>
      <c r="S145" s="62"/>
      <c r="T145" s="62"/>
      <c r="U145" s="62"/>
      <c r="V145" s="62"/>
      <c r="W145" s="62"/>
    </row>
    <row r="146" ht="15.75" customHeight="1">
      <c r="D146" s="104"/>
      <c r="E146" s="104"/>
      <c r="F146" s="105"/>
      <c r="G146" s="104"/>
      <c r="J146" s="133"/>
      <c r="P146" s="62"/>
      <c r="Q146" s="62"/>
      <c r="R146" s="62"/>
      <c r="S146" s="62"/>
      <c r="T146" s="62"/>
      <c r="U146" s="62"/>
      <c r="V146" s="62"/>
      <c r="W146" s="62"/>
    </row>
    <row r="147" ht="15.75" customHeight="1">
      <c r="D147" s="104"/>
      <c r="E147" s="104"/>
      <c r="F147" s="105"/>
      <c r="G147" s="104"/>
      <c r="J147" s="133"/>
      <c r="P147" s="62"/>
      <c r="Q147" s="62"/>
      <c r="R147" s="62"/>
      <c r="S147" s="62"/>
      <c r="T147" s="62"/>
      <c r="U147" s="62"/>
      <c r="V147" s="62"/>
      <c r="W147" s="62"/>
    </row>
    <row r="148" ht="15.75" customHeight="1">
      <c r="D148" s="104"/>
      <c r="E148" s="104"/>
      <c r="F148" s="105"/>
      <c r="G148" s="104"/>
      <c r="J148" s="133"/>
      <c r="P148" s="62"/>
      <c r="Q148" s="62"/>
      <c r="R148" s="62"/>
      <c r="S148" s="62"/>
      <c r="T148" s="62"/>
      <c r="U148" s="62"/>
      <c r="V148" s="62"/>
      <c r="W148" s="62"/>
    </row>
    <row r="149" ht="15.75" customHeight="1">
      <c r="D149" s="104"/>
      <c r="E149" s="104"/>
      <c r="F149" s="105"/>
      <c r="G149" s="104"/>
      <c r="J149" s="133"/>
      <c r="P149" s="62"/>
      <c r="Q149" s="62"/>
      <c r="R149" s="62"/>
      <c r="S149" s="62"/>
      <c r="T149" s="62"/>
      <c r="U149" s="62"/>
      <c r="V149" s="62"/>
      <c r="W149" s="62"/>
    </row>
    <row r="150" ht="15.75" customHeight="1">
      <c r="D150" s="104"/>
      <c r="E150" s="104"/>
      <c r="F150" s="105"/>
      <c r="G150" s="104"/>
      <c r="J150" s="133"/>
      <c r="P150" s="62"/>
      <c r="Q150" s="62"/>
      <c r="R150" s="62"/>
      <c r="S150" s="62"/>
      <c r="T150" s="62"/>
      <c r="U150" s="62"/>
      <c r="V150" s="62"/>
      <c r="W150" s="62"/>
    </row>
    <row r="151" ht="15.75" customHeight="1">
      <c r="D151" s="104"/>
      <c r="E151" s="104"/>
      <c r="F151" s="105"/>
      <c r="G151" s="104"/>
      <c r="J151" s="133"/>
      <c r="P151" s="62"/>
      <c r="Q151" s="62"/>
      <c r="R151" s="62"/>
      <c r="S151" s="62"/>
      <c r="T151" s="62"/>
      <c r="U151" s="62"/>
      <c r="V151" s="62"/>
      <c r="W151" s="62"/>
    </row>
    <row r="152" ht="15.75" customHeight="1">
      <c r="D152" s="104"/>
      <c r="E152" s="104"/>
      <c r="F152" s="105"/>
      <c r="G152" s="104"/>
      <c r="J152" s="133"/>
      <c r="P152" s="62"/>
      <c r="Q152" s="62"/>
      <c r="R152" s="62"/>
      <c r="S152" s="62"/>
      <c r="T152" s="62"/>
      <c r="U152" s="62"/>
      <c r="V152" s="62"/>
      <c r="W152" s="62"/>
    </row>
    <row r="153" ht="15.75" customHeight="1">
      <c r="D153" s="104"/>
      <c r="E153" s="104"/>
      <c r="F153" s="105"/>
      <c r="G153" s="104"/>
      <c r="J153" s="133"/>
      <c r="P153" s="62"/>
      <c r="Q153" s="62"/>
      <c r="R153" s="62"/>
      <c r="S153" s="62"/>
      <c r="T153" s="62"/>
      <c r="U153" s="62"/>
      <c r="V153" s="62"/>
      <c r="W153" s="62"/>
    </row>
    <row r="154" ht="15.75" customHeight="1">
      <c r="D154" s="104"/>
      <c r="E154" s="104"/>
      <c r="F154" s="105"/>
      <c r="G154" s="104"/>
      <c r="J154" s="133"/>
      <c r="P154" s="62"/>
      <c r="Q154" s="62"/>
      <c r="R154" s="62"/>
      <c r="S154" s="62"/>
      <c r="T154" s="62"/>
      <c r="U154" s="62"/>
      <c r="V154" s="62"/>
      <c r="W154" s="62"/>
    </row>
    <row r="155" ht="15.75" customHeight="1">
      <c r="D155" s="104"/>
      <c r="E155" s="104"/>
      <c r="F155" s="105"/>
      <c r="G155" s="104"/>
      <c r="J155" s="133"/>
      <c r="P155" s="62"/>
      <c r="Q155" s="62"/>
      <c r="R155" s="62"/>
      <c r="S155" s="62"/>
      <c r="T155" s="62"/>
      <c r="U155" s="62"/>
      <c r="V155" s="62"/>
      <c r="W155" s="62"/>
    </row>
    <row r="156" ht="15.75" customHeight="1">
      <c r="D156" s="104"/>
      <c r="E156" s="104"/>
      <c r="F156" s="105"/>
      <c r="G156" s="104"/>
      <c r="J156" s="133"/>
      <c r="P156" s="62"/>
      <c r="Q156" s="62"/>
      <c r="R156" s="62"/>
      <c r="S156" s="62"/>
      <c r="T156" s="62"/>
      <c r="U156" s="62"/>
      <c r="V156" s="62"/>
      <c r="W156" s="62"/>
    </row>
    <row r="157" ht="15.75" customHeight="1">
      <c r="D157" s="104"/>
      <c r="E157" s="104"/>
      <c r="F157" s="105"/>
      <c r="G157" s="104"/>
      <c r="J157" s="133"/>
      <c r="P157" s="62"/>
      <c r="Q157" s="62"/>
      <c r="R157" s="62"/>
      <c r="S157" s="62"/>
      <c r="T157" s="62"/>
      <c r="U157" s="62"/>
      <c r="V157" s="62"/>
      <c r="W157" s="62"/>
    </row>
    <row r="158" ht="15.75" customHeight="1">
      <c r="D158" s="104"/>
      <c r="E158" s="104"/>
      <c r="F158" s="105"/>
      <c r="G158" s="104"/>
      <c r="J158" s="133"/>
      <c r="P158" s="62"/>
      <c r="Q158" s="62"/>
      <c r="R158" s="62"/>
      <c r="S158" s="62"/>
      <c r="T158" s="62"/>
      <c r="U158" s="62"/>
      <c r="V158" s="62"/>
      <c r="W158" s="62"/>
    </row>
    <row r="159" ht="15.75" customHeight="1">
      <c r="D159" s="104"/>
      <c r="E159" s="104"/>
      <c r="F159" s="105"/>
      <c r="G159" s="104"/>
      <c r="J159" s="133"/>
      <c r="P159" s="62"/>
      <c r="Q159" s="62"/>
      <c r="R159" s="62"/>
      <c r="S159" s="62"/>
      <c r="T159" s="62"/>
      <c r="U159" s="62"/>
      <c r="V159" s="62"/>
      <c r="W159" s="62"/>
    </row>
    <row r="160" ht="15.75" customHeight="1">
      <c r="D160" s="104"/>
      <c r="E160" s="104"/>
      <c r="F160" s="105"/>
      <c r="G160" s="104"/>
      <c r="J160" s="133"/>
      <c r="P160" s="62"/>
      <c r="Q160" s="62"/>
      <c r="R160" s="62"/>
      <c r="S160" s="62"/>
      <c r="T160" s="62"/>
      <c r="U160" s="62"/>
      <c r="V160" s="62"/>
      <c r="W160" s="62"/>
    </row>
    <row r="161" ht="15.75" customHeight="1">
      <c r="D161" s="104"/>
      <c r="E161" s="104"/>
      <c r="F161" s="105"/>
      <c r="G161" s="104"/>
      <c r="J161" s="133"/>
      <c r="P161" s="62"/>
      <c r="Q161" s="62"/>
      <c r="R161" s="62"/>
      <c r="S161" s="62"/>
      <c r="T161" s="62"/>
      <c r="U161" s="62"/>
      <c r="V161" s="62"/>
      <c r="W161" s="62"/>
    </row>
    <row r="162" ht="15.75" customHeight="1">
      <c r="D162" s="104"/>
      <c r="E162" s="104"/>
      <c r="F162" s="105"/>
      <c r="G162" s="104"/>
      <c r="J162" s="133"/>
      <c r="P162" s="62"/>
      <c r="Q162" s="62"/>
      <c r="R162" s="62"/>
      <c r="S162" s="62"/>
      <c r="T162" s="62"/>
      <c r="U162" s="62"/>
      <c r="V162" s="62"/>
      <c r="W162" s="62"/>
    </row>
    <row r="163" ht="15.75" customHeight="1">
      <c r="D163" s="104"/>
      <c r="E163" s="104"/>
      <c r="F163" s="105"/>
      <c r="G163" s="104"/>
      <c r="J163" s="133"/>
      <c r="P163" s="62"/>
      <c r="Q163" s="62"/>
      <c r="R163" s="62"/>
      <c r="S163" s="62"/>
      <c r="T163" s="62"/>
      <c r="U163" s="62"/>
      <c r="V163" s="62"/>
      <c r="W163" s="62"/>
    </row>
    <row r="164" ht="15.75" customHeight="1">
      <c r="D164" s="104"/>
      <c r="E164" s="104"/>
      <c r="F164" s="105"/>
      <c r="G164" s="104"/>
      <c r="J164" s="133"/>
      <c r="P164" s="62"/>
      <c r="Q164" s="62"/>
      <c r="R164" s="62"/>
      <c r="S164" s="62"/>
      <c r="T164" s="62"/>
      <c r="U164" s="62"/>
      <c r="V164" s="62"/>
      <c r="W164" s="62"/>
    </row>
    <row r="165" ht="15.75" customHeight="1">
      <c r="D165" s="104"/>
      <c r="E165" s="104"/>
      <c r="F165" s="105"/>
      <c r="G165" s="104"/>
      <c r="J165" s="133"/>
      <c r="P165" s="62"/>
      <c r="Q165" s="62"/>
      <c r="R165" s="62"/>
      <c r="S165" s="62"/>
      <c r="T165" s="62"/>
      <c r="U165" s="62"/>
      <c r="V165" s="62"/>
      <c r="W165" s="62"/>
    </row>
    <row r="166" ht="15.75" customHeight="1">
      <c r="D166" s="104"/>
      <c r="E166" s="104"/>
      <c r="F166" s="105"/>
      <c r="G166" s="104"/>
      <c r="J166" s="133"/>
      <c r="P166" s="62"/>
      <c r="Q166" s="62"/>
      <c r="R166" s="62"/>
      <c r="S166" s="62"/>
      <c r="T166" s="62"/>
      <c r="U166" s="62"/>
      <c r="V166" s="62"/>
      <c r="W166" s="62"/>
    </row>
    <row r="167" ht="15.75" customHeight="1">
      <c r="D167" s="104"/>
      <c r="E167" s="104"/>
      <c r="F167" s="105"/>
      <c r="G167" s="104"/>
      <c r="J167" s="133"/>
      <c r="P167" s="62"/>
      <c r="Q167" s="62"/>
      <c r="R167" s="62"/>
      <c r="S167" s="62"/>
      <c r="T167" s="62"/>
      <c r="U167" s="62"/>
      <c r="V167" s="62"/>
      <c r="W167" s="62"/>
    </row>
    <row r="168" ht="15.75" customHeight="1">
      <c r="D168" s="104"/>
      <c r="E168" s="104"/>
      <c r="F168" s="105"/>
      <c r="G168" s="104"/>
      <c r="J168" s="133"/>
      <c r="P168" s="62"/>
      <c r="Q168" s="62"/>
      <c r="R168" s="62"/>
      <c r="S168" s="62"/>
      <c r="T168" s="62"/>
      <c r="U168" s="62"/>
      <c r="V168" s="62"/>
      <c r="W168" s="62"/>
    </row>
    <row r="169" ht="15.75" customHeight="1">
      <c r="D169" s="104"/>
      <c r="E169" s="104"/>
      <c r="F169" s="105"/>
      <c r="G169" s="104"/>
      <c r="J169" s="133"/>
      <c r="P169" s="62"/>
      <c r="Q169" s="62"/>
      <c r="R169" s="62"/>
      <c r="S169" s="62"/>
      <c r="T169" s="62"/>
      <c r="U169" s="62"/>
      <c r="V169" s="62"/>
      <c r="W169" s="62"/>
    </row>
    <row r="170" ht="15.75" customHeight="1">
      <c r="D170" s="104"/>
      <c r="E170" s="104"/>
      <c r="F170" s="105"/>
      <c r="G170" s="104"/>
      <c r="J170" s="133"/>
      <c r="P170" s="62"/>
      <c r="Q170" s="62"/>
      <c r="R170" s="62"/>
      <c r="S170" s="62"/>
      <c r="T170" s="62"/>
      <c r="U170" s="62"/>
      <c r="V170" s="62"/>
      <c r="W170" s="62"/>
    </row>
    <row r="171" ht="15.75" customHeight="1">
      <c r="D171" s="104"/>
      <c r="E171" s="104"/>
      <c r="F171" s="105"/>
      <c r="G171" s="104"/>
      <c r="J171" s="133"/>
      <c r="P171" s="62"/>
      <c r="Q171" s="62"/>
      <c r="R171" s="62"/>
      <c r="S171" s="62"/>
      <c r="T171" s="62"/>
      <c r="U171" s="62"/>
      <c r="V171" s="62"/>
      <c r="W171" s="62"/>
    </row>
    <row r="172" ht="15.75" customHeight="1">
      <c r="D172" s="104"/>
      <c r="E172" s="104"/>
      <c r="F172" s="105"/>
      <c r="G172" s="104"/>
      <c r="J172" s="133"/>
      <c r="P172" s="62"/>
      <c r="Q172" s="62"/>
      <c r="R172" s="62"/>
      <c r="S172" s="62"/>
      <c r="T172" s="62"/>
      <c r="U172" s="62"/>
      <c r="V172" s="62"/>
      <c r="W172" s="62"/>
    </row>
    <row r="173" ht="15.75" customHeight="1">
      <c r="D173" s="104"/>
      <c r="E173" s="104"/>
      <c r="F173" s="105"/>
      <c r="G173" s="104"/>
      <c r="J173" s="133"/>
      <c r="P173" s="62"/>
      <c r="Q173" s="62"/>
      <c r="R173" s="62"/>
      <c r="S173" s="62"/>
      <c r="T173" s="62"/>
      <c r="U173" s="62"/>
      <c r="V173" s="62"/>
      <c r="W173" s="62"/>
    </row>
    <row r="174" ht="15.75" customHeight="1">
      <c r="D174" s="104"/>
      <c r="E174" s="104"/>
      <c r="F174" s="105"/>
      <c r="G174" s="104"/>
      <c r="J174" s="133"/>
      <c r="P174" s="62"/>
      <c r="Q174" s="62"/>
      <c r="R174" s="62"/>
      <c r="S174" s="62"/>
      <c r="T174" s="62"/>
      <c r="U174" s="62"/>
      <c r="V174" s="62"/>
      <c r="W174" s="62"/>
    </row>
    <row r="175" ht="15.75" customHeight="1">
      <c r="D175" s="104"/>
      <c r="E175" s="104"/>
      <c r="F175" s="105"/>
      <c r="G175" s="104"/>
      <c r="J175" s="133"/>
      <c r="P175" s="62"/>
      <c r="Q175" s="62"/>
      <c r="R175" s="62"/>
      <c r="S175" s="62"/>
      <c r="T175" s="62"/>
      <c r="U175" s="62"/>
      <c r="V175" s="62"/>
      <c r="W175" s="62"/>
    </row>
    <row r="176" ht="15.75" customHeight="1">
      <c r="D176" s="104"/>
      <c r="E176" s="104"/>
      <c r="F176" s="105"/>
      <c r="G176" s="104"/>
      <c r="J176" s="133"/>
      <c r="P176" s="62"/>
      <c r="Q176" s="62"/>
      <c r="R176" s="62"/>
      <c r="S176" s="62"/>
      <c r="T176" s="62"/>
      <c r="U176" s="62"/>
      <c r="V176" s="62"/>
      <c r="W176" s="62"/>
    </row>
    <row r="177" ht="15.75" customHeight="1">
      <c r="D177" s="104"/>
      <c r="E177" s="104"/>
      <c r="F177" s="105"/>
      <c r="G177" s="104"/>
      <c r="J177" s="133"/>
      <c r="P177" s="62"/>
      <c r="Q177" s="62"/>
      <c r="R177" s="62"/>
      <c r="S177" s="62"/>
      <c r="T177" s="62"/>
      <c r="U177" s="62"/>
      <c r="V177" s="62"/>
      <c r="W177" s="62"/>
    </row>
    <row r="178" ht="15.75" customHeight="1">
      <c r="D178" s="104"/>
      <c r="E178" s="104"/>
      <c r="F178" s="105"/>
      <c r="G178" s="104"/>
      <c r="J178" s="133"/>
      <c r="P178" s="62"/>
      <c r="Q178" s="62"/>
      <c r="R178" s="62"/>
      <c r="S178" s="62"/>
      <c r="T178" s="62"/>
      <c r="U178" s="62"/>
      <c r="V178" s="62"/>
      <c r="W178" s="62"/>
    </row>
    <row r="179" ht="15.75" customHeight="1">
      <c r="D179" s="104"/>
      <c r="E179" s="104"/>
      <c r="F179" s="105"/>
      <c r="G179" s="104"/>
      <c r="J179" s="133"/>
      <c r="P179" s="62"/>
      <c r="Q179" s="62"/>
      <c r="R179" s="62"/>
      <c r="S179" s="62"/>
      <c r="T179" s="62"/>
      <c r="U179" s="62"/>
      <c r="V179" s="62"/>
      <c r="W179" s="62"/>
    </row>
    <row r="180" ht="15.75" customHeight="1">
      <c r="D180" s="104"/>
      <c r="E180" s="104"/>
      <c r="F180" s="105"/>
      <c r="G180" s="104"/>
      <c r="J180" s="133"/>
      <c r="P180" s="62"/>
      <c r="Q180" s="62"/>
      <c r="R180" s="62"/>
      <c r="S180" s="62"/>
      <c r="T180" s="62"/>
      <c r="U180" s="62"/>
      <c r="V180" s="62"/>
      <c r="W180" s="62"/>
    </row>
    <row r="181" ht="15.75" customHeight="1">
      <c r="D181" s="104"/>
      <c r="E181" s="104"/>
      <c r="F181" s="105"/>
      <c r="G181" s="104"/>
      <c r="J181" s="133"/>
      <c r="P181" s="62"/>
      <c r="Q181" s="62"/>
      <c r="R181" s="62"/>
      <c r="S181" s="62"/>
      <c r="T181" s="62"/>
      <c r="U181" s="62"/>
      <c r="V181" s="62"/>
      <c r="W181" s="62"/>
    </row>
    <row r="182" ht="15.75" customHeight="1">
      <c r="D182" s="104"/>
      <c r="E182" s="104"/>
      <c r="F182" s="105"/>
      <c r="G182" s="104"/>
      <c r="J182" s="133"/>
      <c r="P182" s="62"/>
      <c r="Q182" s="62"/>
      <c r="R182" s="62"/>
      <c r="S182" s="62"/>
      <c r="T182" s="62"/>
      <c r="U182" s="62"/>
      <c r="V182" s="62"/>
      <c r="W182" s="62"/>
    </row>
    <row r="183" ht="15.75" customHeight="1">
      <c r="D183" s="104"/>
      <c r="E183" s="104"/>
      <c r="F183" s="105"/>
      <c r="G183" s="104"/>
      <c r="J183" s="133"/>
      <c r="P183" s="62"/>
      <c r="Q183" s="62"/>
      <c r="R183" s="62"/>
      <c r="S183" s="62"/>
      <c r="T183" s="62"/>
      <c r="U183" s="62"/>
      <c r="V183" s="62"/>
      <c r="W183" s="62"/>
    </row>
    <row r="184" ht="15.75" customHeight="1">
      <c r="D184" s="104"/>
      <c r="E184" s="104"/>
      <c r="F184" s="105"/>
      <c r="G184" s="104"/>
      <c r="J184" s="133"/>
      <c r="P184" s="62"/>
      <c r="Q184" s="62"/>
      <c r="R184" s="62"/>
      <c r="S184" s="62"/>
      <c r="T184" s="62"/>
      <c r="U184" s="62"/>
      <c r="V184" s="62"/>
      <c r="W184" s="62"/>
    </row>
    <row r="185" ht="15.75" customHeight="1">
      <c r="D185" s="104"/>
      <c r="E185" s="104"/>
      <c r="F185" s="105"/>
      <c r="G185" s="104"/>
      <c r="J185" s="133"/>
      <c r="P185" s="62"/>
      <c r="Q185" s="62"/>
      <c r="R185" s="62"/>
      <c r="S185" s="62"/>
      <c r="T185" s="62"/>
      <c r="U185" s="62"/>
      <c r="V185" s="62"/>
      <c r="W185" s="62"/>
    </row>
    <row r="186" ht="15.75" customHeight="1">
      <c r="D186" s="104"/>
      <c r="E186" s="104"/>
      <c r="F186" s="105"/>
      <c r="G186" s="104"/>
      <c r="J186" s="133"/>
      <c r="P186" s="62"/>
      <c r="Q186" s="62"/>
      <c r="R186" s="62"/>
      <c r="S186" s="62"/>
      <c r="T186" s="62"/>
      <c r="U186" s="62"/>
      <c r="V186" s="62"/>
      <c r="W186" s="62"/>
    </row>
    <row r="187" ht="15.75" customHeight="1">
      <c r="D187" s="104"/>
      <c r="E187" s="104"/>
      <c r="F187" s="105"/>
      <c r="G187" s="104"/>
      <c r="J187" s="133"/>
      <c r="P187" s="62"/>
      <c r="Q187" s="62"/>
      <c r="R187" s="62"/>
      <c r="S187" s="62"/>
      <c r="T187" s="62"/>
      <c r="U187" s="62"/>
      <c r="V187" s="62"/>
      <c r="W187" s="62"/>
    </row>
    <row r="188" ht="15.75" customHeight="1">
      <c r="D188" s="104"/>
      <c r="E188" s="104"/>
      <c r="F188" s="105"/>
      <c r="G188" s="104"/>
      <c r="J188" s="133"/>
      <c r="P188" s="62"/>
      <c r="Q188" s="62"/>
      <c r="R188" s="62"/>
      <c r="S188" s="62"/>
      <c r="T188" s="62"/>
      <c r="U188" s="62"/>
      <c r="V188" s="62"/>
      <c r="W188" s="62"/>
    </row>
    <row r="189" ht="15.75" customHeight="1">
      <c r="D189" s="104"/>
      <c r="E189" s="104"/>
      <c r="F189" s="105"/>
      <c r="G189" s="104"/>
      <c r="J189" s="133"/>
      <c r="P189" s="62"/>
      <c r="Q189" s="62"/>
      <c r="R189" s="62"/>
      <c r="S189" s="62"/>
      <c r="T189" s="62"/>
      <c r="U189" s="62"/>
      <c r="V189" s="62"/>
      <c r="W189" s="62"/>
    </row>
    <row r="190" ht="15.75" customHeight="1">
      <c r="D190" s="104"/>
      <c r="E190" s="104"/>
      <c r="F190" s="105"/>
      <c r="G190" s="104"/>
      <c r="J190" s="133"/>
      <c r="P190" s="62"/>
      <c r="Q190" s="62"/>
      <c r="R190" s="62"/>
      <c r="S190" s="62"/>
      <c r="T190" s="62"/>
      <c r="U190" s="62"/>
      <c r="V190" s="62"/>
      <c r="W190" s="62"/>
    </row>
    <row r="191" ht="15.75" customHeight="1">
      <c r="D191" s="104"/>
      <c r="E191" s="104"/>
      <c r="F191" s="105"/>
      <c r="G191" s="104"/>
      <c r="J191" s="133"/>
      <c r="P191" s="62"/>
      <c r="Q191" s="62"/>
      <c r="R191" s="62"/>
      <c r="S191" s="62"/>
      <c r="T191" s="62"/>
      <c r="U191" s="62"/>
      <c r="V191" s="62"/>
      <c r="W191" s="62"/>
    </row>
    <row r="192" ht="15.75" customHeight="1">
      <c r="D192" s="104"/>
      <c r="E192" s="104"/>
      <c r="F192" s="105"/>
      <c r="G192" s="104"/>
      <c r="J192" s="133"/>
      <c r="P192" s="62"/>
      <c r="Q192" s="62"/>
      <c r="R192" s="62"/>
      <c r="S192" s="62"/>
      <c r="T192" s="62"/>
      <c r="U192" s="62"/>
      <c r="V192" s="62"/>
      <c r="W192" s="62"/>
    </row>
    <row r="193" ht="15.75" customHeight="1">
      <c r="D193" s="104"/>
      <c r="E193" s="104"/>
      <c r="F193" s="105"/>
      <c r="G193" s="104"/>
      <c r="J193" s="133"/>
      <c r="P193" s="62"/>
      <c r="Q193" s="62"/>
      <c r="R193" s="62"/>
      <c r="S193" s="62"/>
      <c r="T193" s="62"/>
      <c r="U193" s="62"/>
      <c r="V193" s="62"/>
      <c r="W193" s="62"/>
    </row>
    <row r="194" ht="15.75" customHeight="1">
      <c r="D194" s="104"/>
      <c r="E194" s="104"/>
      <c r="F194" s="105"/>
      <c r="G194" s="104"/>
      <c r="J194" s="133"/>
      <c r="P194" s="62"/>
      <c r="Q194" s="62"/>
      <c r="R194" s="62"/>
      <c r="S194" s="62"/>
      <c r="T194" s="62"/>
      <c r="U194" s="62"/>
      <c r="V194" s="62"/>
      <c r="W194" s="62"/>
    </row>
    <row r="195" ht="15.75" customHeight="1">
      <c r="D195" s="104"/>
      <c r="E195" s="104"/>
      <c r="F195" s="105"/>
      <c r="G195" s="104"/>
      <c r="J195" s="133"/>
      <c r="P195" s="62"/>
      <c r="Q195" s="62"/>
      <c r="R195" s="62"/>
      <c r="S195" s="62"/>
      <c r="T195" s="62"/>
      <c r="U195" s="62"/>
      <c r="V195" s="62"/>
      <c r="W195" s="62"/>
    </row>
    <row r="196" ht="15.75" customHeight="1">
      <c r="D196" s="104"/>
      <c r="E196" s="104"/>
      <c r="F196" s="105"/>
      <c r="G196" s="104"/>
      <c r="J196" s="133"/>
      <c r="P196" s="62"/>
      <c r="Q196" s="62"/>
      <c r="R196" s="62"/>
      <c r="S196" s="62"/>
      <c r="T196" s="62"/>
      <c r="U196" s="62"/>
      <c r="V196" s="62"/>
      <c r="W196" s="62"/>
    </row>
    <row r="197" ht="15.75" customHeight="1">
      <c r="D197" s="104"/>
      <c r="E197" s="104"/>
      <c r="F197" s="105"/>
      <c r="G197" s="104"/>
      <c r="J197" s="133"/>
      <c r="P197" s="62"/>
      <c r="Q197" s="62"/>
      <c r="R197" s="62"/>
      <c r="S197" s="62"/>
      <c r="T197" s="62"/>
      <c r="U197" s="62"/>
      <c r="V197" s="62"/>
      <c r="W197" s="62"/>
    </row>
    <row r="198" ht="15.75" customHeight="1">
      <c r="D198" s="104"/>
      <c r="E198" s="104"/>
      <c r="F198" s="105"/>
      <c r="G198" s="104"/>
      <c r="J198" s="133"/>
      <c r="P198" s="62"/>
      <c r="Q198" s="62"/>
      <c r="R198" s="62"/>
      <c r="S198" s="62"/>
      <c r="T198" s="62"/>
      <c r="U198" s="62"/>
      <c r="V198" s="62"/>
      <c r="W198" s="62"/>
    </row>
    <row r="199" ht="15.75" customHeight="1">
      <c r="D199" s="104"/>
      <c r="E199" s="104"/>
      <c r="F199" s="105"/>
      <c r="G199" s="104"/>
      <c r="J199" s="133"/>
      <c r="P199" s="62"/>
      <c r="Q199" s="62"/>
      <c r="R199" s="62"/>
      <c r="S199" s="62"/>
      <c r="T199" s="62"/>
      <c r="U199" s="62"/>
      <c r="V199" s="62"/>
      <c r="W199" s="62"/>
    </row>
    <row r="200" ht="15.75" customHeight="1">
      <c r="D200" s="104"/>
      <c r="E200" s="104"/>
      <c r="F200" s="105"/>
      <c r="G200" s="104"/>
      <c r="J200" s="133"/>
      <c r="P200" s="62"/>
      <c r="Q200" s="62"/>
      <c r="R200" s="62"/>
      <c r="S200" s="62"/>
      <c r="T200" s="62"/>
      <c r="U200" s="62"/>
      <c r="V200" s="62"/>
      <c r="W200" s="62"/>
    </row>
    <row r="201" ht="15.75" customHeight="1">
      <c r="D201" s="104"/>
      <c r="E201" s="104"/>
      <c r="F201" s="105"/>
      <c r="G201" s="104"/>
      <c r="J201" s="133"/>
      <c r="P201" s="62"/>
      <c r="Q201" s="62"/>
      <c r="R201" s="62"/>
      <c r="S201" s="62"/>
      <c r="T201" s="62"/>
      <c r="U201" s="62"/>
      <c r="V201" s="62"/>
      <c r="W201" s="62"/>
    </row>
    <row r="202" ht="15.75" customHeight="1">
      <c r="D202" s="104"/>
      <c r="E202" s="104"/>
      <c r="F202" s="105"/>
      <c r="G202" s="104"/>
      <c r="J202" s="133"/>
      <c r="P202" s="62"/>
      <c r="Q202" s="62"/>
      <c r="R202" s="62"/>
      <c r="S202" s="62"/>
      <c r="T202" s="62"/>
      <c r="U202" s="62"/>
      <c r="V202" s="62"/>
      <c r="W202" s="62"/>
    </row>
    <row r="203" ht="15.75" customHeight="1">
      <c r="D203" s="104"/>
      <c r="E203" s="104"/>
      <c r="F203" s="105"/>
      <c r="G203" s="104"/>
      <c r="J203" s="133"/>
      <c r="P203" s="62"/>
      <c r="Q203" s="62"/>
      <c r="R203" s="62"/>
      <c r="S203" s="62"/>
      <c r="T203" s="62"/>
      <c r="U203" s="62"/>
      <c r="V203" s="62"/>
      <c r="W203" s="62"/>
    </row>
    <row r="204" ht="15.75" customHeight="1">
      <c r="D204" s="104"/>
      <c r="E204" s="104"/>
      <c r="F204" s="105"/>
      <c r="G204" s="104"/>
      <c r="J204" s="133"/>
      <c r="P204" s="62"/>
      <c r="Q204" s="62"/>
      <c r="R204" s="62"/>
      <c r="S204" s="62"/>
      <c r="T204" s="62"/>
      <c r="U204" s="62"/>
      <c r="V204" s="62"/>
      <c r="W204" s="62"/>
    </row>
    <row r="205" ht="15.75" customHeight="1">
      <c r="D205" s="104"/>
      <c r="E205" s="104"/>
      <c r="F205" s="105"/>
      <c r="G205" s="104"/>
      <c r="J205" s="133"/>
      <c r="P205" s="62"/>
      <c r="Q205" s="62"/>
      <c r="R205" s="62"/>
      <c r="S205" s="62"/>
      <c r="T205" s="62"/>
      <c r="U205" s="62"/>
      <c r="V205" s="62"/>
      <c r="W205" s="62"/>
    </row>
    <row r="206" ht="15.75" customHeight="1">
      <c r="D206" s="104"/>
      <c r="E206" s="104"/>
      <c r="F206" s="105"/>
      <c r="G206" s="104"/>
      <c r="J206" s="133"/>
      <c r="P206" s="62"/>
      <c r="Q206" s="62"/>
      <c r="R206" s="62"/>
      <c r="S206" s="62"/>
      <c r="T206" s="62"/>
      <c r="U206" s="62"/>
      <c r="V206" s="62"/>
      <c r="W206" s="62"/>
    </row>
    <row r="207" ht="15.75" customHeight="1">
      <c r="D207" s="104"/>
      <c r="E207" s="104"/>
      <c r="F207" s="105"/>
      <c r="G207" s="104"/>
      <c r="J207" s="133"/>
      <c r="P207" s="62"/>
      <c r="Q207" s="62"/>
      <c r="R207" s="62"/>
      <c r="S207" s="62"/>
      <c r="T207" s="62"/>
      <c r="U207" s="62"/>
      <c r="V207" s="62"/>
      <c r="W207" s="62"/>
    </row>
    <row r="208" ht="15.75" customHeight="1">
      <c r="D208" s="104"/>
      <c r="E208" s="104"/>
      <c r="F208" s="105"/>
      <c r="G208" s="104"/>
      <c r="J208" s="133"/>
      <c r="P208" s="62"/>
      <c r="Q208" s="62"/>
      <c r="R208" s="62"/>
      <c r="S208" s="62"/>
      <c r="T208" s="62"/>
      <c r="U208" s="62"/>
      <c r="V208" s="62"/>
      <c r="W208" s="62"/>
    </row>
    <row r="209" ht="15.75" customHeight="1">
      <c r="D209" s="104"/>
      <c r="E209" s="104"/>
      <c r="F209" s="105"/>
      <c r="G209" s="104"/>
      <c r="J209" s="133"/>
      <c r="P209" s="62"/>
      <c r="Q209" s="62"/>
      <c r="R209" s="62"/>
      <c r="S209" s="62"/>
      <c r="T209" s="62"/>
      <c r="U209" s="62"/>
      <c r="V209" s="62"/>
      <c r="W209" s="62"/>
    </row>
    <row r="210" ht="15.75" customHeight="1">
      <c r="D210" s="104"/>
      <c r="E210" s="104"/>
      <c r="F210" s="105"/>
      <c r="G210" s="104"/>
      <c r="J210" s="133"/>
      <c r="P210" s="62"/>
      <c r="Q210" s="62"/>
      <c r="R210" s="62"/>
      <c r="S210" s="62"/>
      <c r="T210" s="62"/>
      <c r="U210" s="62"/>
      <c r="V210" s="62"/>
      <c r="W210" s="62"/>
    </row>
    <row r="211" ht="15.75" customHeight="1">
      <c r="D211" s="104"/>
      <c r="E211" s="104"/>
      <c r="F211" s="105"/>
      <c r="G211" s="104"/>
      <c r="J211" s="133"/>
      <c r="P211" s="62"/>
      <c r="Q211" s="62"/>
      <c r="R211" s="62"/>
      <c r="S211" s="62"/>
      <c r="T211" s="62"/>
      <c r="U211" s="62"/>
      <c r="V211" s="62"/>
      <c r="W211" s="62"/>
    </row>
    <row r="212" ht="15.75" customHeight="1">
      <c r="D212" s="104"/>
      <c r="E212" s="104"/>
      <c r="F212" s="105"/>
      <c r="G212" s="104"/>
      <c r="J212" s="133"/>
      <c r="P212" s="62"/>
      <c r="Q212" s="62"/>
      <c r="R212" s="62"/>
      <c r="S212" s="62"/>
      <c r="T212" s="62"/>
      <c r="U212" s="62"/>
      <c r="V212" s="62"/>
      <c r="W212" s="62"/>
    </row>
    <row r="213" ht="15.75" customHeight="1">
      <c r="D213" s="104"/>
      <c r="E213" s="104"/>
      <c r="F213" s="105"/>
      <c r="G213" s="104"/>
      <c r="J213" s="133"/>
      <c r="P213" s="62"/>
      <c r="Q213" s="62"/>
      <c r="R213" s="62"/>
      <c r="S213" s="62"/>
      <c r="T213" s="62"/>
      <c r="U213" s="62"/>
      <c r="V213" s="62"/>
      <c r="W213" s="62"/>
    </row>
    <row r="214" ht="15.75" customHeight="1">
      <c r="D214" s="104"/>
      <c r="E214" s="104"/>
      <c r="F214" s="105"/>
      <c r="G214" s="104"/>
      <c r="J214" s="133"/>
      <c r="P214" s="62"/>
      <c r="Q214" s="62"/>
      <c r="R214" s="62"/>
      <c r="S214" s="62"/>
      <c r="T214" s="62"/>
      <c r="U214" s="62"/>
      <c r="V214" s="62"/>
      <c r="W214" s="62"/>
    </row>
    <row r="215" ht="15.75" customHeight="1">
      <c r="D215" s="104"/>
      <c r="E215" s="104"/>
      <c r="F215" s="105"/>
      <c r="G215" s="104"/>
      <c r="J215" s="133"/>
      <c r="P215" s="62"/>
      <c r="Q215" s="62"/>
      <c r="R215" s="62"/>
      <c r="S215" s="62"/>
      <c r="T215" s="62"/>
      <c r="U215" s="62"/>
      <c r="V215" s="62"/>
      <c r="W215" s="62"/>
    </row>
    <row r="216" ht="15.75" customHeight="1">
      <c r="D216" s="104"/>
      <c r="E216" s="104"/>
      <c r="F216" s="105"/>
      <c r="G216" s="104"/>
      <c r="J216" s="133"/>
      <c r="P216" s="62"/>
      <c r="Q216" s="62"/>
      <c r="R216" s="62"/>
      <c r="S216" s="62"/>
      <c r="T216" s="62"/>
      <c r="U216" s="62"/>
      <c r="V216" s="62"/>
      <c r="W216" s="62"/>
    </row>
    <row r="217" ht="15.75" customHeight="1">
      <c r="D217" s="104"/>
      <c r="E217" s="104"/>
      <c r="F217" s="105"/>
      <c r="G217" s="104"/>
      <c r="J217" s="133"/>
      <c r="P217" s="62"/>
      <c r="Q217" s="62"/>
      <c r="R217" s="62"/>
      <c r="S217" s="62"/>
      <c r="T217" s="62"/>
      <c r="U217" s="62"/>
      <c r="V217" s="62"/>
      <c r="W217" s="62"/>
    </row>
    <row r="218" ht="15.75" customHeight="1">
      <c r="D218" s="104"/>
      <c r="E218" s="104"/>
      <c r="F218" s="105"/>
      <c r="G218" s="104"/>
      <c r="J218" s="133"/>
      <c r="P218" s="62"/>
      <c r="Q218" s="62"/>
      <c r="R218" s="62"/>
      <c r="S218" s="62"/>
      <c r="T218" s="62"/>
      <c r="U218" s="62"/>
      <c r="V218" s="62"/>
      <c r="W218" s="62"/>
    </row>
    <row r="219" ht="15.75" customHeight="1">
      <c r="D219" s="104"/>
      <c r="E219" s="104"/>
      <c r="F219" s="105"/>
      <c r="G219" s="104"/>
      <c r="J219" s="133"/>
      <c r="P219" s="62"/>
      <c r="Q219" s="62"/>
      <c r="R219" s="62"/>
      <c r="S219" s="62"/>
      <c r="T219" s="62"/>
      <c r="U219" s="62"/>
      <c r="V219" s="62"/>
      <c r="W219" s="62"/>
    </row>
    <row r="220" ht="15.75" customHeight="1">
      <c r="D220" s="104"/>
      <c r="E220" s="104"/>
      <c r="F220" s="105"/>
      <c r="G220" s="104"/>
      <c r="J220" s="133"/>
      <c r="P220" s="62"/>
      <c r="Q220" s="62"/>
      <c r="R220" s="62"/>
      <c r="S220" s="62"/>
      <c r="T220" s="62"/>
      <c r="U220" s="62"/>
      <c r="V220" s="62"/>
      <c r="W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O3:P3">
    <cfRule type="expression" dxfId="0" priority="1">
      <formula>Multiply(0.06,M)</formula>
    </cfRule>
  </conditionalFormatting>
  <conditionalFormatting sqref="P6:P7">
    <cfRule type="expression" dxfId="0" priority="2">
      <formula>Multiply(0.06,M)</formula>
    </cfRule>
  </conditionalFormatting>
  <conditionalFormatting sqref="P1:P2 P4:P5 P8:P1000">
    <cfRule type="expression" dxfId="0" priority="3">
      <formula>Multiply(0.06,M)</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7.13"/>
    <col customWidth="1" min="3" max="3" width="25.88"/>
    <col customWidth="1" min="4" max="4" width="7.88"/>
    <col customWidth="1" min="5" max="5" width="7.38"/>
    <col customWidth="1" min="6" max="6" width="6.38"/>
    <col customWidth="1" min="7" max="7" width="5.38"/>
    <col customWidth="1" min="8" max="8" width="6.88"/>
    <col customWidth="1" min="9" max="9" width="5.0"/>
    <col customWidth="1" min="10" max="10" width="6.63"/>
    <col customWidth="1" min="11" max="12" width="4.75"/>
    <col customWidth="1" min="13" max="13" width="6.5"/>
    <col customWidth="1" min="14" max="14" width="7.75"/>
    <col customWidth="1" min="15" max="16" width="6.5"/>
    <col customWidth="1" min="17" max="18" width="7.25"/>
    <col customWidth="1" min="19" max="19" width="6.25"/>
    <col customWidth="1" min="21" max="21" width="10.38"/>
  </cols>
  <sheetData>
    <row r="1" ht="15.75" customHeight="1">
      <c r="A1" s="66" t="s">
        <v>539</v>
      </c>
      <c r="B1" s="66" t="s">
        <v>2</v>
      </c>
      <c r="C1" s="66" t="s">
        <v>0</v>
      </c>
      <c r="D1" s="104" t="s">
        <v>76</v>
      </c>
      <c r="E1" s="104" t="s">
        <v>4</v>
      </c>
      <c r="F1" s="105" t="s">
        <v>540</v>
      </c>
      <c r="G1" s="104" t="s">
        <v>541</v>
      </c>
      <c r="H1" s="66" t="s">
        <v>9</v>
      </c>
      <c r="I1" s="133" t="s">
        <v>10</v>
      </c>
      <c r="J1" s="66" t="s">
        <v>12</v>
      </c>
      <c r="K1" s="66" t="s">
        <v>542</v>
      </c>
      <c r="L1" s="66" t="s">
        <v>15</v>
      </c>
      <c r="M1" s="66" t="s">
        <v>11</v>
      </c>
      <c r="N1" s="62" t="s">
        <v>543</v>
      </c>
      <c r="O1" s="62" t="s">
        <v>19</v>
      </c>
      <c r="P1" s="62" t="s">
        <v>20</v>
      </c>
      <c r="Q1" s="62" t="s">
        <v>22</v>
      </c>
      <c r="R1" s="62" t="s">
        <v>23</v>
      </c>
      <c r="S1" s="62" t="s">
        <v>544</v>
      </c>
      <c r="T1" s="66" t="s">
        <v>25</v>
      </c>
      <c r="U1" s="66" t="s">
        <v>470</v>
      </c>
      <c r="V1" s="66" t="s">
        <v>545</v>
      </c>
      <c r="W1" s="66" t="s">
        <v>471</v>
      </c>
      <c r="X1" s="66" t="s">
        <v>472</v>
      </c>
      <c r="Y1" s="66" t="s">
        <v>473</v>
      </c>
      <c r="Z1" s="66" t="s">
        <v>474</v>
      </c>
      <c r="AA1" s="66" t="s">
        <v>475</v>
      </c>
      <c r="AB1" s="66" t="s">
        <v>476</v>
      </c>
      <c r="AC1" s="66" t="s">
        <v>477</v>
      </c>
      <c r="AD1" s="66" t="s">
        <v>478</v>
      </c>
      <c r="AE1" s="66" t="s">
        <v>479</v>
      </c>
      <c r="AF1" s="66" t="s">
        <v>480</v>
      </c>
      <c r="AG1" s="66" t="s">
        <v>481</v>
      </c>
      <c r="AH1" s="66" t="s">
        <v>482</v>
      </c>
      <c r="AI1" s="66" t="s">
        <v>483</v>
      </c>
      <c r="AJ1" s="66" t="s">
        <v>484</v>
      </c>
      <c r="AK1" s="66" t="s">
        <v>485</v>
      </c>
      <c r="AL1" s="66" t="s">
        <v>486</v>
      </c>
      <c r="AM1" s="66" t="s">
        <v>487</v>
      </c>
      <c r="AN1" s="66" t="s">
        <v>488</v>
      </c>
      <c r="AO1" s="66" t="s">
        <v>489</v>
      </c>
      <c r="AP1" s="66" t="s">
        <v>490</v>
      </c>
      <c r="AQ1" s="66" t="s">
        <v>491</v>
      </c>
      <c r="AR1" s="66" t="s">
        <v>492</v>
      </c>
      <c r="AS1" s="66" t="s">
        <v>493</v>
      </c>
      <c r="AT1" s="66" t="s">
        <v>494</v>
      </c>
      <c r="AU1" s="66" t="s">
        <v>495</v>
      </c>
      <c r="AV1" s="66" t="s">
        <v>496</v>
      </c>
      <c r="AW1" s="66" t="s">
        <v>497</v>
      </c>
      <c r="AX1" s="66" t="s">
        <v>498</v>
      </c>
      <c r="AY1" s="66" t="s">
        <v>499</v>
      </c>
      <c r="AZ1" s="66" t="s">
        <v>500</v>
      </c>
      <c r="BA1" s="66" t="s">
        <v>501</v>
      </c>
      <c r="BB1" s="66" t="s">
        <v>502</v>
      </c>
      <c r="BC1" s="66" t="s">
        <v>503</v>
      </c>
      <c r="BD1" s="66" t="s">
        <v>504</v>
      </c>
    </row>
    <row r="2" ht="15.75" customHeight="1">
      <c r="A2" s="66" t="s">
        <v>546</v>
      </c>
      <c r="B2" s="103">
        <v>40218.0</v>
      </c>
      <c r="C2" s="66" t="s">
        <v>547</v>
      </c>
      <c r="D2" s="104">
        <v>1.5007719E7</v>
      </c>
      <c r="E2" s="104" t="s">
        <v>96</v>
      </c>
      <c r="F2" s="105" t="s">
        <v>508</v>
      </c>
      <c r="G2" s="104">
        <v>981.0</v>
      </c>
      <c r="H2" s="66">
        <v>170000.0</v>
      </c>
      <c r="I2" s="133">
        <f t="shared" ref="I2:I55" si="1">H2/G2</f>
        <v>173.2925586</v>
      </c>
      <c r="J2" s="66">
        <v>240000.0</v>
      </c>
      <c r="K2" s="66"/>
      <c r="L2" s="66">
        <f t="shared" ref="L2:L55" si="2">J2-H2</f>
        <v>70000</v>
      </c>
      <c r="M2" s="66">
        <f t="shared" ref="M2:M7" si="3">G2*30</f>
        <v>29430</v>
      </c>
      <c r="N2" s="62">
        <f t="shared" ref="N2:N5" si="4">MULTIPLY(0.07,J2)</f>
        <v>16800</v>
      </c>
      <c r="O2" s="62"/>
      <c r="P2" s="62">
        <f t="shared" ref="P2:P55" si="5">L2-M2-N2</f>
        <v>23770</v>
      </c>
      <c r="Q2" s="62"/>
      <c r="R2" s="62">
        <f t="shared" ref="R2:R55" si="6">(J2*0.75)-M2</f>
        <v>150570</v>
      </c>
      <c r="S2" s="62">
        <f t="shared" ref="S2:S55" si="7">R2-H2</f>
        <v>-19430</v>
      </c>
      <c r="V2" s="66" t="s">
        <v>548</v>
      </c>
    </row>
    <row r="3" ht="15.75" customHeight="1">
      <c r="A3" s="66" t="s">
        <v>549</v>
      </c>
      <c r="B3" s="103">
        <v>40218.0</v>
      </c>
      <c r="C3" s="66" t="s">
        <v>550</v>
      </c>
      <c r="D3" s="104">
        <v>1.5007725E7</v>
      </c>
      <c r="E3" s="104" t="s">
        <v>96</v>
      </c>
      <c r="F3" s="105" t="s">
        <v>508</v>
      </c>
      <c r="G3" s="104">
        <v>1010.0</v>
      </c>
      <c r="H3" s="66">
        <v>98000.0</v>
      </c>
      <c r="I3" s="133">
        <f t="shared" si="1"/>
        <v>97.02970297</v>
      </c>
      <c r="J3" s="66">
        <v>175000.0</v>
      </c>
      <c r="K3" s="66"/>
      <c r="L3" s="66">
        <f t="shared" si="2"/>
        <v>77000</v>
      </c>
      <c r="M3" s="66">
        <f t="shared" si="3"/>
        <v>30300</v>
      </c>
      <c r="N3" s="62">
        <f t="shared" si="4"/>
        <v>12250</v>
      </c>
      <c r="O3" s="62"/>
      <c r="P3" s="62">
        <f t="shared" si="5"/>
        <v>34450</v>
      </c>
      <c r="Q3" s="62"/>
      <c r="R3" s="62">
        <f t="shared" si="6"/>
        <v>100950</v>
      </c>
      <c r="S3" s="62">
        <f t="shared" si="7"/>
        <v>2950</v>
      </c>
      <c r="V3" s="66" t="s">
        <v>548</v>
      </c>
    </row>
    <row r="4" ht="15.75" customHeight="1">
      <c r="A4" s="66" t="s">
        <v>551</v>
      </c>
      <c r="B4" s="103">
        <v>40218.0</v>
      </c>
      <c r="C4" s="66" t="s">
        <v>552</v>
      </c>
      <c r="D4" s="104">
        <v>1.5004101E7</v>
      </c>
      <c r="E4" s="104" t="s">
        <v>96</v>
      </c>
      <c r="F4" s="105" t="s">
        <v>507</v>
      </c>
      <c r="G4" s="104">
        <v>863.0</v>
      </c>
      <c r="H4" s="66">
        <v>85000.0</v>
      </c>
      <c r="I4" s="133">
        <f t="shared" si="1"/>
        <v>98.49362688</v>
      </c>
      <c r="J4" s="66">
        <v>155000.0</v>
      </c>
      <c r="K4" s="66"/>
      <c r="L4" s="66">
        <f t="shared" si="2"/>
        <v>70000</v>
      </c>
      <c r="M4" s="66">
        <f t="shared" si="3"/>
        <v>25890</v>
      </c>
      <c r="N4" s="62">
        <f t="shared" si="4"/>
        <v>10850</v>
      </c>
      <c r="O4" s="62"/>
      <c r="P4" s="62">
        <f t="shared" si="5"/>
        <v>33260</v>
      </c>
      <c r="Q4" s="62"/>
      <c r="R4" s="62">
        <f t="shared" si="6"/>
        <v>90360</v>
      </c>
      <c r="S4" s="62">
        <f t="shared" si="7"/>
        <v>5360</v>
      </c>
      <c r="U4" s="66" t="s">
        <v>553</v>
      </c>
      <c r="V4" s="66" t="s">
        <v>548</v>
      </c>
    </row>
    <row r="5" ht="15.75" customHeight="1">
      <c r="B5" s="103">
        <v>40218.0</v>
      </c>
      <c r="C5" s="66" t="s">
        <v>554</v>
      </c>
      <c r="D5" s="66">
        <v>1.4040747E7</v>
      </c>
      <c r="E5" s="104" t="s">
        <v>96</v>
      </c>
      <c r="F5" s="105" t="s">
        <v>514</v>
      </c>
      <c r="G5" s="104">
        <v>1787.0</v>
      </c>
      <c r="H5" s="66">
        <v>130000.0</v>
      </c>
      <c r="I5" s="133">
        <f t="shared" si="1"/>
        <v>72.74762171</v>
      </c>
      <c r="J5" s="66">
        <v>210000.0</v>
      </c>
      <c r="K5" s="66"/>
      <c r="L5" s="66">
        <f t="shared" si="2"/>
        <v>80000</v>
      </c>
      <c r="M5" s="66">
        <f t="shared" si="3"/>
        <v>53610</v>
      </c>
      <c r="N5" s="62">
        <f t="shared" si="4"/>
        <v>14700</v>
      </c>
      <c r="O5" s="62"/>
      <c r="P5" s="62">
        <f t="shared" si="5"/>
        <v>11690</v>
      </c>
      <c r="Q5" s="62"/>
      <c r="R5" s="62">
        <f t="shared" si="6"/>
        <v>103890</v>
      </c>
      <c r="S5" s="62">
        <f t="shared" si="7"/>
        <v>-26110</v>
      </c>
      <c r="U5" s="66" t="s">
        <v>555</v>
      </c>
      <c r="V5" s="66" t="s">
        <v>548</v>
      </c>
    </row>
    <row r="6" ht="15.75" customHeight="1">
      <c r="B6" s="103">
        <v>42045.0</v>
      </c>
      <c r="C6" s="66" t="s">
        <v>556</v>
      </c>
      <c r="D6" s="104"/>
      <c r="E6" s="104" t="s">
        <v>96</v>
      </c>
      <c r="F6" s="105" t="s">
        <v>557</v>
      </c>
      <c r="G6" s="104">
        <v>1218.0</v>
      </c>
      <c r="H6" s="66">
        <v>120000.0</v>
      </c>
      <c r="I6" s="133">
        <f t="shared" si="1"/>
        <v>98.52216749</v>
      </c>
      <c r="J6" s="66">
        <v>210000.0</v>
      </c>
      <c r="K6" s="66"/>
      <c r="L6" s="66">
        <f t="shared" si="2"/>
        <v>90000</v>
      </c>
      <c r="M6" s="66">
        <f t="shared" si="3"/>
        <v>36540</v>
      </c>
      <c r="N6" s="62">
        <f t="shared" ref="N6:N55" si="8">MULTIPLY(0.06,J6)</f>
        <v>12600</v>
      </c>
      <c r="O6" s="62"/>
      <c r="P6" s="62">
        <f t="shared" si="5"/>
        <v>40860</v>
      </c>
      <c r="Q6" s="62"/>
      <c r="R6" s="62">
        <f t="shared" si="6"/>
        <v>120960</v>
      </c>
      <c r="S6" s="62">
        <f t="shared" si="7"/>
        <v>960</v>
      </c>
      <c r="U6" s="66" t="s">
        <v>555</v>
      </c>
      <c r="V6" s="66" t="s">
        <v>548</v>
      </c>
    </row>
    <row r="7" ht="15.75" customHeight="1">
      <c r="B7" s="103">
        <v>42046.0</v>
      </c>
      <c r="C7" s="66" t="s">
        <v>558</v>
      </c>
      <c r="D7" s="104"/>
      <c r="E7" s="104" t="s">
        <v>96</v>
      </c>
      <c r="F7" s="105" t="s">
        <v>513</v>
      </c>
      <c r="G7" s="104">
        <v>2542.0</v>
      </c>
      <c r="H7" s="66">
        <v>200000.0</v>
      </c>
      <c r="I7" s="133">
        <f t="shared" si="1"/>
        <v>78.67820614</v>
      </c>
      <c r="J7" s="66">
        <v>450000.0</v>
      </c>
      <c r="K7" s="66"/>
      <c r="L7" s="66">
        <f t="shared" si="2"/>
        <v>250000</v>
      </c>
      <c r="M7" s="66">
        <f t="shared" si="3"/>
        <v>76260</v>
      </c>
      <c r="N7" s="62">
        <f t="shared" si="8"/>
        <v>27000</v>
      </c>
      <c r="O7" s="62"/>
      <c r="P7" s="62">
        <f t="shared" si="5"/>
        <v>146740</v>
      </c>
      <c r="Q7" s="62"/>
      <c r="R7" s="62">
        <f t="shared" si="6"/>
        <v>261240</v>
      </c>
      <c r="S7" s="62">
        <f t="shared" si="7"/>
        <v>61240</v>
      </c>
      <c r="U7" s="66" t="s">
        <v>553</v>
      </c>
      <c r="V7" s="66" t="s">
        <v>548</v>
      </c>
    </row>
    <row r="8" ht="15.75" customHeight="1">
      <c r="A8" s="66" t="s">
        <v>559</v>
      </c>
      <c r="B8" s="103">
        <v>42048.0</v>
      </c>
      <c r="C8" s="66" t="s">
        <v>560</v>
      </c>
      <c r="D8" s="66">
        <v>1.500489E7</v>
      </c>
      <c r="E8" s="104" t="s">
        <v>96</v>
      </c>
      <c r="F8" s="105" t="s">
        <v>508</v>
      </c>
      <c r="G8" s="104">
        <v>1450.0</v>
      </c>
      <c r="H8" s="66">
        <v>149000.0</v>
      </c>
      <c r="I8" s="133">
        <f t="shared" si="1"/>
        <v>102.7586207</v>
      </c>
      <c r="J8" s="66">
        <v>400000.0</v>
      </c>
      <c r="K8" s="66"/>
      <c r="L8" s="66">
        <f t="shared" si="2"/>
        <v>251000</v>
      </c>
      <c r="M8" s="66">
        <v>100000.0</v>
      </c>
      <c r="N8" s="62">
        <f t="shared" si="8"/>
        <v>24000</v>
      </c>
      <c r="O8" s="62"/>
      <c r="P8" s="62">
        <f t="shared" si="5"/>
        <v>127000</v>
      </c>
      <c r="Q8" s="62"/>
      <c r="R8" s="62">
        <f t="shared" si="6"/>
        <v>200000</v>
      </c>
      <c r="S8" s="62">
        <f t="shared" si="7"/>
        <v>51000</v>
      </c>
      <c r="U8" s="66" t="s">
        <v>553</v>
      </c>
      <c r="V8" s="66" t="s">
        <v>548</v>
      </c>
    </row>
    <row r="9" ht="15.75" customHeight="1">
      <c r="B9" s="103">
        <v>42048.0</v>
      </c>
      <c r="C9" s="66" t="s">
        <v>561</v>
      </c>
      <c r="D9" s="104"/>
      <c r="E9" s="104" t="s">
        <v>96</v>
      </c>
      <c r="F9" s="105" t="s">
        <v>538</v>
      </c>
      <c r="G9" s="104">
        <v>1736.0</v>
      </c>
      <c r="H9" s="66">
        <v>200000.0</v>
      </c>
      <c r="I9" s="133">
        <f t="shared" si="1"/>
        <v>115.2073733</v>
      </c>
      <c r="J9" s="66">
        <v>290000.0</v>
      </c>
      <c r="K9" s="66"/>
      <c r="L9" s="66">
        <f t="shared" si="2"/>
        <v>90000</v>
      </c>
      <c r="M9" s="66">
        <v>20000.0</v>
      </c>
      <c r="N9" s="62">
        <f t="shared" si="8"/>
        <v>17400</v>
      </c>
      <c r="O9" s="62"/>
      <c r="P9" s="62">
        <f t="shared" si="5"/>
        <v>52600</v>
      </c>
      <c r="Q9" s="62"/>
      <c r="R9" s="62">
        <f t="shared" si="6"/>
        <v>197500</v>
      </c>
      <c r="S9" s="62">
        <f t="shared" si="7"/>
        <v>-2500</v>
      </c>
      <c r="U9" s="66" t="s">
        <v>562</v>
      </c>
      <c r="V9" s="66" t="s">
        <v>548</v>
      </c>
    </row>
    <row r="10" ht="15.75" customHeight="1">
      <c r="A10" s="66" t="s">
        <v>563</v>
      </c>
      <c r="B10" s="103">
        <v>42048.0</v>
      </c>
      <c r="C10" s="66" t="s">
        <v>564</v>
      </c>
      <c r="D10" s="66">
        <v>1.5005221E7</v>
      </c>
      <c r="E10" s="104" t="s">
        <v>96</v>
      </c>
      <c r="F10" s="105" t="s">
        <v>531</v>
      </c>
      <c r="G10" s="104">
        <v>3369.0</v>
      </c>
      <c r="H10" s="66">
        <v>395000.0</v>
      </c>
      <c r="I10" s="133">
        <f t="shared" si="1"/>
        <v>117.2454734</v>
      </c>
      <c r="J10" s="66">
        <v>500000.0</v>
      </c>
      <c r="K10" s="66"/>
      <c r="L10" s="66">
        <f t="shared" si="2"/>
        <v>105000</v>
      </c>
      <c r="M10" s="66">
        <f>G10*30</f>
        <v>101070</v>
      </c>
      <c r="N10" s="62">
        <f t="shared" si="8"/>
        <v>30000</v>
      </c>
      <c r="O10" s="62"/>
      <c r="P10" s="62">
        <f t="shared" si="5"/>
        <v>-26070</v>
      </c>
      <c r="Q10" s="62"/>
      <c r="R10" s="62">
        <f t="shared" si="6"/>
        <v>273930</v>
      </c>
      <c r="S10" s="62">
        <f t="shared" si="7"/>
        <v>-121070</v>
      </c>
      <c r="U10" s="66" t="s">
        <v>555</v>
      </c>
      <c r="V10" s="66" t="s">
        <v>548</v>
      </c>
    </row>
    <row r="11" ht="15.75" customHeight="1">
      <c r="B11" s="103">
        <v>42048.0</v>
      </c>
      <c r="C11" s="66" t="s">
        <v>565</v>
      </c>
      <c r="D11" s="66">
        <v>1.406228E7</v>
      </c>
      <c r="E11" s="104" t="s">
        <v>96</v>
      </c>
      <c r="F11" s="105" t="s">
        <v>506</v>
      </c>
      <c r="G11" s="104">
        <v>1132.0</v>
      </c>
      <c r="H11" s="66">
        <v>100000.0</v>
      </c>
      <c r="I11" s="133">
        <f t="shared" si="1"/>
        <v>88.33922261</v>
      </c>
      <c r="J11" s="66">
        <v>170000.0</v>
      </c>
      <c r="K11" s="66"/>
      <c r="L11" s="66">
        <f t="shared" si="2"/>
        <v>70000</v>
      </c>
      <c r="M11" s="66">
        <v>20000.0</v>
      </c>
      <c r="N11" s="62">
        <f t="shared" si="8"/>
        <v>10200</v>
      </c>
      <c r="O11" s="62"/>
      <c r="P11" s="62">
        <f t="shared" si="5"/>
        <v>39800</v>
      </c>
      <c r="Q11" s="62"/>
      <c r="R11" s="62">
        <f t="shared" si="6"/>
        <v>107500</v>
      </c>
      <c r="S11" s="62">
        <f t="shared" si="7"/>
        <v>7500</v>
      </c>
      <c r="U11" s="66" t="s">
        <v>562</v>
      </c>
      <c r="V11" s="66" t="s">
        <v>548</v>
      </c>
    </row>
    <row r="12" ht="15.75" customHeight="1">
      <c r="B12" s="103">
        <v>42048.0</v>
      </c>
      <c r="C12" s="66" t="s">
        <v>566</v>
      </c>
      <c r="D12" s="66">
        <v>1.5003146E7</v>
      </c>
      <c r="E12" s="104" t="s">
        <v>96</v>
      </c>
      <c r="F12" s="105" t="s">
        <v>506</v>
      </c>
      <c r="G12" s="104">
        <v>1774.0</v>
      </c>
      <c r="H12" s="66">
        <v>175000.0</v>
      </c>
      <c r="I12" s="133">
        <f t="shared" si="1"/>
        <v>98.64712514</v>
      </c>
      <c r="J12" s="66">
        <v>250000.0</v>
      </c>
      <c r="K12" s="66"/>
      <c r="L12" s="66">
        <f t="shared" si="2"/>
        <v>75000</v>
      </c>
      <c r="M12" s="66">
        <v>20000.0</v>
      </c>
      <c r="N12" s="62">
        <f t="shared" si="8"/>
        <v>15000</v>
      </c>
      <c r="O12" s="62"/>
      <c r="P12" s="62">
        <f t="shared" si="5"/>
        <v>40000</v>
      </c>
      <c r="Q12" s="62"/>
      <c r="R12" s="62">
        <f t="shared" si="6"/>
        <v>167500</v>
      </c>
      <c r="S12" s="62">
        <f t="shared" si="7"/>
        <v>-7500</v>
      </c>
      <c r="U12" s="66" t="s">
        <v>562</v>
      </c>
      <c r="V12" s="66" t="s">
        <v>548</v>
      </c>
    </row>
    <row r="13" ht="15.75" customHeight="1">
      <c r="A13" s="66" t="s">
        <v>567</v>
      </c>
      <c r="B13" s="103">
        <v>42048.0</v>
      </c>
      <c r="C13" s="66" t="s">
        <v>568</v>
      </c>
      <c r="D13" s="104"/>
      <c r="E13" s="104" t="s">
        <v>96</v>
      </c>
      <c r="F13" s="105"/>
      <c r="G13" s="104"/>
      <c r="H13" s="66">
        <v>184000.0</v>
      </c>
      <c r="I13" s="133" t="str">
        <f t="shared" si="1"/>
        <v>#DIV/0!</v>
      </c>
      <c r="J13" s="66">
        <v>198000.0</v>
      </c>
      <c r="K13" s="66"/>
      <c r="L13" s="66">
        <f t="shared" si="2"/>
        <v>14000</v>
      </c>
      <c r="N13" s="62">
        <f t="shared" si="8"/>
        <v>11880</v>
      </c>
      <c r="O13" s="62"/>
      <c r="P13" s="62">
        <f t="shared" si="5"/>
        <v>2120</v>
      </c>
      <c r="Q13" s="62"/>
      <c r="R13" s="62">
        <f t="shared" si="6"/>
        <v>148500</v>
      </c>
      <c r="S13" s="62">
        <f t="shared" si="7"/>
        <v>-35500</v>
      </c>
      <c r="V13" s="66" t="s">
        <v>548</v>
      </c>
    </row>
    <row r="14" ht="15.75" customHeight="1">
      <c r="B14" s="103">
        <v>42048.0</v>
      </c>
      <c r="C14" s="66" t="s">
        <v>569</v>
      </c>
      <c r="D14" s="104"/>
      <c r="E14" s="104" t="s">
        <v>96</v>
      </c>
      <c r="F14" s="105"/>
      <c r="G14" s="104"/>
      <c r="H14" s="66">
        <v>200000.0</v>
      </c>
      <c r="I14" s="133" t="str">
        <f t="shared" si="1"/>
        <v>#DIV/0!</v>
      </c>
      <c r="J14" s="66">
        <v>280000.0</v>
      </c>
      <c r="K14" s="66"/>
      <c r="L14" s="66">
        <f t="shared" si="2"/>
        <v>80000</v>
      </c>
      <c r="N14" s="62">
        <f t="shared" si="8"/>
        <v>16800</v>
      </c>
      <c r="O14" s="62"/>
      <c r="P14" s="62">
        <f t="shared" si="5"/>
        <v>63200</v>
      </c>
      <c r="Q14" s="62"/>
      <c r="R14" s="62">
        <f t="shared" si="6"/>
        <v>210000</v>
      </c>
      <c r="S14" s="62">
        <f t="shared" si="7"/>
        <v>10000</v>
      </c>
      <c r="V14" s="66" t="s">
        <v>548</v>
      </c>
    </row>
    <row r="15" ht="15.75" customHeight="1">
      <c r="A15" s="66" t="s">
        <v>570</v>
      </c>
      <c r="B15" s="103">
        <v>42048.0</v>
      </c>
      <c r="C15" s="66" t="s">
        <v>571</v>
      </c>
      <c r="D15" s="66">
        <v>1.4074746E7</v>
      </c>
      <c r="E15" s="104" t="s">
        <v>96</v>
      </c>
      <c r="F15" s="105" t="s">
        <v>508</v>
      </c>
      <c r="G15" s="104">
        <v>864.0</v>
      </c>
      <c r="H15" s="66">
        <v>40000.0</v>
      </c>
      <c r="I15" s="133">
        <f t="shared" si="1"/>
        <v>46.2962963</v>
      </c>
      <c r="J15" s="66">
        <v>137000.0</v>
      </c>
      <c r="K15" s="66"/>
      <c r="L15" s="66">
        <f t="shared" si="2"/>
        <v>97000</v>
      </c>
      <c r="M15" s="66">
        <v>60000.0</v>
      </c>
      <c r="N15" s="62">
        <f t="shared" si="8"/>
        <v>8220</v>
      </c>
      <c r="O15" s="62"/>
      <c r="P15" s="62">
        <f t="shared" si="5"/>
        <v>28780</v>
      </c>
      <c r="Q15" s="62"/>
      <c r="R15" s="62">
        <f t="shared" si="6"/>
        <v>42750</v>
      </c>
      <c r="S15" s="62">
        <f t="shared" si="7"/>
        <v>2750</v>
      </c>
      <c r="V15" s="66" t="s">
        <v>548</v>
      </c>
    </row>
    <row r="16" ht="15.75" customHeight="1">
      <c r="A16" s="66" t="s">
        <v>572</v>
      </c>
      <c r="B16" s="103">
        <v>42054.0</v>
      </c>
      <c r="C16" s="66" t="s">
        <v>573</v>
      </c>
      <c r="D16" s="66">
        <v>1.5003566E7</v>
      </c>
      <c r="E16" s="104" t="s">
        <v>96</v>
      </c>
      <c r="F16" s="105" t="s">
        <v>507</v>
      </c>
      <c r="G16" s="104">
        <v>865.0</v>
      </c>
      <c r="H16" s="66">
        <v>70000.0</v>
      </c>
      <c r="I16" s="133">
        <f t="shared" si="1"/>
        <v>80.92485549</v>
      </c>
      <c r="J16" s="66">
        <v>100000.0</v>
      </c>
      <c r="K16" s="66"/>
      <c r="L16" s="66">
        <f t="shared" si="2"/>
        <v>30000</v>
      </c>
      <c r="M16" s="66">
        <v>10000.0</v>
      </c>
      <c r="N16" s="62">
        <f t="shared" si="8"/>
        <v>6000</v>
      </c>
      <c r="O16" s="62"/>
      <c r="P16" s="62">
        <f t="shared" si="5"/>
        <v>14000</v>
      </c>
      <c r="Q16" s="62"/>
      <c r="R16" s="62">
        <f t="shared" si="6"/>
        <v>65000</v>
      </c>
      <c r="S16" s="62">
        <f t="shared" si="7"/>
        <v>-5000</v>
      </c>
      <c r="V16" s="66" t="s">
        <v>548</v>
      </c>
    </row>
    <row r="17" ht="15.75" customHeight="1">
      <c r="B17" s="103">
        <v>42055.0</v>
      </c>
      <c r="C17" s="66" t="s">
        <v>574</v>
      </c>
      <c r="D17" s="104"/>
      <c r="E17" s="104" t="s">
        <v>96</v>
      </c>
      <c r="F17" s="105" t="s">
        <v>508</v>
      </c>
      <c r="G17" s="104">
        <v>1228.0</v>
      </c>
      <c r="H17" s="66">
        <v>120000.0</v>
      </c>
      <c r="I17" s="133">
        <f t="shared" si="1"/>
        <v>97.71986971</v>
      </c>
      <c r="J17" s="66">
        <v>180000.0</v>
      </c>
      <c r="K17" s="66"/>
      <c r="L17" s="66">
        <f t="shared" si="2"/>
        <v>60000</v>
      </c>
      <c r="M17" s="66">
        <v>20000.0</v>
      </c>
      <c r="N17" s="62">
        <f t="shared" si="8"/>
        <v>10800</v>
      </c>
      <c r="O17" s="62"/>
      <c r="P17" s="62">
        <f t="shared" si="5"/>
        <v>29200</v>
      </c>
      <c r="Q17" s="62"/>
      <c r="R17" s="62">
        <f t="shared" si="6"/>
        <v>115000</v>
      </c>
      <c r="S17" s="62">
        <f t="shared" si="7"/>
        <v>-5000</v>
      </c>
      <c r="T17" s="66" t="s">
        <v>575</v>
      </c>
      <c r="V17" s="66" t="s">
        <v>548</v>
      </c>
    </row>
    <row r="18" ht="15.75" customHeight="1">
      <c r="A18" s="66" t="s">
        <v>576</v>
      </c>
      <c r="B18" s="103">
        <v>42055.0</v>
      </c>
      <c r="C18" s="66" t="s">
        <v>577</v>
      </c>
      <c r="D18" s="104"/>
      <c r="E18" s="104" t="s">
        <v>96</v>
      </c>
      <c r="F18" s="105" t="s">
        <v>508</v>
      </c>
      <c r="G18" s="104">
        <v>1003.0</v>
      </c>
      <c r="H18" s="66">
        <v>105000.0</v>
      </c>
      <c r="I18" s="133">
        <f t="shared" si="1"/>
        <v>104.6859422</v>
      </c>
      <c r="J18" s="66">
        <v>170000.0</v>
      </c>
      <c r="K18" s="66"/>
      <c r="L18" s="66">
        <f t="shared" si="2"/>
        <v>65000</v>
      </c>
      <c r="M18" s="66">
        <v>50000.0</v>
      </c>
      <c r="N18" s="62">
        <f t="shared" si="8"/>
        <v>10200</v>
      </c>
      <c r="O18" s="62"/>
      <c r="P18" s="62">
        <f t="shared" si="5"/>
        <v>4800</v>
      </c>
      <c r="Q18" s="62"/>
      <c r="R18" s="62">
        <f t="shared" si="6"/>
        <v>77500</v>
      </c>
      <c r="S18" s="62">
        <f t="shared" si="7"/>
        <v>-27500</v>
      </c>
      <c r="V18" s="66" t="s">
        <v>548</v>
      </c>
    </row>
    <row r="19" ht="15.75" customHeight="1">
      <c r="B19" s="103">
        <v>42058.0</v>
      </c>
      <c r="C19" s="66" t="s">
        <v>578</v>
      </c>
      <c r="D19" s="104"/>
      <c r="E19" s="104" t="s">
        <v>96</v>
      </c>
      <c r="F19" s="105" t="s">
        <v>507</v>
      </c>
      <c r="G19" s="104">
        <v>968.0</v>
      </c>
      <c r="H19" s="66">
        <v>70000.0</v>
      </c>
      <c r="I19" s="133">
        <f t="shared" si="1"/>
        <v>72.31404959</v>
      </c>
      <c r="J19" s="66">
        <v>240000.0</v>
      </c>
      <c r="K19" s="66"/>
      <c r="L19" s="66">
        <f t="shared" si="2"/>
        <v>170000</v>
      </c>
      <c r="M19" s="66">
        <v>100000.0</v>
      </c>
      <c r="N19" s="62">
        <f t="shared" si="8"/>
        <v>14400</v>
      </c>
      <c r="O19" s="62"/>
      <c r="P19" s="62">
        <f t="shared" si="5"/>
        <v>55600</v>
      </c>
      <c r="Q19" s="62"/>
      <c r="R19" s="62">
        <f t="shared" si="6"/>
        <v>80000</v>
      </c>
      <c r="S19" s="62">
        <f t="shared" si="7"/>
        <v>10000</v>
      </c>
      <c r="V19" s="66" t="s">
        <v>548</v>
      </c>
    </row>
    <row r="20" ht="15.75" customHeight="1">
      <c r="B20" s="103">
        <v>42060.0</v>
      </c>
      <c r="C20" s="66" t="s">
        <v>579</v>
      </c>
      <c r="D20" s="66">
        <v>1.5011291E7</v>
      </c>
      <c r="E20" s="104" t="s">
        <v>96</v>
      </c>
      <c r="F20" s="105" t="s">
        <v>508</v>
      </c>
      <c r="G20" s="104">
        <v>958.0</v>
      </c>
      <c r="H20" s="66">
        <v>80000.0</v>
      </c>
      <c r="I20" s="133">
        <f t="shared" si="1"/>
        <v>83.50730689</v>
      </c>
      <c r="J20" s="66">
        <v>150000.0</v>
      </c>
      <c r="K20" s="66"/>
      <c r="L20" s="66">
        <f t="shared" si="2"/>
        <v>70000</v>
      </c>
      <c r="M20" s="66">
        <f t="shared" ref="M20:M21" si="9">G20*30</f>
        <v>28740</v>
      </c>
      <c r="N20" s="62">
        <f t="shared" si="8"/>
        <v>9000</v>
      </c>
      <c r="O20" s="62"/>
      <c r="P20" s="62">
        <f t="shared" si="5"/>
        <v>32260</v>
      </c>
      <c r="Q20" s="62"/>
      <c r="R20" s="62">
        <f t="shared" si="6"/>
        <v>83760</v>
      </c>
      <c r="S20" s="62">
        <f t="shared" si="7"/>
        <v>3760</v>
      </c>
      <c r="V20" s="66" t="s">
        <v>548</v>
      </c>
    </row>
    <row r="21" ht="15.75" customHeight="1">
      <c r="A21" s="66" t="s">
        <v>580</v>
      </c>
      <c r="B21" s="103">
        <v>42060.0</v>
      </c>
      <c r="C21" s="66" t="s">
        <v>581</v>
      </c>
      <c r="D21" s="66">
        <v>1.5004426E7</v>
      </c>
      <c r="E21" s="104" t="s">
        <v>96</v>
      </c>
      <c r="F21" s="105"/>
      <c r="G21" s="104">
        <v>1186.0</v>
      </c>
      <c r="H21" s="66">
        <v>130000.0</v>
      </c>
      <c r="I21" s="133">
        <f t="shared" si="1"/>
        <v>109.6121417</v>
      </c>
      <c r="J21" s="66">
        <v>210000.0</v>
      </c>
      <c r="K21" s="66"/>
      <c r="L21" s="66">
        <f t="shared" si="2"/>
        <v>80000</v>
      </c>
      <c r="M21" s="66">
        <f t="shared" si="9"/>
        <v>35580</v>
      </c>
      <c r="N21" s="62">
        <f t="shared" si="8"/>
        <v>12600</v>
      </c>
      <c r="O21" s="62"/>
      <c r="P21" s="62">
        <f t="shared" si="5"/>
        <v>31820</v>
      </c>
      <c r="Q21" s="62"/>
      <c r="R21" s="62">
        <f t="shared" si="6"/>
        <v>121920</v>
      </c>
      <c r="S21" s="62">
        <f t="shared" si="7"/>
        <v>-8080</v>
      </c>
      <c r="V21" s="66" t="s">
        <v>548</v>
      </c>
    </row>
    <row r="22" ht="15.75" customHeight="1">
      <c r="C22" s="66" t="s">
        <v>582</v>
      </c>
      <c r="D22" s="66">
        <v>1.5004615E7</v>
      </c>
      <c r="E22" s="104" t="s">
        <v>96</v>
      </c>
      <c r="F22" s="105" t="s">
        <v>506</v>
      </c>
      <c r="G22" s="104">
        <v>1435.0</v>
      </c>
      <c r="H22" s="66">
        <v>320000.0</v>
      </c>
      <c r="I22" s="133">
        <f t="shared" si="1"/>
        <v>222.9965157</v>
      </c>
      <c r="J22" s="66">
        <v>470000.0</v>
      </c>
      <c r="K22" s="66"/>
      <c r="L22" s="66">
        <f t="shared" si="2"/>
        <v>150000</v>
      </c>
      <c r="M22" s="66">
        <v>60000.0</v>
      </c>
      <c r="N22" s="62">
        <f t="shared" si="8"/>
        <v>28200</v>
      </c>
      <c r="O22" s="62"/>
      <c r="P22" s="62">
        <f t="shared" si="5"/>
        <v>61800</v>
      </c>
      <c r="Q22" s="62"/>
      <c r="R22" s="62">
        <f t="shared" si="6"/>
        <v>292500</v>
      </c>
      <c r="S22" s="62">
        <f t="shared" si="7"/>
        <v>-27500</v>
      </c>
      <c r="V22" s="66" t="s">
        <v>548</v>
      </c>
    </row>
    <row r="23" ht="15.75" customHeight="1">
      <c r="B23" s="103">
        <v>42067.0</v>
      </c>
      <c r="C23" s="66" t="s">
        <v>583</v>
      </c>
      <c r="D23" s="66">
        <v>1.4060727E7</v>
      </c>
      <c r="E23" s="104" t="s">
        <v>96</v>
      </c>
      <c r="F23" s="105" t="s">
        <v>514</v>
      </c>
      <c r="G23" s="104">
        <v>1900.0</v>
      </c>
      <c r="H23" s="66">
        <v>125000.0</v>
      </c>
      <c r="I23" s="133">
        <f t="shared" si="1"/>
        <v>65.78947368</v>
      </c>
      <c r="J23" s="66">
        <v>275000.0</v>
      </c>
      <c r="K23" s="66"/>
      <c r="L23" s="66">
        <f t="shared" si="2"/>
        <v>150000</v>
      </c>
      <c r="M23" s="66">
        <v>80000.0</v>
      </c>
      <c r="N23" s="62">
        <f t="shared" si="8"/>
        <v>16500</v>
      </c>
      <c r="O23" s="62"/>
      <c r="P23" s="62">
        <f t="shared" si="5"/>
        <v>53500</v>
      </c>
      <c r="Q23" s="62"/>
      <c r="R23" s="62">
        <f t="shared" si="6"/>
        <v>126250</v>
      </c>
      <c r="S23" s="62">
        <f t="shared" si="7"/>
        <v>1250</v>
      </c>
      <c r="V23" s="66" t="s">
        <v>548</v>
      </c>
    </row>
    <row r="24" ht="15.75" customHeight="1">
      <c r="A24" s="66" t="s">
        <v>584</v>
      </c>
      <c r="B24" s="103">
        <v>42085.0</v>
      </c>
      <c r="C24" s="66" t="s">
        <v>585</v>
      </c>
      <c r="D24" s="104"/>
      <c r="E24" s="104"/>
      <c r="F24" s="105" t="s">
        <v>506</v>
      </c>
      <c r="G24" s="104">
        <v>1214.0</v>
      </c>
      <c r="H24" s="66">
        <v>127000.0</v>
      </c>
      <c r="I24" s="133">
        <f t="shared" si="1"/>
        <v>104.6128501</v>
      </c>
      <c r="J24" s="66">
        <v>195000.0</v>
      </c>
      <c r="K24" s="66"/>
      <c r="L24" s="66">
        <f t="shared" si="2"/>
        <v>68000</v>
      </c>
      <c r="M24" s="66">
        <v>20000.0</v>
      </c>
      <c r="N24" s="62">
        <f t="shared" si="8"/>
        <v>11700</v>
      </c>
      <c r="O24" s="62"/>
      <c r="P24" s="62">
        <f t="shared" si="5"/>
        <v>36300</v>
      </c>
      <c r="Q24" s="62"/>
      <c r="R24" s="62">
        <f t="shared" si="6"/>
        <v>126250</v>
      </c>
      <c r="S24" s="62">
        <f t="shared" si="7"/>
        <v>-750</v>
      </c>
      <c r="V24" s="66" t="s">
        <v>548</v>
      </c>
    </row>
    <row r="25" ht="15.75" customHeight="1">
      <c r="B25" s="103">
        <v>42085.0</v>
      </c>
      <c r="C25" s="66" t="s">
        <v>586</v>
      </c>
      <c r="D25" s="104"/>
      <c r="E25" s="104"/>
      <c r="F25" s="105"/>
      <c r="G25" s="104">
        <v>5000.0</v>
      </c>
      <c r="H25" s="66">
        <v>180000.0</v>
      </c>
      <c r="I25" s="133">
        <f t="shared" si="1"/>
        <v>36</v>
      </c>
      <c r="J25" s="66">
        <v>1200000.0</v>
      </c>
      <c r="K25" s="66"/>
      <c r="L25" s="66">
        <f t="shared" si="2"/>
        <v>1020000</v>
      </c>
      <c r="M25" s="66">
        <v>700000.0</v>
      </c>
      <c r="N25" s="62">
        <f t="shared" si="8"/>
        <v>72000</v>
      </c>
      <c r="O25" s="62"/>
      <c r="P25" s="62">
        <f t="shared" si="5"/>
        <v>248000</v>
      </c>
      <c r="Q25" s="62"/>
      <c r="R25" s="62">
        <f t="shared" si="6"/>
        <v>200000</v>
      </c>
      <c r="S25" s="62">
        <f t="shared" si="7"/>
        <v>20000</v>
      </c>
      <c r="V25" s="66" t="s">
        <v>548</v>
      </c>
    </row>
    <row r="26" ht="15.75" customHeight="1">
      <c r="A26" s="66" t="s">
        <v>451</v>
      </c>
      <c r="B26" s="103">
        <v>42085.0</v>
      </c>
      <c r="C26" s="66" t="s">
        <v>587</v>
      </c>
      <c r="D26" s="104"/>
      <c r="E26" s="104" t="s">
        <v>96</v>
      </c>
      <c r="F26" s="105" t="s">
        <v>588</v>
      </c>
      <c r="G26" s="104">
        <v>4890.0</v>
      </c>
      <c r="H26" s="66">
        <v>436800.0</v>
      </c>
      <c r="I26" s="133">
        <f t="shared" si="1"/>
        <v>89.32515337</v>
      </c>
      <c r="J26" s="66"/>
      <c r="K26" s="66"/>
      <c r="L26" s="66">
        <f t="shared" si="2"/>
        <v>-436800</v>
      </c>
      <c r="M26" s="66"/>
      <c r="N26" s="62">
        <f t="shared" si="8"/>
        <v>0</v>
      </c>
      <c r="O26" s="62"/>
      <c r="P26" s="62">
        <f t="shared" si="5"/>
        <v>-436800</v>
      </c>
      <c r="Q26" s="62"/>
      <c r="R26" s="62">
        <f t="shared" si="6"/>
        <v>0</v>
      </c>
      <c r="S26" s="62">
        <f t="shared" si="7"/>
        <v>-436800</v>
      </c>
      <c r="U26" s="66" t="s">
        <v>589</v>
      </c>
      <c r="V26" s="66" t="s">
        <v>548</v>
      </c>
    </row>
    <row r="27" ht="15.75" customHeight="1">
      <c r="B27" s="103">
        <v>42085.0</v>
      </c>
      <c r="C27" s="66" t="s">
        <v>590</v>
      </c>
      <c r="D27" s="104"/>
      <c r="E27" s="104" t="s">
        <v>96</v>
      </c>
      <c r="F27" s="105"/>
      <c r="G27" s="104"/>
      <c r="I27" s="133" t="str">
        <f t="shared" si="1"/>
        <v>#DIV/0!</v>
      </c>
      <c r="J27" s="66"/>
      <c r="K27" s="66"/>
      <c r="L27" s="66">
        <f t="shared" si="2"/>
        <v>0</v>
      </c>
      <c r="M27" s="66"/>
      <c r="N27" s="62">
        <f t="shared" si="8"/>
        <v>0</v>
      </c>
      <c r="O27" s="62"/>
      <c r="P27" s="62">
        <f t="shared" si="5"/>
        <v>0</v>
      </c>
      <c r="Q27" s="62"/>
      <c r="R27" s="62">
        <f t="shared" si="6"/>
        <v>0</v>
      </c>
      <c r="S27" s="62">
        <f t="shared" si="7"/>
        <v>0</v>
      </c>
      <c r="U27" s="66" t="s">
        <v>591</v>
      </c>
      <c r="V27" s="66" t="s">
        <v>548</v>
      </c>
    </row>
    <row r="28" ht="15.75" customHeight="1">
      <c r="A28" s="66" t="s">
        <v>592</v>
      </c>
      <c r="B28" s="103">
        <v>42086.0</v>
      </c>
      <c r="C28" s="66" t="s">
        <v>593</v>
      </c>
      <c r="D28" s="104"/>
      <c r="E28" s="104" t="s">
        <v>594</v>
      </c>
      <c r="F28" s="105" t="s">
        <v>508</v>
      </c>
      <c r="G28" s="104">
        <v>1058.0</v>
      </c>
      <c r="H28" s="66">
        <v>172000.0</v>
      </c>
      <c r="I28" s="133">
        <f t="shared" si="1"/>
        <v>162.5708885</v>
      </c>
      <c r="J28" s="66">
        <v>215000.0</v>
      </c>
      <c r="K28" s="66"/>
      <c r="L28" s="66">
        <f t="shared" si="2"/>
        <v>43000</v>
      </c>
      <c r="M28" s="66">
        <v>15000.0</v>
      </c>
      <c r="N28" s="62">
        <f t="shared" si="8"/>
        <v>12900</v>
      </c>
      <c r="O28" s="62"/>
      <c r="P28" s="62">
        <f t="shared" si="5"/>
        <v>15100</v>
      </c>
      <c r="Q28" s="62"/>
      <c r="R28" s="62">
        <f t="shared" si="6"/>
        <v>146250</v>
      </c>
      <c r="S28" s="62">
        <f t="shared" si="7"/>
        <v>-25750</v>
      </c>
      <c r="V28" s="66" t="s">
        <v>548</v>
      </c>
    </row>
    <row r="29" ht="17.25" customHeight="1">
      <c r="A29" s="66" t="s">
        <v>595</v>
      </c>
      <c r="B29" s="103">
        <v>42086.0</v>
      </c>
      <c r="C29" s="66" t="s">
        <v>596</v>
      </c>
      <c r="D29" s="104"/>
      <c r="E29" s="104" t="s">
        <v>91</v>
      </c>
      <c r="F29" s="105" t="s">
        <v>513</v>
      </c>
      <c r="G29" s="104">
        <v>2001.0</v>
      </c>
      <c r="H29" s="66">
        <v>230000.0</v>
      </c>
      <c r="I29" s="133">
        <f t="shared" si="1"/>
        <v>114.9425287</v>
      </c>
      <c r="J29" s="66">
        <v>310000.0</v>
      </c>
      <c r="K29" s="66"/>
      <c r="L29" s="66">
        <f t="shared" si="2"/>
        <v>80000</v>
      </c>
      <c r="M29" s="66">
        <v>30000.0</v>
      </c>
      <c r="N29" s="62">
        <f t="shared" si="8"/>
        <v>18600</v>
      </c>
      <c r="O29" s="62"/>
      <c r="P29" s="62">
        <f t="shared" si="5"/>
        <v>31400</v>
      </c>
      <c r="Q29" s="62"/>
      <c r="R29" s="62">
        <f t="shared" si="6"/>
        <v>202500</v>
      </c>
      <c r="S29" s="62">
        <f t="shared" si="7"/>
        <v>-27500</v>
      </c>
      <c r="V29" s="66" t="s">
        <v>548</v>
      </c>
    </row>
    <row r="30" ht="14.25" customHeight="1">
      <c r="A30" s="137" t="s">
        <v>597</v>
      </c>
      <c r="B30" s="138">
        <v>42086.0</v>
      </c>
      <c r="C30" s="137" t="s">
        <v>598</v>
      </c>
      <c r="D30" s="139"/>
      <c r="E30" s="139" t="s">
        <v>91</v>
      </c>
      <c r="F30" s="140" t="s">
        <v>506</v>
      </c>
      <c r="G30" s="139">
        <v>1400.0</v>
      </c>
      <c r="H30" s="137">
        <v>400000.0</v>
      </c>
      <c r="I30" s="141">
        <f t="shared" si="1"/>
        <v>285.7142857</v>
      </c>
      <c r="J30" s="137">
        <v>750000.0</v>
      </c>
      <c r="K30" s="137"/>
      <c r="L30" s="137">
        <f t="shared" si="2"/>
        <v>350000</v>
      </c>
      <c r="M30" s="137">
        <v>170000.0</v>
      </c>
      <c r="N30" s="142">
        <f t="shared" si="8"/>
        <v>45000</v>
      </c>
      <c r="O30" s="142"/>
      <c r="P30" s="142">
        <f t="shared" si="5"/>
        <v>135000</v>
      </c>
      <c r="Q30" s="142"/>
      <c r="R30" s="142">
        <f t="shared" si="6"/>
        <v>392500</v>
      </c>
      <c r="S30" s="142">
        <f t="shared" si="7"/>
        <v>-7500</v>
      </c>
      <c r="T30" s="137"/>
      <c r="U30" s="137"/>
      <c r="V30" s="66" t="s">
        <v>548</v>
      </c>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row>
    <row r="31" ht="15.75" customHeight="1">
      <c r="C31" s="66" t="s">
        <v>599</v>
      </c>
      <c r="D31" s="104"/>
      <c r="E31" s="104" t="s">
        <v>96</v>
      </c>
      <c r="F31" s="105" t="s">
        <v>514</v>
      </c>
      <c r="G31" s="104">
        <v>1355.0</v>
      </c>
      <c r="H31" s="66">
        <v>460000.0</v>
      </c>
      <c r="I31" s="133">
        <f t="shared" si="1"/>
        <v>339.4833948</v>
      </c>
      <c r="J31" s="66">
        <v>650000.0</v>
      </c>
      <c r="K31" s="66"/>
      <c r="L31" s="66">
        <f t="shared" si="2"/>
        <v>190000</v>
      </c>
      <c r="M31" s="66">
        <v>50000.0</v>
      </c>
      <c r="N31" s="62">
        <f t="shared" si="8"/>
        <v>39000</v>
      </c>
      <c r="O31" s="62"/>
      <c r="P31" s="62">
        <f t="shared" si="5"/>
        <v>101000</v>
      </c>
      <c r="Q31" s="62"/>
      <c r="R31" s="62">
        <f t="shared" si="6"/>
        <v>437500</v>
      </c>
      <c r="S31" s="62">
        <f t="shared" si="7"/>
        <v>-22500</v>
      </c>
      <c r="V31" s="66" t="s">
        <v>548</v>
      </c>
    </row>
    <row r="32" ht="15.75" customHeight="1">
      <c r="C32" s="66" t="s">
        <v>600</v>
      </c>
      <c r="D32" s="104"/>
      <c r="E32" s="104" t="s">
        <v>91</v>
      </c>
      <c r="F32" s="105" t="s">
        <v>601</v>
      </c>
      <c r="G32" s="104"/>
      <c r="I32" s="133" t="str">
        <f t="shared" si="1"/>
        <v>#DIV/0!</v>
      </c>
      <c r="K32" s="66"/>
      <c r="L32" s="66">
        <f t="shared" si="2"/>
        <v>0</v>
      </c>
      <c r="M32" s="66"/>
      <c r="N32" s="62">
        <f t="shared" si="8"/>
        <v>0</v>
      </c>
      <c r="O32" s="62"/>
      <c r="P32" s="62">
        <f t="shared" si="5"/>
        <v>0</v>
      </c>
      <c r="Q32" s="62"/>
      <c r="R32" s="62">
        <f t="shared" si="6"/>
        <v>0</v>
      </c>
      <c r="S32" s="62">
        <f t="shared" si="7"/>
        <v>0</v>
      </c>
      <c r="V32" s="66" t="s">
        <v>548</v>
      </c>
    </row>
    <row r="33" ht="15.75" customHeight="1">
      <c r="C33" s="66" t="s">
        <v>602</v>
      </c>
      <c r="D33" s="104"/>
      <c r="E33" s="104"/>
      <c r="F33" s="105"/>
      <c r="G33" s="104"/>
      <c r="I33" s="133" t="str">
        <f t="shared" si="1"/>
        <v>#DIV/0!</v>
      </c>
      <c r="K33" s="66"/>
      <c r="L33" s="66">
        <f t="shared" si="2"/>
        <v>0</v>
      </c>
      <c r="M33" s="66"/>
      <c r="N33" s="62">
        <f t="shared" si="8"/>
        <v>0</v>
      </c>
      <c r="O33" s="62"/>
      <c r="P33" s="62">
        <f t="shared" si="5"/>
        <v>0</v>
      </c>
      <c r="Q33" s="62"/>
      <c r="R33" s="62">
        <f t="shared" si="6"/>
        <v>0</v>
      </c>
      <c r="S33" s="62">
        <f t="shared" si="7"/>
        <v>0</v>
      </c>
      <c r="V33" s="66" t="s">
        <v>548</v>
      </c>
    </row>
    <row r="34" ht="15.75" customHeight="1">
      <c r="C34" s="66" t="s">
        <v>603</v>
      </c>
      <c r="D34" s="104"/>
      <c r="E34" s="104" t="s">
        <v>91</v>
      </c>
      <c r="F34" s="105" t="s">
        <v>507</v>
      </c>
      <c r="G34" s="104">
        <v>1034.0</v>
      </c>
      <c r="H34" s="66">
        <v>140000.0</v>
      </c>
      <c r="I34" s="133">
        <f t="shared" si="1"/>
        <v>135.3965184</v>
      </c>
      <c r="J34" s="66">
        <v>250000.0</v>
      </c>
      <c r="K34" s="66"/>
      <c r="L34" s="66">
        <f t="shared" si="2"/>
        <v>110000</v>
      </c>
      <c r="M34" s="66">
        <v>40000.0</v>
      </c>
      <c r="N34" s="62">
        <f t="shared" si="8"/>
        <v>15000</v>
      </c>
      <c r="O34" s="62"/>
      <c r="P34" s="62">
        <f t="shared" si="5"/>
        <v>55000</v>
      </c>
      <c r="Q34" s="62"/>
      <c r="R34" s="62">
        <f t="shared" si="6"/>
        <v>147500</v>
      </c>
      <c r="S34" s="62">
        <f t="shared" si="7"/>
        <v>7500</v>
      </c>
      <c r="V34" s="66" t="s">
        <v>548</v>
      </c>
    </row>
    <row r="35" ht="15.75" customHeight="1">
      <c r="C35" s="66" t="s">
        <v>604</v>
      </c>
      <c r="D35" s="104"/>
      <c r="E35" s="66">
        <v>1.5010297E7</v>
      </c>
      <c r="F35" s="105" t="s">
        <v>506</v>
      </c>
      <c r="G35" s="104">
        <v>1182.0</v>
      </c>
      <c r="H35" s="66">
        <v>350000.0</v>
      </c>
      <c r="I35" s="133">
        <f t="shared" si="1"/>
        <v>296.108291</v>
      </c>
      <c r="J35" s="66">
        <v>420000.0</v>
      </c>
      <c r="K35" s="66"/>
      <c r="L35" s="66">
        <f t="shared" si="2"/>
        <v>70000</v>
      </c>
      <c r="M35" s="66">
        <v>40000.0</v>
      </c>
      <c r="N35" s="62">
        <f t="shared" si="8"/>
        <v>25200</v>
      </c>
      <c r="O35" s="62"/>
      <c r="P35" s="62">
        <f t="shared" si="5"/>
        <v>4800</v>
      </c>
      <c r="Q35" s="62"/>
      <c r="R35" s="62">
        <f t="shared" si="6"/>
        <v>275000</v>
      </c>
      <c r="S35" s="62">
        <f t="shared" si="7"/>
        <v>-75000</v>
      </c>
      <c r="V35" s="66" t="s">
        <v>548</v>
      </c>
    </row>
    <row r="36" ht="15.75" customHeight="1">
      <c r="C36" s="66" t="s">
        <v>605</v>
      </c>
      <c r="D36" s="104"/>
      <c r="E36" s="104"/>
      <c r="F36" s="105"/>
      <c r="G36" s="104"/>
      <c r="H36" s="66">
        <v>375000.0</v>
      </c>
      <c r="I36" s="133" t="str">
        <f t="shared" si="1"/>
        <v>#DIV/0!</v>
      </c>
      <c r="K36" s="66"/>
      <c r="L36" s="66">
        <f t="shared" si="2"/>
        <v>-375000</v>
      </c>
      <c r="M36" s="66">
        <v>0.0</v>
      </c>
      <c r="N36" s="62">
        <f t="shared" si="8"/>
        <v>0</v>
      </c>
      <c r="O36" s="62"/>
      <c r="P36" s="62">
        <f t="shared" si="5"/>
        <v>-375000</v>
      </c>
      <c r="Q36" s="62"/>
      <c r="R36" s="62">
        <f t="shared" si="6"/>
        <v>0</v>
      </c>
      <c r="S36" s="62">
        <f t="shared" si="7"/>
        <v>-375000</v>
      </c>
      <c r="V36" s="66" t="s">
        <v>548</v>
      </c>
    </row>
    <row r="37" ht="15.75" customHeight="1">
      <c r="C37" s="66" t="s">
        <v>606</v>
      </c>
      <c r="D37" s="104"/>
      <c r="E37" s="104" t="s">
        <v>91</v>
      </c>
      <c r="F37" s="105" t="s">
        <v>607</v>
      </c>
      <c r="G37" s="104">
        <v>1817.0</v>
      </c>
      <c r="H37" s="66">
        <v>300000.0</v>
      </c>
      <c r="I37" s="133">
        <f t="shared" si="1"/>
        <v>165.1073198</v>
      </c>
      <c r="J37" s="66">
        <v>380000.0</v>
      </c>
      <c r="K37" s="66"/>
      <c r="L37" s="66">
        <f t="shared" si="2"/>
        <v>80000</v>
      </c>
      <c r="M37" s="66">
        <v>10000.0</v>
      </c>
      <c r="N37" s="62">
        <f t="shared" si="8"/>
        <v>22800</v>
      </c>
      <c r="O37" s="62"/>
      <c r="P37" s="62">
        <f t="shared" si="5"/>
        <v>47200</v>
      </c>
      <c r="Q37" s="62"/>
      <c r="R37" s="62">
        <f t="shared" si="6"/>
        <v>275000</v>
      </c>
      <c r="S37" s="62">
        <f t="shared" si="7"/>
        <v>-25000</v>
      </c>
      <c r="V37" s="66" t="s">
        <v>548</v>
      </c>
    </row>
    <row r="38" ht="15.75" customHeight="1">
      <c r="C38" s="66" t="s">
        <v>608</v>
      </c>
      <c r="D38" s="104"/>
      <c r="E38" s="104" t="s">
        <v>91</v>
      </c>
      <c r="F38" s="105" t="s">
        <v>506</v>
      </c>
      <c r="G38" s="104">
        <v>1799.0</v>
      </c>
      <c r="H38" s="66">
        <v>165000.0</v>
      </c>
      <c r="I38" s="133">
        <f t="shared" si="1"/>
        <v>91.7176209</v>
      </c>
      <c r="J38" s="66">
        <v>260000.0</v>
      </c>
      <c r="K38" s="66"/>
      <c r="L38" s="66">
        <f t="shared" si="2"/>
        <v>95000</v>
      </c>
      <c r="M38" s="66">
        <v>30000.0</v>
      </c>
      <c r="N38" s="62">
        <f t="shared" si="8"/>
        <v>15600</v>
      </c>
      <c r="O38" s="62"/>
      <c r="P38" s="62">
        <f t="shared" si="5"/>
        <v>49400</v>
      </c>
      <c r="Q38" s="62"/>
      <c r="R38" s="62">
        <f t="shared" si="6"/>
        <v>165000</v>
      </c>
      <c r="S38" s="62">
        <f t="shared" si="7"/>
        <v>0</v>
      </c>
      <c r="V38" s="66" t="s">
        <v>548</v>
      </c>
    </row>
    <row r="39" ht="15.75" customHeight="1">
      <c r="C39" s="66" t="s">
        <v>609</v>
      </c>
      <c r="D39" s="66">
        <v>1.4072257E7</v>
      </c>
      <c r="E39" s="104"/>
      <c r="F39" s="105" t="s">
        <v>506</v>
      </c>
      <c r="G39" s="104">
        <v>1725.0</v>
      </c>
      <c r="H39" s="66">
        <v>253000.0</v>
      </c>
      <c r="I39" s="133">
        <f t="shared" si="1"/>
        <v>146.6666667</v>
      </c>
      <c r="J39" s="66">
        <v>350000.0</v>
      </c>
      <c r="K39" s="66"/>
      <c r="L39" s="66">
        <f t="shared" si="2"/>
        <v>97000</v>
      </c>
      <c r="M39" s="66">
        <v>40000.0</v>
      </c>
      <c r="N39" s="62">
        <f t="shared" si="8"/>
        <v>21000</v>
      </c>
      <c r="O39" s="62"/>
      <c r="P39" s="62">
        <f t="shared" si="5"/>
        <v>36000</v>
      </c>
      <c r="Q39" s="62"/>
      <c r="R39" s="62">
        <f t="shared" si="6"/>
        <v>222500</v>
      </c>
      <c r="S39" s="62">
        <f t="shared" si="7"/>
        <v>-30500</v>
      </c>
      <c r="V39" s="66" t="s">
        <v>548</v>
      </c>
    </row>
    <row r="40" ht="15.75" customHeight="1">
      <c r="C40" s="66" t="s">
        <v>610</v>
      </c>
      <c r="D40" s="104"/>
      <c r="E40" s="104"/>
      <c r="F40" s="105" t="s">
        <v>611</v>
      </c>
      <c r="G40" s="104">
        <v>2032.0</v>
      </c>
      <c r="H40" s="66">
        <v>250000.0</v>
      </c>
      <c r="I40" s="133">
        <f t="shared" si="1"/>
        <v>123.0314961</v>
      </c>
      <c r="J40" s="66">
        <v>330000.0</v>
      </c>
      <c r="K40" s="66"/>
      <c r="L40" s="66">
        <f t="shared" si="2"/>
        <v>80000</v>
      </c>
      <c r="M40" s="66">
        <v>20000.0</v>
      </c>
      <c r="N40" s="62">
        <f t="shared" si="8"/>
        <v>19800</v>
      </c>
      <c r="O40" s="62"/>
      <c r="P40" s="62">
        <f t="shared" si="5"/>
        <v>40200</v>
      </c>
      <c r="Q40" s="62"/>
      <c r="R40" s="62">
        <f t="shared" si="6"/>
        <v>227500</v>
      </c>
      <c r="S40" s="62">
        <f t="shared" si="7"/>
        <v>-22500</v>
      </c>
      <c r="V40" s="66" t="s">
        <v>548</v>
      </c>
    </row>
    <row r="41" ht="13.5" customHeight="1">
      <c r="A41" s="66"/>
      <c r="B41" s="66"/>
      <c r="C41" s="66" t="s">
        <v>612</v>
      </c>
      <c r="D41" s="104" t="s">
        <v>613</v>
      </c>
      <c r="E41" s="104" t="s">
        <v>91</v>
      </c>
      <c r="F41" s="105" t="s">
        <v>514</v>
      </c>
      <c r="G41" s="104">
        <v>2600.0</v>
      </c>
      <c r="H41" s="66">
        <v>175000.0</v>
      </c>
      <c r="I41" s="133">
        <f t="shared" si="1"/>
        <v>67.30769231</v>
      </c>
      <c r="J41" s="66">
        <v>330000.0</v>
      </c>
      <c r="K41" s="66"/>
      <c r="L41" s="66">
        <f t="shared" si="2"/>
        <v>155000</v>
      </c>
      <c r="M41" s="66">
        <v>75000.0</v>
      </c>
      <c r="N41" s="62">
        <f t="shared" si="8"/>
        <v>19800</v>
      </c>
      <c r="O41" s="62"/>
      <c r="P41" s="62">
        <f t="shared" si="5"/>
        <v>60200</v>
      </c>
      <c r="Q41" s="62"/>
      <c r="R41" s="62">
        <f t="shared" si="6"/>
        <v>172500</v>
      </c>
      <c r="S41" s="62">
        <f t="shared" si="7"/>
        <v>-2500</v>
      </c>
      <c r="V41" s="66" t="s">
        <v>548</v>
      </c>
    </row>
    <row r="42" ht="15.75" customHeight="1">
      <c r="C42" s="66" t="s">
        <v>614</v>
      </c>
      <c r="D42" s="66">
        <v>1.5016431E7</v>
      </c>
      <c r="E42" s="104"/>
      <c r="F42" s="105" t="s">
        <v>507</v>
      </c>
      <c r="G42" s="104">
        <v>1375.0</v>
      </c>
      <c r="H42" s="66">
        <v>335000.0</v>
      </c>
      <c r="I42" s="133">
        <f t="shared" si="1"/>
        <v>243.6363636</v>
      </c>
      <c r="J42" s="66">
        <v>700000.0</v>
      </c>
      <c r="K42" s="66"/>
      <c r="L42" s="66">
        <f t="shared" si="2"/>
        <v>365000</v>
      </c>
      <c r="M42" s="66">
        <v>150000.0</v>
      </c>
      <c r="N42" s="62">
        <f t="shared" si="8"/>
        <v>42000</v>
      </c>
      <c r="O42" s="62"/>
      <c r="P42" s="62">
        <f t="shared" si="5"/>
        <v>173000</v>
      </c>
      <c r="Q42" s="62"/>
      <c r="R42" s="62">
        <f t="shared" si="6"/>
        <v>375000</v>
      </c>
      <c r="S42" s="62">
        <f t="shared" si="7"/>
        <v>40000</v>
      </c>
      <c r="V42" s="66" t="s">
        <v>548</v>
      </c>
    </row>
    <row r="43" ht="15.75" customHeight="1">
      <c r="C43" s="66" t="s">
        <v>615</v>
      </c>
      <c r="D43" s="104"/>
      <c r="E43" s="104" t="s">
        <v>616</v>
      </c>
      <c r="F43" s="105" t="s">
        <v>617</v>
      </c>
      <c r="G43" s="104">
        <v>2115.0</v>
      </c>
      <c r="H43" s="66">
        <v>240000.0</v>
      </c>
      <c r="I43" s="133">
        <f t="shared" si="1"/>
        <v>113.4751773</v>
      </c>
      <c r="J43" s="66">
        <v>400000.0</v>
      </c>
      <c r="K43" s="66"/>
      <c r="L43" s="66">
        <f t="shared" si="2"/>
        <v>160000</v>
      </c>
      <c r="M43" s="66">
        <v>60000.0</v>
      </c>
      <c r="N43" s="62">
        <f t="shared" si="8"/>
        <v>24000</v>
      </c>
      <c r="O43" s="62"/>
      <c r="P43" s="62">
        <f t="shared" si="5"/>
        <v>76000</v>
      </c>
      <c r="Q43" s="62"/>
      <c r="R43" s="62">
        <f t="shared" si="6"/>
        <v>240000</v>
      </c>
      <c r="S43" s="62">
        <f t="shared" si="7"/>
        <v>0</v>
      </c>
      <c r="V43" s="66" t="s">
        <v>548</v>
      </c>
    </row>
    <row r="44" ht="15.75" customHeight="1">
      <c r="C44" s="66" t="s">
        <v>618</v>
      </c>
      <c r="D44" s="104"/>
      <c r="E44" s="104" t="s">
        <v>91</v>
      </c>
      <c r="F44" s="105" t="s">
        <v>508</v>
      </c>
      <c r="G44" s="104">
        <v>1342.0</v>
      </c>
      <c r="H44" s="66">
        <v>155000.0</v>
      </c>
      <c r="I44" s="133">
        <f t="shared" si="1"/>
        <v>115.4992548</v>
      </c>
      <c r="J44" s="66">
        <v>205000.0</v>
      </c>
      <c r="K44" s="66"/>
      <c r="L44" s="66">
        <f t="shared" si="2"/>
        <v>50000</v>
      </c>
      <c r="M44" s="66">
        <v>40000.0</v>
      </c>
      <c r="N44" s="62">
        <f t="shared" si="8"/>
        <v>12300</v>
      </c>
      <c r="O44" s="62"/>
      <c r="P44" s="62">
        <f t="shared" si="5"/>
        <v>-2300</v>
      </c>
      <c r="Q44" s="62"/>
      <c r="R44" s="62">
        <f t="shared" si="6"/>
        <v>113750</v>
      </c>
      <c r="S44" s="62">
        <f t="shared" si="7"/>
        <v>-41250</v>
      </c>
      <c r="V44" s="66" t="s">
        <v>548</v>
      </c>
    </row>
    <row r="45" ht="15.75" customHeight="1">
      <c r="C45" s="66" t="s">
        <v>619</v>
      </c>
      <c r="D45" s="104"/>
      <c r="E45" s="104" t="s">
        <v>616</v>
      </c>
      <c r="F45" s="105" t="s">
        <v>508</v>
      </c>
      <c r="G45" s="104">
        <v>1479.0</v>
      </c>
      <c r="H45" s="66">
        <v>300000.0</v>
      </c>
      <c r="I45" s="133">
        <f t="shared" si="1"/>
        <v>202.8397566</v>
      </c>
      <c r="J45" s="66">
        <v>450000.0</v>
      </c>
      <c r="K45" s="66"/>
      <c r="L45" s="66">
        <f t="shared" si="2"/>
        <v>150000</v>
      </c>
      <c r="M45" s="66">
        <v>45000.0</v>
      </c>
      <c r="N45" s="62">
        <f t="shared" si="8"/>
        <v>27000</v>
      </c>
      <c r="O45" s="62"/>
      <c r="P45" s="62">
        <f t="shared" si="5"/>
        <v>78000</v>
      </c>
      <c r="Q45" s="62"/>
      <c r="R45" s="62">
        <f t="shared" si="6"/>
        <v>292500</v>
      </c>
      <c r="S45" s="62">
        <f t="shared" si="7"/>
        <v>-7500</v>
      </c>
      <c r="V45" s="66" t="s">
        <v>548</v>
      </c>
    </row>
    <row r="46" ht="15.75" customHeight="1">
      <c r="C46" s="66" t="s">
        <v>620</v>
      </c>
      <c r="D46" s="66">
        <v>1.5024001E7</v>
      </c>
      <c r="E46" s="104"/>
      <c r="F46" s="105" t="s">
        <v>506</v>
      </c>
      <c r="G46" s="104">
        <v>1320.0</v>
      </c>
      <c r="H46" s="66">
        <v>162000.0</v>
      </c>
      <c r="I46" s="133">
        <f t="shared" si="1"/>
        <v>122.7272727</v>
      </c>
      <c r="J46" s="66">
        <v>270000.0</v>
      </c>
      <c r="K46" s="66"/>
      <c r="L46" s="66">
        <f t="shared" si="2"/>
        <v>108000</v>
      </c>
      <c r="M46" s="66">
        <v>40000.0</v>
      </c>
      <c r="N46" s="62">
        <f t="shared" si="8"/>
        <v>16200</v>
      </c>
      <c r="O46" s="62"/>
      <c r="P46" s="62">
        <f t="shared" si="5"/>
        <v>51800</v>
      </c>
      <c r="Q46" s="62"/>
      <c r="R46" s="62">
        <f t="shared" si="6"/>
        <v>162500</v>
      </c>
      <c r="S46" s="62">
        <f t="shared" si="7"/>
        <v>500</v>
      </c>
      <c r="V46" s="66" t="s">
        <v>548</v>
      </c>
    </row>
    <row r="47" ht="15.75" customHeight="1">
      <c r="C47" s="66" t="s">
        <v>621</v>
      </c>
      <c r="D47" s="104"/>
      <c r="E47" s="104" t="s">
        <v>622</v>
      </c>
      <c r="F47" s="105" t="s">
        <v>506</v>
      </c>
      <c r="G47" s="104">
        <v>1362.0</v>
      </c>
      <c r="H47" s="66">
        <v>410000.0</v>
      </c>
      <c r="I47" s="133">
        <f t="shared" si="1"/>
        <v>301.0279001</v>
      </c>
      <c r="J47" s="66">
        <v>490000.0</v>
      </c>
      <c r="K47" s="66"/>
      <c r="L47" s="66">
        <f t="shared" si="2"/>
        <v>80000</v>
      </c>
      <c r="M47" s="66">
        <v>0.0</v>
      </c>
      <c r="N47" s="62">
        <f t="shared" si="8"/>
        <v>29400</v>
      </c>
      <c r="O47" s="62"/>
      <c r="P47" s="62">
        <f t="shared" si="5"/>
        <v>50600</v>
      </c>
      <c r="Q47" s="62"/>
      <c r="R47" s="62">
        <f t="shared" si="6"/>
        <v>367500</v>
      </c>
      <c r="S47" s="62">
        <f t="shared" si="7"/>
        <v>-42500</v>
      </c>
      <c r="V47" s="66" t="s">
        <v>548</v>
      </c>
    </row>
    <row r="48" ht="15.75" customHeight="1">
      <c r="C48" s="66" t="s">
        <v>623</v>
      </c>
      <c r="D48" s="104"/>
      <c r="E48" s="104"/>
      <c r="F48" s="105" t="s">
        <v>506</v>
      </c>
      <c r="G48" s="104">
        <v>1790.0</v>
      </c>
      <c r="H48" s="66">
        <v>350000.0</v>
      </c>
      <c r="I48" s="133">
        <f t="shared" si="1"/>
        <v>195.5307263</v>
      </c>
      <c r="J48" s="66">
        <v>75000.0</v>
      </c>
      <c r="K48" s="66"/>
      <c r="L48" s="66">
        <f t="shared" si="2"/>
        <v>-275000</v>
      </c>
      <c r="M48" s="66">
        <v>40000.0</v>
      </c>
      <c r="N48" s="62">
        <f t="shared" si="8"/>
        <v>4500</v>
      </c>
      <c r="O48" s="62"/>
      <c r="P48" s="62">
        <f t="shared" si="5"/>
        <v>-319500</v>
      </c>
      <c r="Q48" s="62"/>
      <c r="R48" s="62">
        <f t="shared" si="6"/>
        <v>16250</v>
      </c>
      <c r="S48" s="62">
        <f t="shared" si="7"/>
        <v>-333750</v>
      </c>
      <c r="V48" s="66" t="s">
        <v>548</v>
      </c>
    </row>
    <row r="49" ht="15.75" customHeight="1">
      <c r="C49" s="66" t="s">
        <v>624</v>
      </c>
      <c r="D49" s="104"/>
      <c r="E49" s="104"/>
      <c r="F49" s="105" t="s">
        <v>506</v>
      </c>
      <c r="G49" s="104">
        <v>1632.0</v>
      </c>
      <c r="H49" s="66">
        <v>300000.0</v>
      </c>
      <c r="I49" s="133">
        <f t="shared" si="1"/>
        <v>183.8235294</v>
      </c>
      <c r="J49" s="66">
        <v>375000.0</v>
      </c>
      <c r="K49" s="66"/>
      <c r="L49" s="66">
        <f t="shared" si="2"/>
        <v>75000</v>
      </c>
      <c r="M49" s="66">
        <v>0.0</v>
      </c>
      <c r="N49" s="62">
        <f t="shared" si="8"/>
        <v>22500</v>
      </c>
      <c r="O49" s="62"/>
      <c r="P49" s="62">
        <f t="shared" si="5"/>
        <v>52500</v>
      </c>
      <c r="Q49" s="62"/>
      <c r="R49" s="62">
        <f t="shared" si="6"/>
        <v>281250</v>
      </c>
      <c r="S49" s="62">
        <f t="shared" si="7"/>
        <v>-18750</v>
      </c>
      <c r="V49" s="66" t="s">
        <v>548</v>
      </c>
    </row>
    <row r="50" ht="15.75" customHeight="1">
      <c r="B50" s="103">
        <v>42152.0</v>
      </c>
      <c r="C50" s="66" t="s">
        <v>625</v>
      </c>
      <c r="D50" s="104"/>
      <c r="E50" s="104" t="s">
        <v>626</v>
      </c>
      <c r="F50" s="105"/>
      <c r="G50" s="104"/>
      <c r="H50" s="66">
        <v>199000.0</v>
      </c>
      <c r="I50" s="133" t="str">
        <f t="shared" si="1"/>
        <v>#DIV/0!</v>
      </c>
      <c r="J50" s="66">
        <v>240000.0</v>
      </c>
      <c r="K50" s="66"/>
      <c r="L50" s="66">
        <f t="shared" si="2"/>
        <v>41000</v>
      </c>
      <c r="M50" s="66">
        <v>0.0</v>
      </c>
      <c r="N50" s="62">
        <f t="shared" si="8"/>
        <v>14400</v>
      </c>
      <c r="O50" s="62"/>
      <c r="P50" s="62">
        <f t="shared" si="5"/>
        <v>26600</v>
      </c>
      <c r="Q50" s="62"/>
      <c r="R50" s="62">
        <f t="shared" si="6"/>
        <v>180000</v>
      </c>
      <c r="S50" s="62">
        <f t="shared" si="7"/>
        <v>-19000</v>
      </c>
      <c r="T50" s="66" t="s">
        <v>627</v>
      </c>
      <c r="V50" s="66" t="s">
        <v>548</v>
      </c>
    </row>
    <row r="51" ht="15.75" customHeight="1">
      <c r="A51" s="66" t="s">
        <v>628</v>
      </c>
      <c r="B51" s="103">
        <v>42152.0</v>
      </c>
      <c r="C51" s="66" t="s">
        <v>629</v>
      </c>
      <c r="D51" s="104"/>
      <c r="E51" s="104" t="s">
        <v>622</v>
      </c>
      <c r="F51" s="105"/>
      <c r="G51" s="104"/>
      <c r="I51" s="133" t="str">
        <f t="shared" si="1"/>
        <v>#DIV/0!</v>
      </c>
      <c r="K51" s="66"/>
      <c r="L51" s="66">
        <f t="shared" si="2"/>
        <v>0</v>
      </c>
      <c r="M51" s="66">
        <v>0.0</v>
      </c>
      <c r="N51" s="62">
        <f t="shared" si="8"/>
        <v>0</v>
      </c>
      <c r="O51" s="62"/>
      <c r="P51" s="62">
        <f t="shared" si="5"/>
        <v>0</v>
      </c>
      <c r="Q51" s="62"/>
      <c r="R51" s="62">
        <f t="shared" si="6"/>
        <v>0</v>
      </c>
      <c r="S51" s="62">
        <f t="shared" si="7"/>
        <v>0</v>
      </c>
      <c r="T51" s="66" t="s">
        <v>630</v>
      </c>
      <c r="V51" s="66" t="s">
        <v>548</v>
      </c>
    </row>
    <row r="52" ht="15.75" customHeight="1">
      <c r="B52" s="103">
        <v>42152.0</v>
      </c>
      <c r="C52" s="66" t="s">
        <v>631</v>
      </c>
      <c r="D52" s="104"/>
      <c r="E52" s="104" t="s">
        <v>622</v>
      </c>
      <c r="F52" s="105"/>
      <c r="G52" s="104"/>
      <c r="I52" s="133" t="str">
        <f t="shared" si="1"/>
        <v>#DIV/0!</v>
      </c>
      <c r="K52" s="66"/>
      <c r="L52" s="66">
        <f t="shared" si="2"/>
        <v>0</v>
      </c>
      <c r="M52" s="66">
        <v>0.0</v>
      </c>
      <c r="N52" s="62">
        <f t="shared" si="8"/>
        <v>0</v>
      </c>
      <c r="O52" s="62"/>
      <c r="P52" s="62">
        <f t="shared" si="5"/>
        <v>0</v>
      </c>
      <c r="Q52" s="62"/>
      <c r="R52" s="62">
        <f t="shared" si="6"/>
        <v>0</v>
      </c>
      <c r="S52" s="62">
        <f t="shared" si="7"/>
        <v>0</v>
      </c>
      <c r="T52" s="66" t="s">
        <v>630</v>
      </c>
      <c r="V52" s="66" t="s">
        <v>548</v>
      </c>
    </row>
    <row r="53" ht="15.75" customHeight="1">
      <c r="B53" s="103">
        <v>42152.0</v>
      </c>
      <c r="C53" s="66" t="s">
        <v>632</v>
      </c>
      <c r="D53" s="104"/>
      <c r="E53" s="104" t="s">
        <v>633</v>
      </c>
      <c r="F53" s="105"/>
      <c r="G53" s="104"/>
      <c r="I53" s="133" t="str">
        <f t="shared" si="1"/>
        <v>#DIV/0!</v>
      </c>
      <c r="K53" s="66"/>
      <c r="L53" s="66">
        <f t="shared" si="2"/>
        <v>0</v>
      </c>
      <c r="M53" s="66">
        <v>0.0</v>
      </c>
      <c r="N53" s="62">
        <f t="shared" si="8"/>
        <v>0</v>
      </c>
      <c r="O53" s="62"/>
      <c r="P53" s="62">
        <f t="shared" si="5"/>
        <v>0</v>
      </c>
      <c r="Q53" s="62"/>
      <c r="R53" s="62">
        <f t="shared" si="6"/>
        <v>0</v>
      </c>
      <c r="S53" s="62">
        <f t="shared" si="7"/>
        <v>0</v>
      </c>
      <c r="T53" s="66" t="s">
        <v>529</v>
      </c>
      <c r="V53" s="66" t="s">
        <v>548</v>
      </c>
    </row>
    <row r="54" ht="15.75" customHeight="1">
      <c r="B54" s="103">
        <v>42152.0</v>
      </c>
      <c r="C54" s="66" t="s">
        <v>634</v>
      </c>
      <c r="D54" s="66">
        <v>1.5032666E7</v>
      </c>
      <c r="E54" s="66" t="s">
        <v>96</v>
      </c>
      <c r="F54" s="132" t="s">
        <v>635</v>
      </c>
      <c r="G54" s="104">
        <v>1536.0</v>
      </c>
      <c r="H54" s="66">
        <v>535000.0</v>
      </c>
      <c r="I54" s="133">
        <f t="shared" si="1"/>
        <v>348.3072917</v>
      </c>
      <c r="K54" s="66"/>
      <c r="L54" s="66">
        <f t="shared" si="2"/>
        <v>-535000</v>
      </c>
      <c r="M54" s="66">
        <v>0.0</v>
      </c>
      <c r="N54" s="62">
        <f t="shared" si="8"/>
        <v>0</v>
      </c>
      <c r="O54" s="62"/>
      <c r="P54" s="62">
        <f t="shared" si="5"/>
        <v>-535000</v>
      </c>
      <c r="Q54" s="62"/>
      <c r="R54" s="62">
        <f t="shared" si="6"/>
        <v>0</v>
      </c>
      <c r="S54" s="62">
        <f t="shared" si="7"/>
        <v>-535000</v>
      </c>
      <c r="T54" s="66" t="s">
        <v>126</v>
      </c>
      <c r="V54" s="66" t="s">
        <v>548</v>
      </c>
    </row>
    <row r="55" ht="15.75" customHeight="1">
      <c r="B55" s="103">
        <v>42166.0</v>
      </c>
      <c r="C55" s="66" t="s">
        <v>636</v>
      </c>
      <c r="D55" s="104"/>
      <c r="E55" s="104"/>
      <c r="F55" s="105"/>
      <c r="G55" s="104">
        <v>1625.0</v>
      </c>
      <c r="H55" s="66">
        <v>140000.0</v>
      </c>
      <c r="I55" s="133">
        <f t="shared" si="1"/>
        <v>86.15384615</v>
      </c>
      <c r="J55" s="66">
        <v>300000.0</v>
      </c>
      <c r="K55" s="66"/>
      <c r="L55" s="66">
        <f t="shared" si="2"/>
        <v>160000</v>
      </c>
      <c r="M55" s="66">
        <v>75000.0</v>
      </c>
      <c r="N55" s="62">
        <f t="shared" si="8"/>
        <v>18000</v>
      </c>
      <c r="O55" s="62"/>
      <c r="P55" s="62">
        <f t="shared" si="5"/>
        <v>67000</v>
      </c>
      <c r="Q55" s="62"/>
      <c r="R55" s="62">
        <f t="shared" si="6"/>
        <v>150000</v>
      </c>
      <c r="S55" s="62">
        <f t="shared" si="7"/>
        <v>10000</v>
      </c>
      <c r="V55" s="66" t="s">
        <v>548</v>
      </c>
    </row>
    <row r="56" ht="15.75" customHeight="1">
      <c r="A56" s="66" t="s">
        <v>637</v>
      </c>
      <c r="B56" s="103">
        <v>42236.0</v>
      </c>
      <c r="C56" s="66" t="s">
        <v>638</v>
      </c>
      <c r="D56" s="104"/>
      <c r="E56" s="104" t="s">
        <v>639</v>
      </c>
      <c r="F56" s="105" t="s">
        <v>506</v>
      </c>
      <c r="G56" s="104"/>
      <c r="H56" s="66"/>
      <c r="J56" s="62"/>
      <c r="K56" s="62"/>
      <c r="L56" s="62"/>
      <c r="M56" s="62"/>
      <c r="N56" s="62"/>
      <c r="Q56" s="66"/>
      <c r="R56" s="66"/>
      <c r="S56" s="66"/>
      <c r="T56" s="66" t="s">
        <v>640</v>
      </c>
      <c r="V56" s="66" t="s">
        <v>548</v>
      </c>
    </row>
    <row r="57" ht="15.75" customHeight="1">
      <c r="A57" s="66" t="s">
        <v>641</v>
      </c>
      <c r="B57" s="103">
        <v>42240.0</v>
      </c>
      <c r="C57" s="66" t="s">
        <v>642</v>
      </c>
      <c r="D57" s="104"/>
      <c r="E57" s="104" t="s">
        <v>119</v>
      </c>
      <c r="F57" s="105" t="s">
        <v>643</v>
      </c>
      <c r="G57" s="104">
        <v>2234.0</v>
      </c>
      <c r="H57" s="66">
        <v>362000.0</v>
      </c>
      <c r="I57" s="133">
        <f t="shared" ref="I57:I78" si="10">H57/G57</f>
        <v>162.0411817</v>
      </c>
      <c r="J57" s="66">
        <v>600000.0</v>
      </c>
      <c r="K57" s="66"/>
      <c r="L57" s="66">
        <f t="shared" ref="L57:L78" si="11">J57-H57</f>
        <v>238000</v>
      </c>
      <c r="M57" s="66">
        <v>100000.0</v>
      </c>
      <c r="N57" s="62">
        <f t="shared" ref="N57:N120" si="12">MULTIPLY(0.06,J57)</f>
        <v>36000</v>
      </c>
      <c r="O57" s="62"/>
      <c r="P57" s="62">
        <f t="shared" ref="P57:P120" si="13">L57-M57-N57</f>
        <v>102000</v>
      </c>
      <c r="Q57" s="62"/>
      <c r="R57" s="62">
        <f t="shared" ref="R57:R120" si="14">(J57*0.75)-M57</f>
        <v>350000</v>
      </c>
      <c r="S57" s="62">
        <f t="shared" ref="S57:S120" si="15">R57-H57</f>
        <v>-12000</v>
      </c>
      <c r="T57" s="66" t="s">
        <v>126</v>
      </c>
    </row>
    <row r="58" ht="15.75" customHeight="1">
      <c r="A58" s="66" t="s">
        <v>644</v>
      </c>
      <c r="B58" s="103">
        <v>42236.0</v>
      </c>
      <c r="C58" s="66" t="s">
        <v>645</v>
      </c>
      <c r="D58" s="104"/>
      <c r="E58" s="104" t="s">
        <v>646</v>
      </c>
      <c r="F58" s="105"/>
      <c r="G58" s="104"/>
      <c r="H58" s="66">
        <v>195000.0</v>
      </c>
      <c r="I58" s="133" t="str">
        <f t="shared" si="10"/>
        <v>#DIV/0!</v>
      </c>
      <c r="J58" s="66">
        <v>600000.0</v>
      </c>
      <c r="K58" s="133" t="str">
        <f t="shared" ref="K58:K78" si="16">J58/I58</f>
        <v>#DIV/0!</v>
      </c>
      <c r="L58" s="66">
        <f t="shared" si="11"/>
        <v>405000</v>
      </c>
      <c r="M58" s="66">
        <v>100000.0</v>
      </c>
      <c r="N58" s="62">
        <f t="shared" si="12"/>
        <v>36000</v>
      </c>
      <c r="O58" s="62">
        <f t="shared" ref="O58:O120" si="17">SUM(H58,M58,N58)</f>
        <v>331000</v>
      </c>
      <c r="P58" s="62">
        <f t="shared" si="13"/>
        <v>269000</v>
      </c>
      <c r="Q58" s="134">
        <f t="shared" ref="Q58:Q120" si="18">DIVIDE(P58,O58)</f>
        <v>0.8126888218</v>
      </c>
      <c r="R58" s="62">
        <f t="shared" si="14"/>
        <v>350000</v>
      </c>
      <c r="S58" s="62">
        <f t="shared" si="15"/>
        <v>155000</v>
      </c>
      <c r="T58" s="66" t="s">
        <v>126</v>
      </c>
      <c r="U58" s="66"/>
    </row>
    <row r="59" ht="15.75" customHeight="1">
      <c r="A59" s="66" t="s">
        <v>647</v>
      </c>
      <c r="B59" s="103">
        <v>42236.0</v>
      </c>
      <c r="C59" s="66" t="s">
        <v>648</v>
      </c>
      <c r="D59" s="104"/>
      <c r="E59" s="104" t="s">
        <v>119</v>
      </c>
      <c r="F59" s="105"/>
      <c r="G59" s="104"/>
      <c r="H59" s="66">
        <v>400000.0</v>
      </c>
      <c r="I59" s="133" t="str">
        <f t="shared" si="10"/>
        <v>#DIV/0!</v>
      </c>
      <c r="J59" s="66">
        <v>490000.0</v>
      </c>
      <c r="K59" s="133" t="str">
        <f t="shared" si="16"/>
        <v>#DIV/0!</v>
      </c>
      <c r="L59" s="66">
        <f t="shared" si="11"/>
        <v>90000</v>
      </c>
      <c r="M59" s="66">
        <v>25000.0</v>
      </c>
      <c r="N59" s="62">
        <f t="shared" si="12"/>
        <v>29400</v>
      </c>
      <c r="O59" s="62">
        <f t="shared" si="17"/>
        <v>454400</v>
      </c>
      <c r="P59" s="62">
        <f t="shared" si="13"/>
        <v>35600</v>
      </c>
      <c r="Q59" s="134">
        <f t="shared" si="18"/>
        <v>0.07834507042</v>
      </c>
      <c r="R59" s="62">
        <f t="shared" si="14"/>
        <v>342500</v>
      </c>
      <c r="S59" s="62">
        <f t="shared" si="15"/>
        <v>-57500</v>
      </c>
      <c r="T59" s="66" t="s">
        <v>126</v>
      </c>
    </row>
    <row r="60" ht="15.75" customHeight="1">
      <c r="A60" s="66" t="s">
        <v>649</v>
      </c>
      <c r="B60" s="103">
        <v>42236.0</v>
      </c>
      <c r="C60" s="66" t="s">
        <v>650</v>
      </c>
      <c r="D60" s="104"/>
      <c r="E60" s="104" t="s">
        <v>117</v>
      </c>
      <c r="F60" s="105"/>
      <c r="G60" s="104"/>
      <c r="H60" s="66">
        <v>400000.0</v>
      </c>
      <c r="I60" s="133" t="str">
        <f t="shared" si="10"/>
        <v>#DIV/0!</v>
      </c>
      <c r="J60" s="66">
        <v>490000.0</v>
      </c>
      <c r="K60" s="133" t="str">
        <f t="shared" si="16"/>
        <v>#DIV/0!</v>
      </c>
      <c r="L60" s="66">
        <f t="shared" si="11"/>
        <v>90000</v>
      </c>
      <c r="M60" s="66">
        <v>25000.0</v>
      </c>
      <c r="N60" s="62">
        <f t="shared" si="12"/>
        <v>29400</v>
      </c>
      <c r="O60" s="62">
        <f t="shared" si="17"/>
        <v>454400</v>
      </c>
      <c r="P60" s="62">
        <f t="shared" si="13"/>
        <v>35600</v>
      </c>
      <c r="Q60" s="134">
        <f t="shared" si="18"/>
        <v>0.07834507042</v>
      </c>
      <c r="R60" s="62">
        <f t="shared" si="14"/>
        <v>342500</v>
      </c>
      <c r="S60" s="62">
        <f t="shared" si="15"/>
        <v>-57500</v>
      </c>
      <c r="T60" s="66" t="s">
        <v>651</v>
      </c>
    </row>
    <row r="61" ht="15.75" customHeight="1">
      <c r="A61" s="66" t="s">
        <v>652</v>
      </c>
      <c r="B61" s="103">
        <v>42236.0</v>
      </c>
      <c r="C61" s="66" t="s">
        <v>653</v>
      </c>
      <c r="D61" s="104"/>
      <c r="E61" s="104" t="s">
        <v>119</v>
      </c>
      <c r="F61" s="105"/>
      <c r="G61" s="104"/>
      <c r="H61" s="66">
        <v>800000.0</v>
      </c>
      <c r="I61" s="133" t="str">
        <f t="shared" si="10"/>
        <v>#DIV/0!</v>
      </c>
      <c r="J61" s="66">
        <v>1200000.0</v>
      </c>
      <c r="K61" s="133" t="str">
        <f t="shared" si="16"/>
        <v>#DIV/0!</v>
      </c>
      <c r="L61" s="66">
        <f t="shared" si="11"/>
        <v>400000</v>
      </c>
      <c r="M61" s="66">
        <v>100000.0</v>
      </c>
      <c r="N61" s="62">
        <f t="shared" si="12"/>
        <v>72000</v>
      </c>
      <c r="O61" s="62">
        <f t="shared" si="17"/>
        <v>972000</v>
      </c>
      <c r="P61" s="62">
        <f t="shared" si="13"/>
        <v>228000</v>
      </c>
      <c r="Q61" s="134">
        <f t="shared" si="18"/>
        <v>0.2345679012</v>
      </c>
      <c r="R61" s="62">
        <f t="shared" si="14"/>
        <v>800000</v>
      </c>
      <c r="S61" s="62">
        <f t="shared" si="15"/>
        <v>0</v>
      </c>
      <c r="T61" s="66" t="s">
        <v>126</v>
      </c>
    </row>
    <row r="62" ht="15.75" customHeight="1">
      <c r="A62" s="66" t="s">
        <v>654</v>
      </c>
      <c r="B62" s="103">
        <v>42236.0</v>
      </c>
      <c r="C62" s="66" t="s">
        <v>655</v>
      </c>
      <c r="D62" s="104"/>
      <c r="E62" s="104" t="s">
        <v>117</v>
      </c>
      <c r="F62" s="105"/>
      <c r="G62" s="104"/>
      <c r="I62" s="133" t="str">
        <f t="shared" si="10"/>
        <v>#DIV/0!</v>
      </c>
      <c r="K62" s="133" t="str">
        <f t="shared" si="16"/>
        <v>#DIV/0!</v>
      </c>
      <c r="L62" s="66">
        <f t="shared" si="11"/>
        <v>0</v>
      </c>
      <c r="N62" s="62">
        <f t="shared" si="12"/>
        <v>0</v>
      </c>
      <c r="O62" s="62">
        <f t="shared" si="17"/>
        <v>0</v>
      </c>
      <c r="P62" s="62">
        <f t="shared" si="13"/>
        <v>0</v>
      </c>
      <c r="Q62" s="134" t="str">
        <f t="shared" si="18"/>
        <v>#DIV/0!</v>
      </c>
      <c r="R62" s="62">
        <f t="shared" si="14"/>
        <v>0</v>
      </c>
      <c r="S62" s="62">
        <f t="shared" si="15"/>
        <v>0</v>
      </c>
      <c r="T62" s="66" t="s">
        <v>656</v>
      </c>
    </row>
    <row r="63" ht="15.75" customHeight="1">
      <c r="A63" s="66" t="s">
        <v>657</v>
      </c>
      <c r="B63" s="103">
        <v>42236.0</v>
      </c>
      <c r="C63" s="66" t="s">
        <v>658</v>
      </c>
      <c r="D63" s="104"/>
      <c r="E63" s="104" t="s">
        <v>659</v>
      </c>
      <c r="F63" s="105"/>
      <c r="G63" s="104"/>
      <c r="H63" s="66">
        <v>70000.0</v>
      </c>
      <c r="I63" s="133" t="str">
        <f t="shared" si="10"/>
        <v>#DIV/0!</v>
      </c>
      <c r="J63" s="66">
        <v>125000.0</v>
      </c>
      <c r="K63" s="133" t="str">
        <f t="shared" si="16"/>
        <v>#DIV/0!</v>
      </c>
      <c r="L63" s="66">
        <f t="shared" si="11"/>
        <v>55000</v>
      </c>
      <c r="M63" s="66">
        <v>15000.0</v>
      </c>
      <c r="N63" s="62">
        <f t="shared" si="12"/>
        <v>7500</v>
      </c>
      <c r="O63" s="62">
        <f t="shared" si="17"/>
        <v>92500</v>
      </c>
      <c r="P63" s="62">
        <f t="shared" si="13"/>
        <v>32500</v>
      </c>
      <c r="Q63" s="134">
        <f t="shared" si="18"/>
        <v>0.3513513514</v>
      </c>
      <c r="R63" s="62">
        <f t="shared" si="14"/>
        <v>78750</v>
      </c>
      <c r="S63" s="62">
        <f t="shared" si="15"/>
        <v>8750</v>
      </c>
      <c r="T63" s="66" t="s">
        <v>656</v>
      </c>
    </row>
    <row r="64" ht="15.75" customHeight="1">
      <c r="A64" s="66" t="s">
        <v>660</v>
      </c>
      <c r="B64" s="103">
        <v>42236.0</v>
      </c>
      <c r="C64" s="66" t="s">
        <v>661</v>
      </c>
      <c r="D64" s="104"/>
      <c r="E64" s="104" t="s">
        <v>112</v>
      </c>
      <c r="F64" s="105"/>
      <c r="G64" s="104"/>
      <c r="I64" s="133" t="str">
        <f t="shared" si="10"/>
        <v>#DIV/0!</v>
      </c>
      <c r="K64" s="133" t="str">
        <f t="shared" si="16"/>
        <v>#DIV/0!</v>
      </c>
      <c r="L64" s="66">
        <f t="shared" si="11"/>
        <v>0</v>
      </c>
      <c r="N64" s="62">
        <f t="shared" si="12"/>
        <v>0</v>
      </c>
      <c r="O64" s="62">
        <f t="shared" si="17"/>
        <v>0</v>
      </c>
      <c r="P64" s="62">
        <f t="shared" si="13"/>
        <v>0</v>
      </c>
      <c r="Q64" s="134" t="str">
        <f t="shared" si="18"/>
        <v>#DIV/0!</v>
      </c>
      <c r="R64" s="62">
        <f t="shared" si="14"/>
        <v>0</v>
      </c>
      <c r="S64" s="62">
        <f t="shared" si="15"/>
        <v>0</v>
      </c>
      <c r="T64" s="66" t="s">
        <v>662</v>
      </c>
      <c r="U64" s="66" t="s">
        <v>663</v>
      </c>
    </row>
    <row r="65" ht="15.75" customHeight="1">
      <c r="B65" s="103">
        <v>42238.0</v>
      </c>
      <c r="C65" s="66" t="s">
        <v>664</v>
      </c>
      <c r="D65" s="104"/>
      <c r="E65" s="104" t="s">
        <v>112</v>
      </c>
      <c r="F65" s="105" t="s">
        <v>665</v>
      </c>
      <c r="G65" s="104" t="s">
        <v>666</v>
      </c>
      <c r="H65" s="66">
        <v>175000.0</v>
      </c>
      <c r="I65" s="133" t="str">
        <f t="shared" si="10"/>
        <v>#VALUE!</v>
      </c>
      <c r="J65" s="66"/>
      <c r="K65" s="133" t="str">
        <f t="shared" si="16"/>
        <v>#VALUE!</v>
      </c>
      <c r="L65" s="66">
        <f t="shared" si="11"/>
        <v>-175000</v>
      </c>
      <c r="M65" s="66"/>
      <c r="N65" s="62">
        <f t="shared" si="12"/>
        <v>0</v>
      </c>
      <c r="O65" s="62">
        <f t="shared" si="17"/>
        <v>175000</v>
      </c>
      <c r="P65" s="62">
        <f t="shared" si="13"/>
        <v>-175000</v>
      </c>
      <c r="Q65" s="134">
        <f t="shared" si="18"/>
        <v>-1</v>
      </c>
      <c r="R65" s="62">
        <f t="shared" si="14"/>
        <v>0</v>
      </c>
      <c r="S65" s="62">
        <f t="shared" si="15"/>
        <v>-175000</v>
      </c>
      <c r="T65" s="66" t="s">
        <v>529</v>
      </c>
      <c r="U65" s="66" t="s">
        <v>667</v>
      </c>
    </row>
    <row r="66" ht="15.75" customHeight="1">
      <c r="A66" s="66" t="s">
        <v>668</v>
      </c>
      <c r="B66" s="103">
        <v>42240.0</v>
      </c>
      <c r="C66" s="66" t="s">
        <v>669</v>
      </c>
      <c r="D66" s="104"/>
      <c r="E66" s="104" t="s">
        <v>520</v>
      </c>
      <c r="F66" s="105"/>
      <c r="G66" s="104"/>
      <c r="H66" s="66">
        <v>260000.0</v>
      </c>
      <c r="I66" s="133" t="str">
        <f t="shared" si="10"/>
        <v>#DIV/0!</v>
      </c>
      <c r="J66" s="66">
        <v>375000.0</v>
      </c>
      <c r="K66" s="133" t="str">
        <f t="shared" si="16"/>
        <v>#DIV/0!</v>
      </c>
      <c r="L66" s="66">
        <f t="shared" si="11"/>
        <v>115000</v>
      </c>
      <c r="M66" s="66">
        <v>50000.0</v>
      </c>
      <c r="N66" s="62">
        <f t="shared" si="12"/>
        <v>22500</v>
      </c>
      <c r="O66" s="62">
        <f t="shared" si="17"/>
        <v>332500</v>
      </c>
      <c r="P66" s="62">
        <f t="shared" si="13"/>
        <v>42500</v>
      </c>
      <c r="Q66" s="134">
        <f t="shared" si="18"/>
        <v>0.1278195489</v>
      </c>
      <c r="R66" s="62">
        <f t="shared" si="14"/>
        <v>231250</v>
      </c>
      <c r="S66" s="62">
        <f t="shared" si="15"/>
        <v>-28750</v>
      </c>
      <c r="T66" s="66" t="s">
        <v>529</v>
      </c>
    </row>
    <row r="67" ht="15.75" customHeight="1">
      <c r="A67" s="66" t="s">
        <v>670</v>
      </c>
      <c r="B67" s="103">
        <v>42240.0</v>
      </c>
      <c r="C67" s="66" t="s">
        <v>671</v>
      </c>
      <c r="D67" s="104"/>
      <c r="E67" s="104" t="s">
        <v>119</v>
      </c>
      <c r="F67" s="105"/>
      <c r="G67" s="104"/>
      <c r="H67" s="66">
        <v>265000.0</v>
      </c>
      <c r="I67" s="133" t="str">
        <f t="shared" si="10"/>
        <v>#DIV/0!</v>
      </c>
      <c r="J67" s="66">
        <v>325000.0</v>
      </c>
      <c r="K67" s="133" t="str">
        <f t="shared" si="16"/>
        <v>#DIV/0!</v>
      </c>
      <c r="L67" s="66">
        <f t="shared" si="11"/>
        <v>60000</v>
      </c>
      <c r="M67" s="66">
        <v>50000.0</v>
      </c>
      <c r="N67" s="62">
        <f t="shared" si="12"/>
        <v>19500</v>
      </c>
      <c r="O67" s="62">
        <f t="shared" si="17"/>
        <v>334500</v>
      </c>
      <c r="P67" s="62">
        <f t="shared" si="13"/>
        <v>-9500</v>
      </c>
      <c r="Q67" s="134">
        <f t="shared" si="18"/>
        <v>-0.02840059791</v>
      </c>
      <c r="R67" s="62">
        <f t="shared" si="14"/>
        <v>193750</v>
      </c>
      <c r="S67" s="62">
        <f t="shared" si="15"/>
        <v>-71250</v>
      </c>
      <c r="T67" s="66" t="s">
        <v>529</v>
      </c>
    </row>
    <row r="68" ht="15.75" customHeight="1">
      <c r="A68" s="66" t="s">
        <v>672</v>
      </c>
      <c r="B68" s="103">
        <v>42240.0</v>
      </c>
      <c r="C68" s="66" t="s">
        <v>673</v>
      </c>
      <c r="D68" s="104"/>
      <c r="E68" s="104" t="s">
        <v>119</v>
      </c>
      <c r="F68" s="105" t="s">
        <v>674</v>
      </c>
      <c r="G68" s="104">
        <v>1701.0</v>
      </c>
      <c r="H68" s="66">
        <v>275000.0</v>
      </c>
      <c r="I68" s="133">
        <f t="shared" si="10"/>
        <v>161.6696061</v>
      </c>
      <c r="J68" s="66">
        <v>350000.0</v>
      </c>
      <c r="K68" s="133">
        <f t="shared" si="16"/>
        <v>2164.909091</v>
      </c>
      <c r="L68" s="66">
        <f t="shared" si="11"/>
        <v>75000</v>
      </c>
      <c r="M68" s="66">
        <v>30000.0</v>
      </c>
      <c r="N68" s="62">
        <f t="shared" si="12"/>
        <v>21000</v>
      </c>
      <c r="O68" s="62">
        <f t="shared" si="17"/>
        <v>326000</v>
      </c>
      <c r="P68" s="62">
        <f t="shared" si="13"/>
        <v>24000</v>
      </c>
      <c r="Q68" s="134">
        <f t="shared" si="18"/>
        <v>0.0736196319</v>
      </c>
      <c r="R68" s="62">
        <f t="shared" si="14"/>
        <v>232500</v>
      </c>
      <c r="S68" s="62">
        <f t="shared" si="15"/>
        <v>-42500</v>
      </c>
      <c r="T68" s="66" t="s">
        <v>126</v>
      </c>
    </row>
    <row r="69" ht="15.75" customHeight="1">
      <c r="B69" s="103">
        <v>42241.0</v>
      </c>
      <c r="C69" s="66" t="s">
        <v>675</v>
      </c>
      <c r="D69" s="104"/>
      <c r="E69" s="104" t="s">
        <v>520</v>
      </c>
      <c r="F69" s="105" t="s">
        <v>617</v>
      </c>
      <c r="G69" s="104">
        <v>1840.0</v>
      </c>
      <c r="H69" s="66">
        <v>292000.0</v>
      </c>
      <c r="I69" s="133">
        <f t="shared" si="10"/>
        <v>158.6956522</v>
      </c>
      <c r="J69" s="66">
        <v>390000.0</v>
      </c>
      <c r="K69" s="133">
        <f t="shared" si="16"/>
        <v>2457.534247</v>
      </c>
      <c r="L69" s="66">
        <f t="shared" si="11"/>
        <v>98000</v>
      </c>
      <c r="M69" s="66">
        <v>45000.0</v>
      </c>
      <c r="N69" s="62">
        <f t="shared" si="12"/>
        <v>23400</v>
      </c>
      <c r="O69" s="62">
        <f t="shared" si="17"/>
        <v>360400</v>
      </c>
      <c r="P69" s="62">
        <f t="shared" si="13"/>
        <v>29600</v>
      </c>
      <c r="Q69" s="134">
        <f t="shared" si="18"/>
        <v>0.08213096559</v>
      </c>
      <c r="R69" s="62">
        <f t="shared" si="14"/>
        <v>247500</v>
      </c>
      <c r="S69" s="62">
        <f t="shared" si="15"/>
        <v>-44500</v>
      </c>
      <c r="T69" s="66" t="s">
        <v>387</v>
      </c>
    </row>
    <row r="70" ht="15.75" customHeight="1">
      <c r="B70" s="103">
        <v>42242.0</v>
      </c>
      <c r="C70" s="66" t="s">
        <v>676</v>
      </c>
      <c r="D70" s="104"/>
      <c r="E70" s="104" t="s">
        <v>117</v>
      </c>
      <c r="F70" s="105"/>
      <c r="G70" s="104"/>
      <c r="H70" s="66">
        <v>300000.0</v>
      </c>
      <c r="I70" s="133" t="str">
        <f t="shared" si="10"/>
        <v>#DIV/0!</v>
      </c>
      <c r="J70" s="66">
        <v>425000.0</v>
      </c>
      <c r="K70" s="133" t="str">
        <f t="shared" si="16"/>
        <v>#DIV/0!</v>
      </c>
      <c r="L70" s="66">
        <f t="shared" si="11"/>
        <v>125000</v>
      </c>
      <c r="M70" s="66"/>
      <c r="N70" s="62">
        <f t="shared" si="12"/>
        <v>25500</v>
      </c>
      <c r="O70" s="62">
        <f t="shared" si="17"/>
        <v>325500</v>
      </c>
      <c r="P70" s="62">
        <f t="shared" si="13"/>
        <v>99500</v>
      </c>
      <c r="Q70" s="134">
        <f t="shared" si="18"/>
        <v>0.3056835637</v>
      </c>
      <c r="R70" s="62">
        <f t="shared" si="14"/>
        <v>318750</v>
      </c>
      <c r="S70" s="62">
        <f t="shared" si="15"/>
        <v>18750</v>
      </c>
      <c r="T70" s="66" t="s">
        <v>126</v>
      </c>
    </row>
    <row r="71" ht="15.75" customHeight="1">
      <c r="B71" s="103">
        <v>42242.0</v>
      </c>
      <c r="C71" s="66" t="s">
        <v>677</v>
      </c>
      <c r="D71" s="104"/>
      <c r="E71" s="104" t="s">
        <v>520</v>
      </c>
      <c r="F71" s="105" t="s">
        <v>506</v>
      </c>
      <c r="G71" s="104">
        <v>1116.0</v>
      </c>
      <c r="H71" s="66">
        <v>130000.0</v>
      </c>
      <c r="I71" s="133">
        <f t="shared" si="10"/>
        <v>116.4874552</v>
      </c>
      <c r="J71" s="66">
        <v>230000.0</v>
      </c>
      <c r="K71" s="133">
        <f t="shared" si="16"/>
        <v>1974.461538</v>
      </c>
      <c r="L71" s="66">
        <f t="shared" si="11"/>
        <v>100000</v>
      </c>
      <c r="M71" s="66"/>
      <c r="N71" s="62">
        <f t="shared" si="12"/>
        <v>13800</v>
      </c>
      <c r="O71" s="62">
        <f t="shared" si="17"/>
        <v>143800</v>
      </c>
      <c r="P71" s="62">
        <f t="shared" si="13"/>
        <v>86200</v>
      </c>
      <c r="Q71" s="134">
        <f t="shared" si="18"/>
        <v>0.5994436718</v>
      </c>
      <c r="R71" s="62">
        <f t="shared" si="14"/>
        <v>172500</v>
      </c>
      <c r="S71" s="62">
        <f t="shared" si="15"/>
        <v>42500</v>
      </c>
    </row>
    <row r="72" ht="15.75" customHeight="1">
      <c r="B72" s="103">
        <v>42242.0</v>
      </c>
      <c r="C72" s="66" t="s">
        <v>678</v>
      </c>
      <c r="D72" s="104"/>
      <c r="E72" s="104" t="s">
        <v>520</v>
      </c>
      <c r="F72" s="105" t="s">
        <v>506</v>
      </c>
      <c r="G72" s="104">
        <v>1260.0</v>
      </c>
      <c r="H72" s="66">
        <v>190000.0</v>
      </c>
      <c r="I72" s="133">
        <f t="shared" si="10"/>
        <v>150.7936508</v>
      </c>
      <c r="J72" s="66">
        <v>265000.0</v>
      </c>
      <c r="K72" s="133">
        <f t="shared" si="16"/>
        <v>1757.368421</v>
      </c>
      <c r="L72" s="66">
        <f t="shared" si="11"/>
        <v>75000</v>
      </c>
      <c r="M72" s="66"/>
      <c r="N72" s="62">
        <f t="shared" si="12"/>
        <v>15900</v>
      </c>
      <c r="O72" s="62">
        <f t="shared" si="17"/>
        <v>205900</v>
      </c>
      <c r="P72" s="62">
        <f t="shared" si="13"/>
        <v>59100</v>
      </c>
      <c r="Q72" s="134">
        <f t="shared" si="18"/>
        <v>0.2870325401</v>
      </c>
      <c r="R72" s="62">
        <f t="shared" si="14"/>
        <v>198750</v>
      </c>
      <c r="S72" s="62">
        <f t="shared" si="15"/>
        <v>8750</v>
      </c>
    </row>
    <row r="73" ht="15.75" customHeight="1">
      <c r="B73" s="103">
        <v>42243.0</v>
      </c>
      <c r="C73" s="66" t="s">
        <v>679</v>
      </c>
      <c r="D73" s="104"/>
      <c r="E73" s="104" t="s">
        <v>119</v>
      </c>
      <c r="F73" s="105" t="s">
        <v>514</v>
      </c>
      <c r="G73" s="104">
        <v>2171.0</v>
      </c>
      <c r="H73" s="66">
        <v>370000.0</v>
      </c>
      <c r="I73" s="133">
        <f t="shared" si="10"/>
        <v>170.428374</v>
      </c>
      <c r="J73" s="66">
        <v>425000.0</v>
      </c>
      <c r="K73" s="133">
        <f t="shared" si="16"/>
        <v>2493.716216</v>
      </c>
      <c r="L73" s="66">
        <f t="shared" si="11"/>
        <v>55000</v>
      </c>
      <c r="M73" s="66">
        <v>5000.0</v>
      </c>
      <c r="N73" s="62">
        <f t="shared" si="12"/>
        <v>25500</v>
      </c>
      <c r="O73" s="62">
        <f t="shared" si="17"/>
        <v>400500</v>
      </c>
      <c r="P73" s="62">
        <f t="shared" si="13"/>
        <v>24500</v>
      </c>
      <c r="Q73" s="134">
        <f t="shared" si="18"/>
        <v>0.06117353308</v>
      </c>
      <c r="R73" s="62">
        <f t="shared" si="14"/>
        <v>313750</v>
      </c>
      <c r="S73" s="62">
        <f t="shared" si="15"/>
        <v>-56250</v>
      </c>
      <c r="T73" s="66" t="s">
        <v>680</v>
      </c>
    </row>
    <row r="74" ht="15.75" customHeight="1">
      <c r="B74" s="103">
        <v>42244.0</v>
      </c>
      <c r="C74" s="66" t="s">
        <v>681</v>
      </c>
      <c r="D74" s="104"/>
      <c r="E74" s="104" t="s">
        <v>119</v>
      </c>
      <c r="F74" s="105"/>
      <c r="G74" s="104">
        <v>11000.0</v>
      </c>
      <c r="H74" s="66">
        <v>2500000.0</v>
      </c>
      <c r="I74" s="133">
        <f t="shared" si="10"/>
        <v>227.2727273</v>
      </c>
      <c r="J74" s="66">
        <v>6000000.0</v>
      </c>
      <c r="K74" s="133">
        <f t="shared" si="16"/>
        <v>26400</v>
      </c>
      <c r="L74" s="66">
        <f t="shared" si="11"/>
        <v>3500000</v>
      </c>
      <c r="M74" s="66">
        <v>1400000.0</v>
      </c>
      <c r="N74" s="62">
        <f t="shared" si="12"/>
        <v>360000</v>
      </c>
      <c r="O74" s="62">
        <f t="shared" si="17"/>
        <v>4260000</v>
      </c>
      <c r="P74" s="62">
        <f t="shared" si="13"/>
        <v>1740000</v>
      </c>
      <c r="Q74" s="134">
        <f t="shared" si="18"/>
        <v>0.4084507042</v>
      </c>
      <c r="R74" s="62">
        <f t="shared" si="14"/>
        <v>3100000</v>
      </c>
      <c r="S74" s="62">
        <f t="shared" si="15"/>
        <v>600000</v>
      </c>
      <c r="T74" s="66" t="s">
        <v>682</v>
      </c>
    </row>
    <row r="75" ht="15.75" customHeight="1">
      <c r="B75" s="103">
        <v>42245.0</v>
      </c>
      <c r="C75" s="66" t="s">
        <v>683</v>
      </c>
      <c r="D75" s="104"/>
      <c r="E75" s="104" t="s">
        <v>119</v>
      </c>
      <c r="F75" s="105"/>
      <c r="G75" s="104"/>
      <c r="H75" s="66">
        <v>399000.0</v>
      </c>
      <c r="I75" s="133" t="str">
        <f t="shared" si="10"/>
        <v>#DIV/0!</v>
      </c>
      <c r="J75" s="66">
        <v>950000.0</v>
      </c>
      <c r="K75" s="133" t="str">
        <f t="shared" si="16"/>
        <v>#DIV/0!</v>
      </c>
      <c r="L75" s="66">
        <f t="shared" si="11"/>
        <v>551000</v>
      </c>
      <c r="M75" s="66">
        <v>300000.0</v>
      </c>
      <c r="N75" s="62">
        <f t="shared" si="12"/>
        <v>57000</v>
      </c>
      <c r="O75" s="62">
        <f t="shared" si="17"/>
        <v>756000</v>
      </c>
      <c r="P75" s="62">
        <f t="shared" si="13"/>
        <v>194000</v>
      </c>
      <c r="Q75" s="134">
        <f t="shared" si="18"/>
        <v>0.2566137566</v>
      </c>
      <c r="R75" s="62">
        <f t="shared" si="14"/>
        <v>412500</v>
      </c>
      <c r="S75" s="62">
        <f t="shared" si="15"/>
        <v>13500</v>
      </c>
      <c r="T75" s="66" t="s">
        <v>684</v>
      </c>
    </row>
    <row r="76" ht="15.75" customHeight="1">
      <c r="B76" s="103">
        <v>42246.0</v>
      </c>
      <c r="C76" s="66" t="s">
        <v>685</v>
      </c>
      <c r="D76" s="104"/>
      <c r="E76" s="104" t="s">
        <v>119</v>
      </c>
      <c r="F76" s="105"/>
      <c r="G76" s="104"/>
      <c r="H76" s="66">
        <v>350000.0</v>
      </c>
      <c r="I76" s="133" t="str">
        <f t="shared" si="10"/>
        <v>#DIV/0!</v>
      </c>
      <c r="J76" s="66">
        <v>550000.0</v>
      </c>
      <c r="K76" s="133" t="str">
        <f t="shared" si="16"/>
        <v>#DIV/0!</v>
      </c>
      <c r="L76" s="66">
        <f t="shared" si="11"/>
        <v>200000</v>
      </c>
      <c r="M76" s="66">
        <v>100000.0</v>
      </c>
      <c r="N76" s="62">
        <f t="shared" si="12"/>
        <v>33000</v>
      </c>
      <c r="O76" s="62">
        <f t="shared" si="17"/>
        <v>483000</v>
      </c>
      <c r="P76" s="62">
        <f t="shared" si="13"/>
        <v>67000</v>
      </c>
      <c r="Q76" s="134">
        <f t="shared" si="18"/>
        <v>0.1387163561</v>
      </c>
      <c r="R76" s="62">
        <f t="shared" si="14"/>
        <v>312500</v>
      </c>
      <c r="S76" s="62">
        <f t="shared" si="15"/>
        <v>-37500</v>
      </c>
      <c r="T76" s="66" t="s">
        <v>126</v>
      </c>
    </row>
    <row r="77" ht="15.75" customHeight="1">
      <c r="B77" s="103">
        <v>42258.0</v>
      </c>
      <c r="C77" s="66" t="s">
        <v>686</v>
      </c>
      <c r="D77" s="104"/>
      <c r="E77" s="104" t="s">
        <v>119</v>
      </c>
      <c r="F77" s="105"/>
      <c r="G77" s="104"/>
      <c r="H77" s="66">
        <v>328000.0</v>
      </c>
      <c r="I77" s="133" t="str">
        <f t="shared" si="10"/>
        <v>#DIV/0!</v>
      </c>
      <c r="J77" s="66">
        <v>390000.0</v>
      </c>
      <c r="K77" s="133" t="str">
        <f t="shared" si="16"/>
        <v>#DIV/0!</v>
      </c>
      <c r="L77" s="66">
        <f t="shared" si="11"/>
        <v>62000</v>
      </c>
      <c r="M77" s="66">
        <v>15000.0</v>
      </c>
      <c r="N77" s="62">
        <f t="shared" si="12"/>
        <v>23400</v>
      </c>
      <c r="O77" s="62">
        <f t="shared" si="17"/>
        <v>366400</v>
      </c>
      <c r="P77" s="62">
        <f t="shared" si="13"/>
        <v>23600</v>
      </c>
      <c r="Q77" s="134">
        <f t="shared" si="18"/>
        <v>0.06441048035</v>
      </c>
      <c r="R77" s="62">
        <f t="shared" si="14"/>
        <v>277500</v>
      </c>
      <c r="S77" s="62">
        <f t="shared" si="15"/>
        <v>-50500</v>
      </c>
      <c r="T77" s="66" t="s">
        <v>211</v>
      </c>
    </row>
    <row r="78" ht="15.75" customHeight="1">
      <c r="B78" s="103">
        <v>42258.0</v>
      </c>
      <c r="C78" s="66" t="s">
        <v>687</v>
      </c>
      <c r="D78" s="104"/>
      <c r="E78" s="104" t="s">
        <v>688</v>
      </c>
      <c r="F78" s="105" t="s">
        <v>514</v>
      </c>
      <c r="G78" s="104">
        <v>1600.0</v>
      </c>
      <c r="H78" s="66">
        <v>568000.0</v>
      </c>
      <c r="I78" s="133">
        <f t="shared" si="10"/>
        <v>355</v>
      </c>
      <c r="J78" s="66">
        <v>720000.0</v>
      </c>
      <c r="K78" s="133">
        <f t="shared" si="16"/>
        <v>2028.169014</v>
      </c>
      <c r="L78" s="66">
        <f t="shared" si="11"/>
        <v>152000</v>
      </c>
      <c r="M78" s="66">
        <v>50000.0</v>
      </c>
      <c r="N78" s="62">
        <f t="shared" si="12"/>
        <v>43200</v>
      </c>
      <c r="O78" s="62">
        <f t="shared" si="17"/>
        <v>661200</v>
      </c>
      <c r="P78" s="62">
        <f t="shared" si="13"/>
        <v>58800</v>
      </c>
      <c r="Q78" s="134">
        <f t="shared" si="18"/>
        <v>0.0889292196</v>
      </c>
      <c r="R78" s="62">
        <f t="shared" si="14"/>
        <v>490000</v>
      </c>
      <c r="S78" s="62">
        <f t="shared" si="15"/>
        <v>-78000</v>
      </c>
      <c r="T78" s="66" t="s">
        <v>211</v>
      </c>
    </row>
    <row r="79" ht="15.75" customHeight="1">
      <c r="B79" s="103">
        <v>42258.0</v>
      </c>
      <c r="C79" s="66" t="s">
        <v>689</v>
      </c>
      <c r="D79" s="104"/>
      <c r="E79" s="104" t="s">
        <v>373</v>
      </c>
      <c r="F79" s="105"/>
      <c r="G79" s="104"/>
      <c r="H79" s="66"/>
      <c r="I79" s="133"/>
      <c r="J79" s="66"/>
      <c r="K79" s="133"/>
      <c r="L79" s="66"/>
      <c r="M79" s="66"/>
      <c r="N79" s="62">
        <f t="shared" si="12"/>
        <v>0</v>
      </c>
      <c r="O79" s="62">
        <f t="shared" si="17"/>
        <v>0</v>
      </c>
      <c r="P79" s="62">
        <f t="shared" si="13"/>
        <v>0</v>
      </c>
      <c r="Q79" s="134" t="str">
        <f t="shared" si="18"/>
        <v>#DIV/0!</v>
      </c>
      <c r="R79" s="62">
        <f t="shared" si="14"/>
        <v>0</v>
      </c>
      <c r="S79" s="62">
        <f t="shared" si="15"/>
        <v>0</v>
      </c>
      <c r="T79" s="66" t="s">
        <v>211</v>
      </c>
    </row>
    <row r="80" ht="15.75" customHeight="1">
      <c r="B80" s="103">
        <v>42258.0</v>
      </c>
      <c r="C80" s="66" t="s">
        <v>690</v>
      </c>
      <c r="D80" s="104"/>
      <c r="E80" s="104"/>
      <c r="F80" s="105"/>
      <c r="G80" s="104"/>
      <c r="H80" s="66">
        <v>250000.0</v>
      </c>
      <c r="I80" s="133" t="str">
        <f t="shared" ref="I80:I120" si="19">H80/G80</f>
        <v>#DIV/0!</v>
      </c>
      <c r="J80" s="66">
        <v>400000.0</v>
      </c>
      <c r="K80" s="133" t="str">
        <f t="shared" ref="K80:K90" si="20">J80/I80</f>
        <v>#DIV/0!</v>
      </c>
      <c r="L80" s="66">
        <f t="shared" ref="L80:L120" si="21">J80-H80</f>
        <v>150000</v>
      </c>
      <c r="M80" s="66">
        <v>80000.0</v>
      </c>
      <c r="N80" s="62">
        <f t="shared" si="12"/>
        <v>24000</v>
      </c>
      <c r="O80" s="62">
        <f t="shared" si="17"/>
        <v>354000</v>
      </c>
      <c r="P80" s="62">
        <f t="shared" si="13"/>
        <v>46000</v>
      </c>
      <c r="Q80" s="134">
        <f t="shared" si="18"/>
        <v>0.1299435028</v>
      </c>
      <c r="R80" s="62">
        <f t="shared" si="14"/>
        <v>220000</v>
      </c>
      <c r="S80" s="62">
        <f t="shared" si="15"/>
        <v>-30000</v>
      </c>
      <c r="T80" s="66" t="s">
        <v>211</v>
      </c>
    </row>
    <row r="81" ht="15.75" customHeight="1">
      <c r="B81" s="103">
        <v>42261.0</v>
      </c>
      <c r="C81" s="66" t="s">
        <v>691</v>
      </c>
      <c r="D81" s="104"/>
      <c r="E81" s="104" t="s">
        <v>692</v>
      </c>
      <c r="F81" s="105" t="s">
        <v>507</v>
      </c>
      <c r="G81" s="104">
        <v>854.0</v>
      </c>
      <c r="H81" s="66">
        <v>320000.0</v>
      </c>
      <c r="I81" s="133">
        <f t="shared" si="19"/>
        <v>374.70726</v>
      </c>
      <c r="J81" s="66">
        <v>600000.0</v>
      </c>
      <c r="K81" s="133">
        <f t="shared" si="20"/>
        <v>1601.25</v>
      </c>
      <c r="L81" s="66">
        <f t="shared" si="21"/>
        <v>280000</v>
      </c>
      <c r="M81" s="66">
        <v>150000.0</v>
      </c>
      <c r="N81" s="62">
        <f t="shared" si="12"/>
        <v>36000</v>
      </c>
      <c r="O81" s="62">
        <f t="shared" si="17"/>
        <v>506000</v>
      </c>
      <c r="P81" s="62">
        <f t="shared" si="13"/>
        <v>94000</v>
      </c>
      <c r="Q81" s="134">
        <f t="shared" si="18"/>
        <v>0.185770751</v>
      </c>
      <c r="R81" s="62">
        <f t="shared" si="14"/>
        <v>300000</v>
      </c>
      <c r="S81" s="62">
        <f t="shared" si="15"/>
        <v>-20000</v>
      </c>
      <c r="T81" s="66" t="s">
        <v>126</v>
      </c>
    </row>
    <row r="82" ht="15.75" customHeight="1">
      <c r="B82" s="103">
        <v>42261.0</v>
      </c>
      <c r="C82" s="66" t="s">
        <v>693</v>
      </c>
      <c r="D82" s="104"/>
      <c r="E82" s="104" t="s">
        <v>692</v>
      </c>
      <c r="F82" s="105" t="s">
        <v>507</v>
      </c>
      <c r="G82" s="104">
        <v>900.0</v>
      </c>
      <c r="H82" s="66">
        <v>195000.0</v>
      </c>
      <c r="I82" s="133">
        <f t="shared" si="19"/>
        <v>216.6666667</v>
      </c>
      <c r="K82" s="133">
        <f t="shared" si="20"/>
        <v>0</v>
      </c>
      <c r="L82" s="66">
        <f t="shared" si="21"/>
        <v>-195000</v>
      </c>
      <c r="N82" s="62">
        <f t="shared" si="12"/>
        <v>0</v>
      </c>
      <c r="O82" s="62">
        <f t="shared" si="17"/>
        <v>195000</v>
      </c>
      <c r="P82" s="62">
        <f t="shared" si="13"/>
        <v>-195000</v>
      </c>
      <c r="Q82" s="134">
        <f t="shared" si="18"/>
        <v>-1</v>
      </c>
      <c r="R82" s="62">
        <f t="shared" si="14"/>
        <v>0</v>
      </c>
      <c r="S82" s="62">
        <f t="shared" si="15"/>
        <v>-195000</v>
      </c>
      <c r="T82" s="66" t="s">
        <v>126</v>
      </c>
    </row>
    <row r="83" ht="15.75" customHeight="1">
      <c r="B83" s="103">
        <v>42261.0</v>
      </c>
      <c r="C83" s="66" t="s">
        <v>694</v>
      </c>
      <c r="D83" s="104"/>
      <c r="E83" s="104" t="s">
        <v>692</v>
      </c>
      <c r="F83" s="105" t="s">
        <v>507</v>
      </c>
      <c r="G83" s="104">
        <v>1016.0</v>
      </c>
      <c r="H83" s="66">
        <v>150000.0</v>
      </c>
      <c r="I83" s="133">
        <f t="shared" si="19"/>
        <v>147.6377953</v>
      </c>
      <c r="K83" s="133">
        <f t="shared" si="20"/>
        <v>0</v>
      </c>
      <c r="L83" s="66">
        <f t="shared" si="21"/>
        <v>-150000</v>
      </c>
      <c r="N83" s="62">
        <f t="shared" si="12"/>
        <v>0</v>
      </c>
      <c r="O83" s="62">
        <f t="shared" si="17"/>
        <v>150000</v>
      </c>
      <c r="P83" s="62">
        <f t="shared" si="13"/>
        <v>-150000</v>
      </c>
      <c r="Q83" s="134">
        <f t="shared" si="18"/>
        <v>-1</v>
      </c>
      <c r="R83" s="62">
        <f t="shared" si="14"/>
        <v>0</v>
      </c>
      <c r="S83" s="62">
        <f t="shared" si="15"/>
        <v>-150000</v>
      </c>
      <c r="T83" s="66" t="s">
        <v>126</v>
      </c>
    </row>
    <row r="84" ht="15.75" customHeight="1">
      <c r="B84" s="103">
        <v>42261.0</v>
      </c>
      <c r="C84" s="66" t="s">
        <v>695</v>
      </c>
      <c r="D84" s="104"/>
      <c r="E84" s="104" t="s">
        <v>696</v>
      </c>
      <c r="F84" s="105" t="s">
        <v>697</v>
      </c>
      <c r="G84" s="104">
        <v>3667.0</v>
      </c>
      <c r="H84" s="66">
        <v>825000.0</v>
      </c>
      <c r="I84" s="133">
        <f t="shared" si="19"/>
        <v>224.9795473</v>
      </c>
      <c r="J84" s="66">
        <v>1200000.0</v>
      </c>
      <c r="K84" s="133">
        <f t="shared" si="20"/>
        <v>5333.818182</v>
      </c>
      <c r="L84" s="66">
        <f t="shared" si="21"/>
        <v>375000</v>
      </c>
      <c r="M84" s="66">
        <v>100000.0</v>
      </c>
      <c r="N84" s="62">
        <f t="shared" si="12"/>
        <v>72000</v>
      </c>
      <c r="O84" s="62">
        <f t="shared" si="17"/>
        <v>997000</v>
      </c>
      <c r="P84" s="62">
        <f t="shared" si="13"/>
        <v>203000</v>
      </c>
      <c r="Q84" s="134">
        <f t="shared" si="18"/>
        <v>0.2036108325</v>
      </c>
      <c r="R84" s="62">
        <f t="shared" si="14"/>
        <v>800000</v>
      </c>
      <c r="S84" s="62">
        <f t="shared" si="15"/>
        <v>-25000</v>
      </c>
      <c r="T84" s="66" t="s">
        <v>698</v>
      </c>
    </row>
    <row r="85" ht="15.75" customHeight="1">
      <c r="B85" s="103">
        <v>42261.0</v>
      </c>
      <c r="C85" s="66" t="s">
        <v>699</v>
      </c>
      <c r="D85" s="104"/>
      <c r="E85" s="104" t="s">
        <v>117</v>
      </c>
      <c r="F85" s="105" t="s">
        <v>506</v>
      </c>
      <c r="G85" s="104">
        <v>1400.0</v>
      </c>
      <c r="H85" s="66">
        <v>194000.0</v>
      </c>
      <c r="I85" s="133">
        <f t="shared" si="19"/>
        <v>138.5714286</v>
      </c>
      <c r="J85" s="66">
        <v>225000.0</v>
      </c>
      <c r="K85" s="133">
        <f t="shared" si="20"/>
        <v>1623.71134</v>
      </c>
      <c r="L85" s="66">
        <f t="shared" si="21"/>
        <v>31000</v>
      </c>
      <c r="M85" s="66">
        <v>0.0</v>
      </c>
      <c r="N85" s="62">
        <f t="shared" si="12"/>
        <v>13500</v>
      </c>
      <c r="O85" s="62">
        <f t="shared" si="17"/>
        <v>207500</v>
      </c>
      <c r="P85" s="62">
        <f t="shared" si="13"/>
        <v>17500</v>
      </c>
      <c r="Q85" s="134">
        <f t="shared" si="18"/>
        <v>0.0843373494</v>
      </c>
      <c r="R85" s="62">
        <f t="shared" si="14"/>
        <v>168750</v>
      </c>
      <c r="S85" s="62">
        <f t="shared" si="15"/>
        <v>-25250</v>
      </c>
      <c r="T85" s="66" t="s">
        <v>700</v>
      </c>
    </row>
    <row r="86" ht="15.75" customHeight="1">
      <c r="B86" s="103">
        <v>42261.0</v>
      </c>
      <c r="C86" s="66" t="s">
        <v>701</v>
      </c>
      <c r="D86" s="104"/>
      <c r="E86" s="104" t="s">
        <v>696</v>
      </c>
      <c r="F86" s="105" t="s">
        <v>506</v>
      </c>
      <c r="G86" s="104">
        <v>2106.0</v>
      </c>
      <c r="H86" s="66">
        <v>275000.0</v>
      </c>
      <c r="I86" s="133">
        <f t="shared" si="19"/>
        <v>130.5792972</v>
      </c>
      <c r="J86" s="66">
        <v>425000.0</v>
      </c>
      <c r="K86" s="133">
        <f t="shared" si="20"/>
        <v>3254.727273</v>
      </c>
      <c r="L86" s="66">
        <f t="shared" si="21"/>
        <v>150000</v>
      </c>
      <c r="M86" s="66">
        <v>75000.0</v>
      </c>
      <c r="N86" s="62">
        <f t="shared" si="12"/>
        <v>25500</v>
      </c>
      <c r="O86" s="62">
        <f t="shared" si="17"/>
        <v>375500</v>
      </c>
      <c r="P86" s="62">
        <f t="shared" si="13"/>
        <v>49500</v>
      </c>
      <c r="Q86" s="134">
        <f t="shared" si="18"/>
        <v>0.1318242344</v>
      </c>
      <c r="R86" s="62">
        <f t="shared" si="14"/>
        <v>243750</v>
      </c>
      <c r="S86" s="62">
        <f t="shared" si="15"/>
        <v>-31250</v>
      </c>
      <c r="T86" s="66" t="s">
        <v>698</v>
      </c>
    </row>
    <row r="87" ht="15.75" customHeight="1">
      <c r="B87" s="103">
        <v>42264.0</v>
      </c>
      <c r="C87" s="66" t="s">
        <v>702</v>
      </c>
      <c r="D87" s="104"/>
      <c r="E87" s="104" t="s">
        <v>696</v>
      </c>
      <c r="F87" s="105" t="s">
        <v>703</v>
      </c>
      <c r="G87" s="104">
        <v>684.0</v>
      </c>
      <c r="H87" s="66">
        <v>170000.0</v>
      </c>
      <c r="I87" s="133">
        <f t="shared" si="19"/>
        <v>248.5380117</v>
      </c>
      <c r="J87" s="66">
        <v>500000.0</v>
      </c>
      <c r="K87" s="133">
        <f t="shared" si="20"/>
        <v>2011.764706</v>
      </c>
      <c r="L87" s="66">
        <f t="shared" si="21"/>
        <v>330000</v>
      </c>
      <c r="M87" s="66">
        <v>150000.0</v>
      </c>
      <c r="N87" s="62">
        <f t="shared" si="12"/>
        <v>30000</v>
      </c>
      <c r="O87" s="62">
        <f t="shared" si="17"/>
        <v>350000</v>
      </c>
      <c r="P87" s="62">
        <f t="shared" si="13"/>
        <v>150000</v>
      </c>
      <c r="Q87" s="134">
        <f t="shared" si="18"/>
        <v>0.4285714286</v>
      </c>
      <c r="R87" s="62">
        <f t="shared" si="14"/>
        <v>225000</v>
      </c>
      <c r="S87" s="62">
        <f t="shared" si="15"/>
        <v>55000</v>
      </c>
      <c r="T87" s="66" t="s">
        <v>698</v>
      </c>
    </row>
    <row r="88" ht="15.75" customHeight="1">
      <c r="A88" s="66" t="s">
        <v>704</v>
      </c>
      <c r="B88" s="103">
        <v>42264.0</v>
      </c>
      <c r="C88" s="66" t="s">
        <v>705</v>
      </c>
      <c r="D88" s="104"/>
      <c r="E88" s="104" t="s">
        <v>706</v>
      </c>
      <c r="F88" s="105" t="s">
        <v>707</v>
      </c>
      <c r="G88" s="104" t="s">
        <v>708</v>
      </c>
      <c r="H88" s="66">
        <v>378500.0</v>
      </c>
      <c r="I88" s="133" t="str">
        <f t="shared" si="19"/>
        <v>#VALUE!</v>
      </c>
      <c r="J88" s="66">
        <v>650000.0</v>
      </c>
      <c r="K88" s="133" t="str">
        <f t="shared" si="20"/>
        <v>#VALUE!</v>
      </c>
      <c r="L88" s="66">
        <f t="shared" si="21"/>
        <v>271500</v>
      </c>
      <c r="M88" s="66">
        <v>150000.0</v>
      </c>
      <c r="N88" s="62">
        <f t="shared" si="12"/>
        <v>39000</v>
      </c>
      <c r="O88" s="62">
        <f t="shared" si="17"/>
        <v>567500</v>
      </c>
      <c r="P88" s="62">
        <f t="shared" si="13"/>
        <v>82500</v>
      </c>
      <c r="Q88" s="134">
        <f t="shared" si="18"/>
        <v>0.1453744493</v>
      </c>
      <c r="R88" s="62">
        <f t="shared" si="14"/>
        <v>337500</v>
      </c>
      <c r="S88" s="62">
        <f t="shared" si="15"/>
        <v>-41000</v>
      </c>
      <c r="T88" s="66" t="s">
        <v>414</v>
      </c>
    </row>
    <row r="89" ht="15.75" customHeight="1">
      <c r="A89" s="66" t="s">
        <v>709</v>
      </c>
      <c r="B89" s="103">
        <v>42269.0</v>
      </c>
      <c r="C89" s="66" t="s">
        <v>710</v>
      </c>
      <c r="D89" s="104"/>
      <c r="E89" s="104"/>
      <c r="F89" s="105" t="s">
        <v>506</v>
      </c>
      <c r="G89" s="104">
        <v>1429.0</v>
      </c>
      <c r="H89" s="66">
        <v>180000.0</v>
      </c>
      <c r="I89" s="133">
        <f t="shared" si="19"/>
        <v>125.9622113</v>
      </c>
      <c r="J89" s="66">
        <v>230000.0</v>
      </c>
      <c r="K89" s="133">
        <f t="shared" si="20"/>
        <v>1825.944444</v>
      </c>
      <c r="L89" s="66">
        <f t="shared" si="21"/>
        <v>50000</v>
      </c>
      <c r="M89" s="66">
        <v>10000.0</v>
      </c>
      <c r="N89" s="62">
        <f t="shared" si="12"/>
        <v>13800</v>
      </c>
      <c r="O89" s="62">
        <f t="shared" si="17"/>
        <v>203800</v>
      </c>
      <c r="P89" s="62">
        <f t="shared" si="13"/>
        <v>26200</v>
      </c>
      <c r="Q89" s="134">
        <f t="shared" si="18"/>
        <v>0.1285574092</v>
      </c>
      <c r="R89" s="62">
        <f t="shared" si="14"/>
        <v>162500</v>
      </c>
      <c r="S89" s="62">
        <f t="shared" si="15"/>
        <v>-17500</v>
      </c>
      <c r="T89" s="66" t="s">
        <v>711</v>
      </c>
    </row>
    <row r="90" ht="15.75" customHeight="1">
      <c r="A90" s="66" t="s">
        <v>712</v>
      </c>
      <c r="B90" s="103">
        <v>42269.0</v>
      </c>
      <c r="C90" s="66" t="s">
        <v>713</v>
      </c>
      <c r="D90" s="104"/>
      <c r="E90" s="104"/>
      <c r="F90" s="105" t="s">
        <v>714</v>
      </c>
      <c r="G90" s="104">
        <v>1500.0</v>
      </c>
      <c r="H90" s="66">
        <v>125000.0</v>
      </c>
      <c r="I90" s="133">
        <f t="shared" si="19"/>
        <v>83.33333333</v>
      </c>
      <c r="J90" s="66">
        <v>250000.0</v>
      </c>
      <c r="K90" s="133">
        <f t="shared" si="20"/>
        <v>3000</v>
      </c>
      <c r="L90" s="66">
        <f t="shared" si="21"/>
        <v>125000</v>
      </c>
      <c r="M90" s="66">
        <v>50000.0</v>
      </c>
      <c r="N90" s="62">
        <f t="shared" si="12"/>
        <v>15000</v>
      </c>
      <c r="O90" s="62">
        <f t="shared" si="17"/>
        <v>190000</v>
      </c>
      <c r="P90" s="62">
        <f t="shared" si="13"/>
        <v>60000</v>
      </c>
      <c r="Q90" s="134">
        <f t="shared" si="18"/>
        <v>0.3157894737</v>
      </c>
      <c r="R90" s="62">
        <f t="shared" si="14"/>
        <v>137500</v>
      </c>
      <c r="S90" s="62">
        <f t="shared" si="15"/>
        <v>12500</v>
      </c>
      <c r="T90" s="66" t="s">
        <v>414</v>
      </c>
    </row>
    <row r="91" ht="15.75" customHeight="1">
      <c r="A91" s="66" t="s">
        <v>715</v>
      </c>
      <c r="B91" s="103">
        <v>42278.0</v>
      </c>
      <c r="C91" s="66" t="s">
        <v>716</v>
      </c>
      <c r="D91" s="104"/>
      <c r="E91" s="104" t="s">
        <v>709</v>
      </c>
      <c r="F91" s="105" t="s">
        <v>506</v>
      </c>
      <c r="G91" s="104">
        <v>1336.0</v>
      </c>
      <c r="H91" s="66">
        <v>110000.0</v>
      </c>
      <c r="I91" s="133">
        <f t="shared" si="19"/>
        <v>82.33532934</v>
      </c>
      <c r="J91" s="66">
        <v>210000.0</v>
      </c>
      <c r="K91" s="133">
        <f t="shared" ref="K91:K120" si="22">J91/G91</f>
        <v>157.1856287</v>
      </c>
      <c r="L91" s="66">
        <f t="shared" si="21"/>
        <v>100000</v>
      </c>
      <c r="M91" s="66">
        <v>30000.0</v>
      </c>
      <c r="N91" s="62">
        <f t="shared" si="12"/>
        <v>12600</v>
      </c>
      <c r="O91" s="62">
        <f t="shared" si="17"/>
        <v>152600</v>
      </c>
      <c r="P91" s="62">
        <f t="shared" si="13"/>
        <v>57400</v>
      </c>
      <c r="Q91" s="134">
        <f t="shared" si="18"/>
        <v>0.376146789</v>
      </c>
      <c r="R91" s="62">
        <f t="shared" si="14"/>
        <v>127500</v>
      </c>
      <c r="S91" s="62">
        <f t="shared" si="15"/>
        <v>17500</v>
      </c>
      <c r="T91" s="66" t="s">
        <v>717</v>
      </c>
    </row>
    <row r="92" ht="15.75" customHeight="1">
      <c r="B92" s="103">
        <v>42279.0</v>
      </c>
      <c r="C92" s="66" t="s">
        <v>718</v>
      </c>
      <c r="D92" s="104"/>
      <c r="E92" s="104" t="s">
        <v>659</v>
      </c>
      <c r="F92" s="105" t="s">
        <v>509</v>
      </c>
      <c r="G92" s="104">
        <v>4773.0</v>
      </c>
      <c r="H92" s="66">
        <v>600000.0</v>
      </c>
      <c r="I92" s="133">
        <f t="shared" si="19"/>
        <v>125.7071025</v>
      </c>
      <c r="J92" s="66">
        <v>850000.0</v>
      </c>
      <c r="K92" s="133">
        <f t="shared" si="22"/>
        <v>178.0850618</v>
      </c>
      <c r="L92" s="66">
        <f t="shared" si="21"/>
        <v>250000</v>
      </c>
      <c r="M92" s="66">
        <v>100000.0</v>
      </c>
      <c r="N92" s="62">
        <f t="shared" si="12"/>
        <v>51000</v>
      </c>
      <c r="O92" s="62">
        <f t="shared" si="17"/>
        <v>751000</v>
      </c>
      <c r="P92" s="62">
        <f t="shared" si="13"/>
        <v>99000</v>
      </c>
      <c r="Q92" s="134">
        <f t="shared" si="18"/>
        <v>0.1318242344</v>
      </c>
      <c r="R92" s="62">
        <f t="shared" si="14"/>
        <v>537500</v>
      </c>
      <c r="S92" s="62">
        <f t="shared" si="15"/>
        <v>-62500</v>
      </c>
      <c r="T92" s="66" t="s">
        <v>719</v>
      </c>
    </row>
    <row r="93" ht="15.75" customHeight="1">
      <c r="B93" s="103">
        <v>42279.0</v>
      </c>
      <c r="C93" s="66" t="s">
        <v>720</v>
      </c>
      <c r="D93" s="104"/>
      <c r="E93" s="104" t="s">
        <v>119</v>
      </c>
      <c r="F93" s="105" t="s">
        <v>507</v>
      </c>
      <c r="G93" s="104">
        <v>965.0</v>
      </c>
      <c r="H93" s="66">
        <v>350000.0</v>
      </c>
      <c r="I93" s="133">
        <f t="shared" si="19"/>
        <v>362.6943005</v>
      </c>
      <c r="J93" s="66">
        <v>600000.0</v>
      </c>
      <c r="K93" s="133">
        <f t="shared" si="22"/>
        <v>621.761658</v>
      </c>
      <c r="L93" s="66">
        <f t="shared" si="21"/>
        <v>250000</v>
      </c>
      <c r="M93" s="66">
        <v>100000.0</v>
      </c>
      <c r="N93" s="62">
        <f t="shared" si="12"/>
        <v>36000</v>
      </c>
      <c r="O93" s="62">
        <f t="shared" si="17"/>
        <v>486000</v>
      </c>
      <c r="P93" s="62">
        <f t="shared" si="13"/>
        <v>114000</v>
      </c>
      <c r="Q93" s="134">
        <f t="shared" si="18"/>
        <v>0.2345679012</v>
      </c>
      <c r="R93" s="62">
        <f t="shared" si="14"/>
        <v>350000</v>
      </c>
      <c r="S93" s="62">
        <f t="shared" si="15"/>
        <v>0</v>
      </c>
      <c r="T93" s="66" t="s">
        <v>711</v>
      </c>
    </row>
    <row r="94" ht="15.75" customHeight="1">
      <c r="B94" s="103">
        <v>42292.0</v>
      </c>
      <c r="C94" s="66" t="s">
        <v>721</v>
      </c>
      <c r="D94" s="104"/>
      <c r="E94" s="104" t="s">
        <v>119</v>
      </c>
      <c r="F94" s="105" t="s">
        <v>514</v>
      </c>
      <c r="G94" s="104">
        <v>1753.0</v>
      </c>
      <c r="H94" s="66">
        <v>225000.0</v>
      </c>
      <c r="I94" s="133">
        <f t="shared" si="19"/>
        <v>128.3513976</v>
      </c>
      <c r="J94" s="66">
        <v>360000.0</v>
      </c>
      <c r="K94" s="133">
        <f t="shared" si="22"/>
        <v>205.3622362</v>
      </c>
      <c r="L94" s="66">
        <f t="shared" si="21"/>
        <v>135000</v>
      </c>
      <c r="M94" s="66">
        <v>45500.0</v>
      </c>
      <c r="N94" s="62">
        <f t="shared" si="12"/>
        <v>21600</v>
      </c>
      <c r="O94" s="62">
        <f t="shared" si="17"/>
        <v>292100</v>
      </c>
      <c r="P94" s="62">
        <f t="shared" si="13"/>
        <v>67900</v>
      </c>
      <c r="Q94" s="134">
        <f t="shared" si="18"/>
        <v>0.2324546388</v>
      </c>
      <c r="R94" s="62">
        <f t="shared" si="14"/>
        <v>224500</v>
      </c>
      <c r="S94" s="62">
        <f t="shared" si="15"/>
        <v>-500</v>
      </c>
      <c r="T94" s="66" t="s">
        <v>380</v>
      </c>
    </row>
    <row r="95" ht="15.75" customHeight="1">
      <c r="B95" s="103">
        <v>42292.0</v>
      </c>
      <c r="C95" s="66" t="s">
        <v>722</v>
      </c>
      <c r="D95" s="104"/>
      <c r="E95" s="104"/>
      <c r="F95" s="105" t="s">
        <v>723</v>
      </c>
      <c r="G95" s="104">
        <v>1827.0</v>
      </c>
      <c r="H95" s="66">
        <v>54000.0</v>
      </c>
      <c r="I95" s="133">
        <f t="shared" si="19"/>
        <v>29.55665025</v>
      </c>
      <c r="J95" s="66">
        <v>150000.0</v>
      </c>
      <c r="K95" s="133">
        <f t="shared" si="22"/>
        <v>82.10180624</v>
      </c>
      <c r="L95" s="66">
        <f t="shared" si="21"/>
        <v>96000</v>
      </c>
      <c r="M95" s="66">
        <v>45000.0</v>
      </c>
      <c r="N95" s="62">
        <f t="shared" si="12"/>
        <v>9000</v>
      </c>
      <c r="O95" s="62">
        <f t="shared" si="17"/>
        <v>108000</v>
      </c>
      <c r="P95" s="62">
        <f t="shared" si="13"/>
        <v>42000</v>
      </c>
      <c r="Q95" s="134">
        <f t="shared" si="18"/>
        <v>0.3888888889</v>
      </c>
      <c r="R95" s="62">
        <f t="shared" si="14"/>
        <v>67500</v>
      </c>
      <c r="S95" s="62">
        <f t="shared" si="15"/>
        <v>13500</v>
      </c>
      <c r="T95" s="66" t="s">
        <v>724</v>
      </c>
    </row>
    <row r="96" ht="15.75" customHeight="1">
      <c r="B96" s="103">
        <v>42313.0</v>
      </c>
      <c r="C96" s="66" t="s">
        <v>725</v>
      </c>
      <c r="D96" s="104"/>
      <c r="E96" s="104"/>
      <c r="F96" s="105"/>
      <c r="G96" s="104"/>
      <c r="I96" s="133" t="str">
        <f t="shared" si="19"/>
        <v>#DIV/0!</v>
      </c>
      <c r="K96" s="133" t="str">
        <f t="shared" si="22"/>
        <v>#DIV/0!</v>
      </c>
      <c r="L96" s="66">
        <f t="shared" si="21"/>
        <v>0</v>
      </c>
      <c r="M96" s="66"/>
      <c r="N96" s="62">
        <f t="shared" si="12"/>
        <v>0</v>
      </c>
      <c r="O96" s="62">
        <f t="shared" si="17"/>
        <v>0</v>
      </c>
      <c r="P96" s="62">
        <f t="shared" si="13"/>
        <v>0</v>
      </c>
      <c r="Q96" s="134" t="str">
        <f t="shared" si="18"/>
        <v>#DIV/0!</v>
      </c>
      <c r="R96" s="62">
        <f t="shared" si="14"/>
        <v>0</v>
      </c>
      <c r="S96" s="62">
        <f t="shared" si="15"/>
        <v>0</v>
      </c>
      <c r="T96" s="66" t="s">
        <v>726</v>
      </c>
    </row>
    <row r="97" ht="15.75" customHeight="1">
      <c r="B97" s="103">
        <v>42313.0</v>
      </c>
      <c r="C97" s="66" t="s">
        <v>727</v>
      </c>
      <c r="D97" s="104"/>
      <c r="E97" s="104"/>
      <c r="F97" s="105"/>
      <c r="G97" s="104"/>
      <c r="I97" s="133" t="str">
        <f t="shared" si="19"/>
        <v>#DIV/0!</v>
      </c>
      <c r="K97" s="133" t="str">
        <f t="shared" si="22"/>
        <v>#DIV/0!</v>
      </c>
      <c r="L97" s="66">
        <f t="shared" si="21"/>
        <v>0</v>
      </c>
      <c r="M97" s="66"/>
      <c r="N97" s="62">
        <f t="shared" si="12"/>
        <v>0</v>
      </c>
      <c r="O97" s="62">
        <f t="shared" si="17"/>
        <v>0</v>
      </c>
      <c r="P97" s="62">
        <f t="shared" si="13"/>
        <v>0</v>
      </c>
      <c r="Q97" s="134" t="str">
        <f t="shared" si="18"/>
        <v>#DIV/0!</v>
      </c>
      <c r="R97" s="62">
        <f t="shared" si="14"/>
        <v>0</v>
      </c>
      <c r="S97" s="62">
        <f t="shared" si="15"/>
        <v>0</v>
      </c>
      <c r="T97" s="66" t="s">
        <v>726</v>
      </c>
    </row>
    <row r="98" ht="15.75" customHeight="1">
      <c r="B98" s="103">
        <v>42313.0</v>
      </c>
      <c r="C98" s="66" t="s">
        <v>728</v>
      </c>
      <c r="D98" s="104"/>
      <c r="E98" s="104"/>
      <c r="F98" s="105"/>
      <c r="G98" s="104"/>
      <c r="H98" s="66">
        <v>265000.0</v>
      </c>
      <c r="I98" s="133" t="str">
        <f t="shared" si="19"/>
        <v>#DIV/0!</v>
      </c>
      <c r="K98" s="133" t="str">
        <f t="shared" si="22"/>
        <v>#DIV/0!</v>
      </c>
      <c r="L98" s="66">
        <f t="shared" si="21"/>
        <v>-265000</v>
      </c>
      <c r="M98" s="66"/>
      <c r="N98" s="62">
        <f t="shared" si="12"/>
        <v>0</v>
      </c>
      <c r="O98" s="62">
        <f t="shared" si="17"/>
        <v>265000</v>
      </c>
      <c r="P98" s="62">
        <f t="shared" si="13"/>
        <v>-265000</v>
      </c>
      <c r="Q98" s="134">
        <f t="shared" si="18"/>
        <v>-1</v>
      </c>
      <c r="R98" s="62">
        <f t="shared" si="14"/>
        <v>0</v>
      </c>
      <c r="S98" s="62">
        <f t="shared" si="15"/>
        <v>-265000</v>
      </c>
      <c r="T98" s="66" t="s">
        <v>726</v>
      </c>
    </row>
    <row r="99" ht="15.75" customHeight="1">
      <c r="B99" s="103">
        <v>42313.0</v>
      </c>
      <c r="C99" s="66" t="s">
        <v>729</v>
      </c>
      <c r="D99" s="104"/>
      <c r="E99" s="104"/>
      <c r="F99" s="105"/>
      <c r="G99" s="104"/>
      <c r="I99" s="133" t="str">
        <f t="shared" si="19"/>
        <v>#DIV/0!</v>
      </c>
      <c r="K99" s="133" t="str">
        <f t="shared" si="22"/>
        <v>#DIV/0!</v>
      </c>
      <c r="L99" s="66">
        <f t="shared" si="21"/>
        <v>0</v>
      </c>
      <c r="M99" s="66"/>
      <c r="N99" s="62">
        <f t="shared" si="12"/>
        <v>0</v>
      </c>
      <c r="O99" s="62">
        <f t="shared" si="17"/>
        <v>0</v>
      </c>
      <c r="P99" s="62">
        <f t="shared" si="13"/>
        <v>0</v>
      </c>
      <c r="Q99" s="134" t="str">
        <f t="shared" si="18"/>
        <v>#DIV/0!</v>
      </c>
      <c r="R99" s="62">
        <f t="shared" si="14"/>
        <v>0</v>
      </c>
      <c r="S99" s="62">
        <f t="shared" si="15"/>
        <v>0</v>
      </c>
      <c r="T99" s="66" t="s">
        <v>726</v>
      </c>
    </row>
    <row r="100" ht="15.75" customHeight="1">
      <c r="B100" s="103">
        <v>42328.0</v>
      </c>
      <c r="C100" s="66" t="s">
        <v>730</v>
      </c>
      <c r="D100" s="104"/>
      <c r="E100" s="104" t="s">
        <v>731</v>
      </c>
      <c r="F100" s="105" t="s">
        <v>611</v>
      </c>
      <c r="G100" s="104">
        <v>3100.0</v>
      </c>
      <c r="H100" s="66">
        <v>510000.0</v>
      </c>
      <c r="I100" s="133">
        <f t="shared" si="19"/>
        <v>164.516129</v>
      </c>
      <c r="J100" s="66">
        <v>650000.0</v>
      </c>
      <c r="K100" s="133">
        <f t="shared" si="22"/>
        <v>209.6774194</v>
      </c>
      <c r="L100" s="66">
        <f t="shared" si="21"/>
        <v>140000</v>
      </c>
      <c r="M100" s="66">
        <v>50000.0</v>
      </c>
      <c r="N100" s="62">
        <f t="shared" si="12"/>
        <v>39000</v>
      </c>
      <c r="O100" s="62">
        <f t="shared" si="17"/>
        <v>599000</v>
      </c>
      <c r="P100" s="62">
        <f t="shared" si="13"/>
        <v>51000</v>
      </c>
      <c r="Q100" s="134">
        <f t="shared" si="18"/>
        <v>0.08514190317</v>
      </c>
      <c r="R100" s="62">
        <f t="shared" si="14"/>
        <v>437500</v>
      </c>
      <c r="S100" s="62">
        <f t="shared" si="15"/>
        <v>-72500</v>
      </c>
      <c r="T100" s="66" t="s">
        <v>211</v>
      </c>
    </row>
    <row r="101" ht="15.75" customHeight="1">
      <c r="A101" s="66" t="s">
        <v>732</v>
      </c>
      <c r="B101" s="103">
        <v>42360.0</v>
      </c>
      <c r="C101" s="66" t="s">
        <v>733</v>
      </c>
      <c r="D101" s="104"/>
      <c r="E101" s="104" t="s">
        <v>117</v>
      </c>
      <c r="F101" s="105"/>
      <c r="G101" s="104">
        <v>1800.0</v>
      </c>
      <c r="H101" s="66">
        <v>240000.0</v>
      </c>
      <c r="I101" s="133">
        <f t="shared" si="19"/>
        <v>133.3333333</v>
      </c>
      <c r="J101" s="66">
        <v>350000.0</v>
      </c>
      <c r="K101" s="133">
        <f t="shared" si="22"/>
        <v>194.4444444</v>
      </c>
      <c r="L101" s="66">
        <f t="shared" si="21"/>
        <v>110000</v>
      </c>
      <c r="M101" s="66">
        <v>50000.0</v>
      </c>
      <c r="N101" s="62">
        <f t="shared" si="12"/>
        <v>21000</v>
      </c>
      <c r="O101" s="62">
        <f t="shared" si="17"/>
        <v>311000</v>
      </c>
      <c r="P101" s="62">
        <f t="shared" si="13"/>
        <v>39000</v>
      </c>
      <c r="Q101" s="134">
        <f t="shared" si="18"/>
        <v>0.1254019293</v>
      </c>
      <c r="R101" s="62">
        <f t="shared" si="14"/>
        <v>212500</v>
      </c>
      <c r="S101" s="62">
        <f t="shared" si="15"/>
        <v>-27500</v>
      </c>
      <c r="T101" s="66" t="s">
        <v>640</v>
      </c>
    </row>
    <row r="102" ht="15.75" customHeight="1">
      <c r="B102" s="103">
        <v>42360.0</v>
      </c>
      <c r="C102" s="66" t="s">
        <v>734</v>
      </c>
      <c r="D102" s="104"/>
      <c r="E102" s="104" t="s">
        <v>731</v>
      </c>
      <c r="F102" s="105"/>
      <c r="G102" s="104">
        <v>990.0</v>
      </c>
      <c r="H102" s="66">
        <v>99000.0</v>
      </c>
      <c r="I102" s="133">
        <f t="shared" si="19"/>
        <v>100</v>
      </c>
      <c r="J102" s="66">
        <v>126000.0</v>
      </c>
      <c r="K102" s="133">
        <f t="shared" si="22"/>
        <v>127.2727273</v>
      </c>
      <c r="L102" s="66">
        <f t="shared" si="21"/>
        <v>27000</v>
      </c>
      <c r="M102" s="66">
        <v>10000.0</v>
      </c>
      <c r="N102" s="62">
        <f t="shared" si="12"/>
        <v>7560</v>
      </c>
      <c r="O102" s="62">
        <f t="shared" si="17"/>
        <v>116560</v>
      </c>
      <c r="P102" s="62">
        <f t="shared" si="13"/>
        <v>9440</v>
      </c>
      <c r="Q102" s="134">
        <f t="shared" si="18"/>
        <v>0.08098833219</v>
      </c>
      <c r="R102" s="62">
        <f t="shared" si="14"/>
        <v>84500</v>
      </c>
      <c r="S102" s="62">
        <f t="shared" si="15"/>
        <v>-14500</v>
      </c>
      <c r="T102" s="66" t="s">
        <v>735</v>
      </c>
    </row>
    <row r="103" ht="15.75" customHeight="1">
      <c r="B103" s="103">
        <v>42008.0</v>
      </c>
      <c r="C103" s="66" t="s">
        <v>736</v>
      </c>
      <c r="D103" s="104"/>
      <c r="E103" s="104" t="s">
        <v>119</v>
      </c>
      <c r="F103" s="105"/>
      <c r="G103" s="104">
        <v>1005.0</v>
      </c>
      <c r="H103" s="66">
        <v>175000.0</v>
      </c>
      <c r="I103" s="133">
        <f t="shared" si="19"/>
        <v>174.1293532</v>
      </c>
      <c r="J103" s="66">
        <v>325000.0</v>
      </c>
      <c r="K103" s="133">
        <f t="shared" si="22"/>
        <v>323.3830846</v>
      </c>
      <c r="L103" s="66">
        <f t="shared" si="21"/>
        <v>150000</v>
      </c>
      <c r="M103" s="66">
        <v>65000.0</v>
      </c>
      <c r="N103" s="62">
        <f t="shared" si="12"/>
        <v>19500</v>
      </c>
      <c r="O103" s="62">
        <f t="shared" si="17"/>
        <v>259500</v>
      </c>
      <c r="P103" s="62">
        <f t="shared" si="13"/>
        <v>65500</v>
      </c>
      <c r="Q103" s="134">
        <f t="shared" si="18"/>
        <v>0.2524084778</v>
      </c>
      <c r="R103" s="62">
        <f t="shared" si="14"/>
        <v>178750</v>
      </c>
      <c r="S103" s="62">
        <f t="shared" si="15"/>
        <v>3750</v>
      </c>
      <c r="T103" s="66" t="s">
        <v>414</v>
      </c>
    </row>
    <row r="104" ht="15.75" customHeight="1">
      <c r="B104" s="103">
        <v>42381.0</v>
      </c>
      <c r="C104" s="66" t="s">
        <v>737</v>
      </c>
      <c r="D104" s="104"/>
      <c r="E104" s="104" t="s">
        <v>119</v>
      </c>
      <c r="F104" s="105"/>
      <c r="G104" s="104">
        <v>1350.0</v>
      </c>
      <c r="H104" s="66">
        <v>250000.0</v>
      </c>
      <c r="I104" s="133">
        <f t="shared" si="19"/>
        <v>185.1851852</v>
      </c>
      <c r="J104" s="66">
        <v>315000.0</v>
      </c>
      <c r="K104" s="133">
        <f t="shared" si="22"/>
        <v>233.3333333</v>
      </c>
      <c r="L104" s="66">
        <f t="shared" si="21"/>
        <v>65000</v>
      </c>
      <c r="M104" s="66">
        <v>20000.0</v>
      </c>
      <c r="N104" s="62">
        <f t="shared" si="12"/>
        <v>18900</v>
      </c>
      <c r="O104" s="62">
        <f t="shared" si="17"/>
        <v>288900</v>
      </c>
      <c r="P104" s="62">
        <f t="shared" si="13"/>
        <v>26100</v>
      </c>
      <c r="Q104" s="134">
        <f t="shared" si="18"/>
        <v>0.09034267913</v>
      </c>
      <c r="R104" s="62">
        <f t="shared" si="14"/>
        <v>216250</v>
      </c>
      <c r="S104" s="62">
        <f t="shared" si="15"/>
        <v>-33750</v>
      </c>
      <c r="T104" s="66" t="s">
        <v>738</v>
      </c>
    </row>
    <row r="105" ht="15.75" customHeight="1">
      <c r="B105" s="103">
        <v>42381.0</v>
      </c>
      <c r="C105" s="66" t="s">
        <v>739</v>
      </c>
      <c r="D105" s="104"/>
      <c r="E105" s="104" t="s">
        <v>119</v>
      </c>
      <c r="F105" s="105"/>
      <c r="G105" s="104">
        <v>895.0</v>
      </c>
      <c r="H105" s="66">
        <v>125000.0</v>
      </c>
      <c r="I105" s="133">
        <f t="shared" si="19"/>
        <v>139.6648045</v>
      </c>
      <c r="J105" s="66">
        <v>145000.0</v>
      </c>
      <c r="K105" s="133">
        <f t="shared" si="22"/>
        <v>162.0111732</v>
      </c>
      <c r="L105" s="66">
        <f t="shared" si="21"/>
        <v>20000</v>
      </c>
      <c r="M105" s="66">
        <v>25000.0</v>
      </c>
      <c r="N105" s="62">
        <f t="shared" si="12"/>
        <v>8700</v>
      </c>
      <c r="O105" s="62">
        <f t="shared" si="17"/>
        <v>158700</v>
      </c>
      <c r="P105" s="62">
        <f t="shared" si="13"/>
        <v>-13700</v>
      </c>
      <c r="Q105" s="134">
        <f t="shared" si="18"/>
        <v>-0.08632640202</v>
      </c>
      <c r="R105" s="62">
        <f t="shared" si="14"/>
        <v>83750</v>
      </c>
      <c r="S105" s="62">
        <f t="shared" si="15"/>
        <v>-41250</v>
      </c>
      <c r="T105" s="66" t="s">
        <v>738</v>
      </c>
    </row>
    <row r="106" ht="15.75" customHeight="1">
      <c r="A106" s="66" t="s">
        <v>740</v>
      </c>
      <c r="B106" s="103">
        <v>42381.0</v>
      </c>
      <c r="C106" s="66" t="s">
        <v>741</v>
      </c>
      <c r="D106" s="104"/>
      <c r="E106" s="104" t="s">
        <v>119</v>
      </c>
      <c r="F106" s="105"/>
      <c r="G106" s="104">
        <v>1660.0</v>
      </c>
      <c r="H106" s="66">
        <v>355000.0</v>
      </c>
      <c r="I106" s="133">
        <f t="shared" si="19"/>
        <v>213.8554217</v>
      </c>
      <c r="J106" s="66">
        <v>450000.0</v>
      </c>
      <c r="K106" s="133">
        <f t="shared" si="22"/>
        <v>271.0843373</v>
      </c>
      <c r="L106" s="66">
        <f t="shared" si="21"/>
        <v>95000</v>
      </c>
      <c r="M106" s="66">
        <v>25000.0</v>
      </c>
      <c r="N106" s="62">
        <f t="shared" si="12"/>
        <v>27000</v>
      </c>
      <c r="O106" s="62">
        <f t="shared" si="17"/>
        <v>407000</v>
      </c>
      <c r="P106" s="62">
        <f t="shared" si="13"/>
        <v>43000</v>
      </c>
      <c r="Q106" s="134">
        <f t="shared" si="18"/>
        <v>0.1056511057</v>
      </c>
      <c r="R106" s="62">
        <f t="shared" si="14"/>
        <v>312500</v>
      </c>
      <c r="S106" s="62">
        <f t="shared" si="15"/>
        <v>-42500</v>
      </c>
      <c r="T106" s="66" t="s">
        <v>738</v>
      </c>
    </row>
    <row r="107" ht="15.75" customHeight="1">
      <c r="A107" s="66" t="s">
        <v>742</v>
      </c>
      <c r="B107" s="103">
        <v>42381.0</v>
      </c>
      <c r="C107" s="66" t="s">
        <v>743</v>
      </c>
      <c r="D107" s="104"/>
      <c r="E107" s="104" t="s">
        <v>119</v>
      </c>
      <c r="F107" s="105"/>
      <c r="G107" s="104">
        <v>895.0</v>
      </c>
      <c r="H107" s="66">
        <v>92600.0</v>
      </c>
      <c r="I107" s="133">
        <f t="shared" si="19"/>
        <v>103.4636872</v>
      </c>
      <c r="J107" s="66">
        <v>150000.0</v>
      </c>
      <c r="K107" s="133">
        <f t="shared" si="22"/>
        <v>167.5977654</v>
      </c>
      <c r="L107" s="66">
        <f t="shared" si="21"/>
        <v>57400</v>
      </c>
      <c r="M107" s="66">
        <v>25000.0</v>
      </c>
      <c r="N107" s="62">
        <f t="shared" si="12"/>
        <v>9000</v>
      </c>
      <c r="O107" s="62">
        <f t="shared" si="17"/>
        <v>126600</v>
      </c>
      <c r="P107" s="62">
        <f t="shared" si="13"/>
        <v>23400</v>
      </c>
      <c r="Q107" s="134">
        <f t="shared" si="18"/>
        <v>0.1848341232</v>
      </c>
      <c r="R107" s="62">
        <f t="shared" si="14"/>
        <v>87500</v>
      </c>
      <c r="S107" s="62">
        <f t="shared" si="15"/>
        <v>-5100</v>
      </c>
      <c r="T107" s="66" t="s">
        <v>738</v>
      </c>
    </row>
    <row r="108" ht="15.75" customHeight="1">
      <c r="B108" s="103">
        <v>42381.0</v>
      </c>
      <c r="C108" s="66" t="s">
        <v>744</v>
      </c>
      <c r="D108" s="104"/>
      <c r="E108" s="104" t="s">
        <v>117</v>
      </c>
      <c r="F108" s="105"/>
      <c r="G108" s="104"/>
      <c r="H108" s="66">
        <v>115000.0</v>
      </c>
      <c r="I108" s="133" t="str">
        <f t="shared" si="19"/>
        <v>#DIV/0!</v>
      </c>
      <c r="K108" s="133" t="str">
        <f t="shared" si="22"/>
        <v>#DIV/0!</v>
      </c>
      <c r="L108" s="66">
        <f t="shared" si="21"/>
        <v>-115000</v>
      </c>
      <c r="N108" s="62">
        <f t="shared" si="12"/>
        <v>0</v>
      </c>
      <c r="O108" s="62">
        <f t="shared" si="17"/>
        <v>115000</v>
      </c>
      <c r="P108" s="62">
        <f t="shared" si="13"/>
        <v>-115000</v>
      </c>
      <c r="Q108" s="134">
        <f t="shared" si="18"/>
        <v>-1</v>
      </c>
      <c r="R108" s="62">
        <f t="shared" si="14"/>
        <v>0</v>
      </c>
      <c r="S108" s="62">
        <f t="shared" si="15"/>
        <v>-115000</v>
      </c>
      <c r="T108" s="66" t="s">
        <v>211</v>
      </c>
    </row>
    <row r="109" ht="15.75" customHeight="1">
      <c r="B109" s="103">
        <v>42381.0</v>
      </c>
      <c r="C109" s="66" t="s">
        <v>745</v>
      </c>
      <c r="D109" s="104"/>
      <c r="E109" s="104" t="s">
        <v>117</v>
      </c>
      <c r="F109" s="105"/>
      <c r="G109" s="104"/>
      <c r="H109" s="66">
        <v>120000.0</v>
      </c>
      <c r="I109" s="133" t="str">
        <f t="shared" si="19"/>
        <v>#DIV/0!</v>
      </c>
      <c r="J109" s="66">
        <v>160000.0</v>
      </c>
      <c r="K109" s="133" t="str">
        <f t="shared" si="22"/>
        <v>#DIV/0!</v>
      </c>
      <c r="L109" s="66">
        <f t="shared" si="21"/>
        <v>40000</v>
      </c>
      <c r="M109" s="66">
        <v>25000.0</v>
      </c>
      <c r="N109" s="62">
        <f t="shared" si="12"/>
        <v>9600</v>
      </c>
      <c r="O109" s="62">
        <f t="shared" si="17"/>
        <v>154600</v>
      </c>
      <c r="P109" s="62">
        <f t="shared" si="13"/>
        <v>5400</v>
      </c>
      <c r="Q109" s="134">
        <f t="shared" si="18"/>
        <v>0.03492884864</v>
      </c>
      <c r="R109" s="62">
        <f t="shared" si="14"/>
        <v>95000</v>
      </c>
      <c r="S109" s="62">
        <f t="shared" si="15"/>
        <v>-25000</v>
      </c>
      <c r="T109" s="66" t="s">
        <v>211</v>
      </c>
    </row>
    <row r="110" ht="15.75" customHeight="1">
      <c r="A110" s="66" t="s">
        <v>746</v>
      </c>
      <c r="B110" s="103">
        <v>42381.0</v>
      </c>
      <c r="C110" s="66" t="s">
        <v>747</v>
      </c>
      <c r="D110" s="104"/>
      <c r="E110" s="104" t="s">
        <v>117</v>
      </c>
      <c r="F110" s="105"/>
      <c r="G110" s="104">
        <v>1551.0</v>
      </c>
      <c r="I110" s="133">
        <f t="shared" si="19"/>
        <v>0</v>
      </c>
      <c r="J110" s="66">
        <v>295000.0</v>
      </c>
      <c r="K110" s="133">
        <f t="shared" si="22"/>
        <v>190.1998711</v>
      </c>
      <c r="L110" s="66">
        <f t="shared" si="21"/>
        <v>295000</v>
      </c>
      <c r="N110" s="62">
        <f t="shared" si="12"/>
        <v>17700</v>
      </c>
      <c r="O110" s="62">
        <f t="shared" si="17"/>
        <v>17700</v>
      </c>
      <c r="P110" s="62">
        <f t="shared" si="13"/>
        <v>277300</v>
      </c>
      <c r="Q110" s="134">
        <f t="shared" si="18"/>
        <v>15.66666667</v>
      </c>
      <c r="R110" s="62">
        <f t="shared" si="14"/>
        <v>221250</v>
      </c>
      <c r="S110" s="62">
        <f t="shared" si="15"/>
        <v>221250</v>
      </c>
      <c r="T110" s="66" t="s">
        <v>211</v>
      </c>
    </row>
    <row r="111" ht="15.75" customHeight="1">
      <c r="B111" s="103">
        <v>42387.0</v>
      </c>
      <c r="C111" s="66" t="s">
        <v>748</v>
      </c>
      <c r="D111" s="104"/>
      <c r="E111" s="104" t="s">
        <v>119</v>
      </c>
      <c r="F111" s="105"/>
      <c r="G111" s="104">
        <v>1208.0</v>
      </c>
      <c r="H111" s="66">
        <v>135000.0</v>
      </c>
      <c r="I111" s="133">
        <f t="shared" si="19"/>
        <v>111.7549669</v>
      </c>
      <c r="J111" s="66">
        <v>210000.0</v>
      </c>
      <c r="K111" s="133">
        <f t="shared" si="22"/>
        <v>173.8410596</v>
      </c>
      <c r="L111" s="66">
        <f t="shared" si="21"/>
        <v>75000</v>
      </c>
      <c r="M111" s="66">
        <v>30000.0</v>
      </c>
      <c r="N111" s="62">
        <f t="shared" si="12"/>
        <v>12600</v>
      </c>
      <c r="O111" s="62">
        <f t="shared" si="17"/>
        <v>177600</v>
      </c>
      <c r="P111" s="62">
        <f t="shared" si="13"/>
        <v>32400</v>
      </c>
      <c r="Q111" s="134">
        <f t="shared" si="18"/>
        <v>0.1824324324</v>
      </c>
      <c r="R111" s="62">
        <f t="shared" si="14"/>
        <v>127500</v>
      </c>
      <c r="S111" s="62">
        <f t="shared" si="15"/>
        <v>-7500</v>
      </c>
      <c r="T111" s="66" t="s">
        <v>738</v>
      </c>
    </row>
    <row r="112" ht="15.75" customHeight="1">
      <c r="A112" s="66" t="s">
        <v>749</v>
      </c>
      <c r="B112" s="103">
        <v>42387.0</v>
      </c>
      <c r="C112" s="66" t="s">
        <v>750</v>
      </c>
      <c r="D112" s="104"/>
      <c r="E112" s="104" t="s">
        <v>119</v>
      </c>
      <c r="F112" s="105"/>
      <c r="G112" s="104">
        <v>859.0</v>
      </c>
      <c r="H112" s="66">
        <v>75000.0</v>
      </c>
      <c r="I112" s="133">
        <f t="shared" si="19"/>
        <v>87.31082654</v>
      </c>
      <c r="J112" s="66">
        <v>130000.0</v>
      </c>
      <c r="K112" s="133">
        <f t="shared" si="22"/>
        <v>151.338766</v>
      </c>
      <c r="L112" s="66">
        <f t="shared" si="21"/>
        <v>55000</v>
      </c>
      <c r="M112" s="66">
        <v>25000.0</v>
      </c>
      <c r="N112" s="62">
        <f t="shared" si="12"/>
        <v>7800</v>
      </c>
      <c r="O112" s="62">
        <f t="shared" si="17"/>
        <v>107800</v>
      </c>
      <c r="P112" s="62">
        <f t="shared" si="13"/>
        <v>22200</v>
      </c>
      <c r="Q112" s="134">
        <f t="shared" si="18"/>
        <v>0.2059369202</v>
      </c>
      <c r="R112" s="62">
        <f t="shared" si="14"/>
        <v>72500</v>
      </c>
      <c r="S112" s="62">
        <f t="shared" si="15"/>
        <v>-2500</v>
      </c>
      <c r="T112" s="66" t="s">
        <v>738</v>
      </c>
    </row>
    <row r="113" ht="15.75" customHeight="1">
      <c r="B113" s="103">
        <v>42387.0</v>
      </c>
      <c r="C113" s="66" t="s">
        <v>751</v>
      </c>
      <c r="D113" s="104"/>
      <c r="E113" s="104" t="s">
        <v>119</v>
      </c>
      <c r="F113" s="105"/>
      <c r="G113" s="104">
        <v>1206.0</v>
      </c>
      <c r="H113" s="66">
        <v>199000.0</v>
      </c>
      <c r="I113" s="133">
        <f t="shared" si="19"/>
        <v>165.0082919</v>
      </c>
      <c r="J113" s="66">
        <v>220000.0</v>
      </c>
      <c r="K113" s="133">
        <f t="shared" si="22"/>
        <v>182.4212272</v>
      </c>
      <c r="L113" s="66">
        <f t="shared" si="21"/>
        <v>21000</v>
      </c>
      <c r="M113" s="66">
        <v>25000.0</v>
      </c>
      <c r="N113" s="62">
        <f t="shared" si="12"/>
        <v>13200</v>
      </c>
      <c r="O113" s="62">
        <f t="shared" si="17"/>
        <v>237200</v>
      </c>
      <c r="P113" s="62">
        <f t="shared" si="13"/>
        <v>-17200</v>
      </c>
      <c r="Q113" s="134">
        <f t="shared" si="18"/>
        <v>-0.07251264755</v>
      </c>
      <c r="R113" s="62">
        <f t="shared" si="14"/>
        <v>140000</v>
      </c>
      <c r="S113" s="62">
        <f t="shared" si="15"/>
        <v>-59000</v>
      </c>
      <c r="T113" s="66" t="s">
        <v>738</v>
      </c>
    </row>
    <row r="114" ht="15.75" customHeight="1">
      <c r="B114" s="103">
        <v>42388.0</v>
      </c>
      <c r="C114" s="66" t="s">
        <v>752</v>
      </c>
      <c r="D114" s="104"/>
      <c r="E114" s="104"/>
      <c r="F114" s="105"/>
      <c r="G114" s="104"/>
      <c r="H114" s="66">
        <v>155000.0</v>
      </c>
      <c r="I114" s="133" t="str">
        <f t="shared" si="19"/>
        <v>#DIV/0!</v>
      </c>
      <c r="J114" s="66">
        <v>500000.0</v>
      </c>
      <c r="K114" s="133" t="str">
        <f t="shared" si="22"/>
        <v>#DIV/0!</v>
      </c>
      <c r="L114" s="66">
        <f t="shared" si="21"/>
        <v>345000</v>
      </c>
      <c r="M114" s="66">
        <v>200000.0</v>
      </c>
      <c r="N114" s="62">
        <f t="shared" si="12"/>
        <v>30000</v>
      </c>
      <c r="O114" s="62">
        <f t="shared" si="17"/>
        <v>385000</v>
      </c>
      <c r="P114" s="62">
        <f t="shared" si="13"/>
        <v>115000</v>
      </c>
      <c r="Q114" s="134">
        <f t="shared" si="18"/>
        <v>0.2987012987</v>
      </c>
      <c r="R114" s="62">
        <f t="shared" si="14"/>
        <v>175000</v>
      </c>
      <c r="S114" s="62">
        <f t="shared" si="15"/>
        <v>20000</v>
      </c>
      <c r="T114" s="66" t="s">
        <v>662</v>
      </c>
    </row>
    <row r="115" ht="15.75" customHeight="1">
      <c r="B115" s="103">
        <v>42388.0</v>
      </c>
      <c r="C115" s="66" t="s">
        <v>753</v>
      </c>
      <c r="D115" s="104"/>
      <c r="E115" s="104" t="s">
        <v>119</v>
      </c>
      <c r="F115" s="105"/>
      <c r="G115" s="104">
        <v>1209.0</v>
      </c>
      <c r="H115" s="66">
        <v>130000.0</v>
      </c>
      <c r="I115" s="133">
        <f t="shared" si="19"/>
        <v>107.5268817</v>
      </c>
      <c r="J115" s="66">
        <v>200000.0</v>
      </c>
      <c r="K115" s="133">
        <f t="shared" si="22"/>
        <v>165.4259719</v>
      </c>
      <c r="L115" s="66">
        <f t="shared" si="21"/>
        <v>70000</v>
      </c>
      <c r="M115" s="66">
        <v>15000.0</v>
      </c>
      <c r="N115" s="62">
        <f t="shared" si="12"/>
        <v>12000</v>
      </c>
      <c r="O115" s="62">
        <f t="shared" si="17"/>
        <v>157000</v>
      </c>
      <c r="P115" s="62">
        <f t="shared" si="13"/>
        <v>43000</v>
      </c>
      <c r="Q115" s="134">
        <f t="shared" si="18"/>
        <v>0.2738853503</v>
      </c>
      <c r="R115" s="62">
        <f t="shared" si="14"/>
        <v>135000</v>
      </c>
      <c r="S115" s="62">
        <f t="shared" si="15"/>
        <v>5000</v>
      </c>
      <c r="T115" s="66" t="s">
        <v>738</v>
      </c>
    </row>
    <row r="116" ht="15.75" customHeight="1">
      <c r="B116" s="103">
        <v>42389.0</v>
      </c>
      <c r="C116" s="66" t="s">
        <v>754</v>
      </c>
      <c r="D116" s="104"/>
      <c r="E116" s="104" t="s">
        <v>117</v>
      </c>
      <c r="F116" s="105"/>
      <c r="G116" s="104">
        <v>904.0</v>
      </c>
      <c r="H116" s="66">
        <v>100000.0</v>
      </c>
      <c r="I116" s="133">
        <f t="shared" si="19"/>
        <v>110.619469</v>
      </c>
      <c r="J116" s="66">
        <v>160000.0</v>
      </c>
      <c r="K116" s="133">
        <f t="shared" si="22"/>
        <v>176.9911504</v>
      </c>
      <c r="L116" s="66">
        <f t="shared" si="21"/>
        <v>60000</v>
      </c>
      <c r="M116" s="66">
        <v>20000.0</v>
      </c>
      <c r="N116" s="62">
        <f t="shared" si="12"/>
        <v>9600</v>
      </c>
      <c r="O116" s="62">
        <f t="shared" si="17"/>
        <v>129600</v>
      </c>
      <c r="P116" s="62">
        <f t="shared" si="13"/>
        <v>30400</v>
      </c>
      <c r="Q116" s="134">
        <f t="shared" si="18"/>
        <v>0.2345679012</v>
      </c>
      <c r="R116" s="62">
        <f t="shared" si="14"/>
        <v>100000</v>
      </c>
      <c r="S116" s="62">
        <f t="shared" si="15"/>
        <v>0</v>
      </c>
      <c r="T116" s="66" t="s">
        <v>755</v>
      </c>
    </row>
    <row r="117" ht="15.75" customHeight="1">
      <c r="B117" s="103">
        <v>42389.0</v>
      </c>
      <c r="C117" s="66" t="s">
        <v>756</v>
      </c>
      <c r="D117" s="104"/>
      <c r="E117" s="104" t="s">
        <v>119</v>
      </c>
      <c r="F117" s="105"/>
      <c r="G117" s="104">
        <v>2200.0</v>
      </c>
      <c r="H117" s="66">
        <v>120000.0</v>
      </c>
      <c r="I117" s="133">
        <f t="shared" si="19"/>
        <v>54.54545455</v>
      </c>
      <c r="J117" s="66">
        <v>215000.0</v>
      </c>
      <c r="K117" s="133">
        <f t="shared" si="22"/>
        <v>97.72727273</v>
      </c>
      <c r="L117" s="66">
        <f t="shared" si="21"/>
        <v>95000</v>
      </c>
      <c r="M117" s="66">
        <v>50000.0</v>
      </c>
      <c r="N117" s="62">
        <f t="shared" si="12"/>
        <v>12900</v>
      </c>
      <c r="O117" s="62">
        <f t="shared" si="17"/>
        <v>182900</v>
      </c>
      <c r="P117" s="62">
        <f t="shared" si="13"/>
        <v>32100</v>
      </c>
      <c r="Q117" s="134">
        <f t="shared" si="18"/>
        <v>0.1755057408</v>
      </c>
      <c r="R117" s="62">
        <f t="shared" si="14"/>
        <v>111250</v>
      </c>
      <c r="S117" s="62">
        <f t="shared" si="15"/>
        <v>-8750</v>
      </c>
      <c r="T117" s="66" t="s">
        <v>211</v>
      </c>
    </row>
    <row r="118" ht="15.75" customHeight="1">
      <c r="B118" s="103">
        <v>42389.0</v>
      </c>
      <c r="C118" s="66" t="s">
        <v>757</v>
      </c>
      <c r="D118" s="104"/>
      <c r="E118" s="104" t="s">
        <v>117</v>
      </c>
      <c r="F118" s="105"/>
      <c r="G118" s="104">
        <v>1337.0</v>
      </c>
      <c r="H118" s="66">
        <v>70000.0</v>
      </c>
      <c r="I118" s="133">
        <f t="shared" si="19"/>
        <v>52.35602094</v>
      </c>
      <c r="J118" s="66">
        <v>175000.0</v>
      </c>
      <c r="K118" s="133">
        <f t="shared" si="22"/>
        <v>130.8900524</v>
      </c>
      <c r="L118" s="66">
        <f t="shared" si="21"/>
        <v>105000</v>
      </c>
      <c r="M118" s="66">
        <v>60000.0</v>
      </c>
      <c r="N118" s="62">
        <f t="shared" si="12"/>
        <v>10500</v>
      </c>
      <c r="O118" s="62">
        <f t="shared" si="17"/>
        <v>140500</v>
      </c>
      <c r="P118" s="62">
        <f t="shared" si="13"/>
        <v>34500</v>
      </c>
      <c r="Q118" s="134">
        <f t="shared" si="18"/>
        <v>0.2455516014</v>
      </c>
      <c r="R118" s="62">
        <f t="shared" si="14"/>
        <v>71250</v>
      </c>
      <c r="S118" s="62">
        <f t="shared" si="15"/>
        <v>1250</v>
      </c>
      <c r="T118" s="66" t="s">
        <v>755</v>
      </c>
    </row>
    <row r="119" ht="15.75" customHeight="1">
      <c r="B119" s="103">
        <v>42390.0</v>
      </c>
      <c r="C119" s="66" t="s">
        <v>758</v>
      </c>
      <c r="D119" s="104"/>
      <c r="E119" s="104" t="s">
        <v>119</v>
      </c>
      <c r="F119" s="105"/>
      <c r="G119" s="104">
        <v>1174.0</v>
      </c>
      <c r="H119" s="66">
        <v>135000.0</v>
      </c>
      <c r="I119" s="133">
        <f t="shared" si="19"/>
        <v>114.9914821</v>
      </c>
      <c r="J119" s="66">
        <v>200000.0</v>
      </c>
      <c r="K119" s="133">
        <f t="shared" si="22"/>
        <v>170.3577513</v>
      </c>
      <c r="L119" s="66">
        <f t="shared" si="21"/>
        <v>65000</v>
      </c>
      <c r="M119" s="66">
        <v>20000.0</v>
      </c>
      <c r="N119" s="62">
        <f t="shared" si="12"/>
        <v>12000</v>
      </c>
      <c r="O119" s="62">
        <f t="shared" si="17"/>
        <v>167000</v>
      </c>
      <c r="P119" s="62">
        <f t="shared" si="13"/>
        <v>33000</v>
      </c>
      <c r="Q119" s="134">
        <f t="shared" si="18"/>
        <v>0.1976047904</v>
      </c>
      <c r="R119" s="62">
        <f t="shared" si="14"/>
        <v>130000</v>
      </c>
      <c r="S119" s="62">
        <f t="shared" si="15"/>
        <v>-5000</v>
      </c>
      <c r="T119" s="66" t="s">
        <v>738</v>
      </c>
    </row>
    <row r="120" ht="15.75" customHeight="1">
      <c r="B120" s="103">
        <v>42390.0</v>
      </c>
      <c r="C120" s="66" t="s">
        <v>210</v>
      </c>
      <c r="D120" s="104"/>
      <c r="E120" s="104" t="s">
        <v>154</v>
      </c>
      <c r="F120" s="105" t="s">
        <v>723</v>
      </c>
      <c r="G120" s="104">
        <v>1788.0</v>
      </c>
      <c r="H120" s="66">
        <v>450000.0</v>
      </c>
      <c r="I120" s="133">
        <f t="shared" si="19"/>
        <v>251.6778523</v>
      </c>
      <c r="J120" s="66">
        <v>600000.0</v>
      </c>
      <c r="K120" s="133">
        <f t="shared" si="22"/>
        <v>335.5704698</v>
      </c>
      <c r="L120" s="66">
        <f t="shared" si="21"/>
        <v>150000</v>
      </c>
      <c r="M120" s="66">
        <v>70000.0</v>
      </c>
      <c r="N120" s="62">
        <f t="shared" si="12"/>
        <v>36000</v>
      </c>
      <c r="O120" s="62">
        <f t="shared" si="17"/>
        <v>556000</v>
      </c>
      <c r="P120" s="62">
        <f t="shared" si="13"/>
        <v>44000</v>
      </c>
      <c r="Q120" s="134">
        <f t="shared" si="18"/>
        <v>0.07913669065</v>
      </c>
      <c r="R120" s="62">
        <f t="shared" si="14"/>
        <v>380000</v>
      </c>
      <c r="S120" s="62">
        <f t="shared" si="15"/>
        <v>-70000</v>
      </c>
      <c r="T120" s="66" t="s">
        <v>211</v>
      </c>
    </row>
    <row r="121" ht="15.75" customHeight="1">
      <c r="D121" s="104"/>
      <c r="E121" s="104"/>
      <c r="F121" s="105"/>
      <c r="G121" s="104"/>
      <c r="I121" s="133"/>
      <c r="N121" s="62"/>
      <c r="O121" s="62"/>
      <c r="P121" s="62"/>
      <c r="Q121" s="62"/>
      <c r="R121" s="62"/>
      <c r="S121" s="62"/>
    </row>
    <row r="122" ht="15.75" customHeight="1">
      <c r="D122" s="104"/>
      <c r="E122" s="104"/>
      <c r="F122" s="105"/>
      <c r="G122" s="104"/>
      <c r="I122" s="133"/>
      <c r="N122" s="62"/>
      <c r="O122" s="62"/>
      <c r="P122" s="62"/>
      <c r="Q122" s="62"/>
      <c r="R122" s="62"/>
      <c r="S122" s="62"/>
    </row>
    <row r="123" ht="15.75" customHeight="1">
      <c r="D123" s="104"/>
      <c r="E123" s="104"/>
      <c r="F123" s="105"/>
      <c r="G123" s="104"/>
      <c r="I123" s="133"/>
      <c r="N123" s="62"/>
      <c r="O123" s="62"/>
      <c r="P123" s="62"/>
      <c r="Q123" s="62"/>
      <c r="R123" s="62"/>
      <c r="S123" s="62"/>
    </row>
    <row r="124" ht="15.75" customHeight="1">
      <c r="D124" s="104"/>
      <c r="E124" s="104"/>
      <c r="F124" s="105"/>
      <c r="G124" s="104"/>
      <c r="I124" s="133"/>
      <c r="N124" s="62"/>
      <c r="O124" s="62"/>
      <c r="P124" s="62"/>
      <c r="Q124" s="62"/>
      <c r="R124" s="62"/>
      <c r="S124" s="62"/>
    </row>
    <row r="125" ht="15.75" customHeight="1">
      <c r="D125" s="104"/>
      <c r="E125" s="104"/>
      <c r="F125" s="105"/>
      <c r="G125" s="104"/>
      <c r="I125" s="133"/>
      <c r="N125" s="62"/>
      <c r="O125" s="62"/>
      <c r="P125" s="62"/>
      <c r="Q125" s="62"/>
      <c r="R125" s="62"/>
      <c r="S125" s="62"/>
    </row>
    <row r="126" ht="15.75" customHeight="1">
      <c r="D126" s="104"/>
      <c r="E126" s="104"/>
      <c r="F126" s="105"/>
      <c r="G126" s="104"/>
      <c r="I126" s="133"/>
      <c r="N126" s="62"/>
      <c r="O126" s="62"/>
      <c r="P126" s="62"/>
      <c r="Q126" s="62"/>
      <c r="R126" s="62"/>
      <c r="S126" s="62"/>
    </row>
    <row r="127" ht="15.75" customHeight="1">
      <c r="D127" s="104"/>
      <c r="E127" s="104"/>
      <c r="F127" s="105"/>
      <c r="G127" s="104"/>
      <c r="I127" s="133"/>
      <c r="N127" s="62"/>
      <c r="O127" s="62"/>
      <c r="P127" s="62"/>
      <c r="Q127" s="62"/>
      <c r="R127" s="62"/>
      <c r="S127" s="62"/>
    </row>
    <row r="128" ht="15.75" customHeight="1">
      <c r="D128" s="104"/>
      <c r="E128" s="104"/>
      <c r="F128" s="105"/>
      <c r="G128" s="104"/>
      <c r="I128" s="133"/>
      <c r="N128" s="62"/>
      <c r="O128" s="62"/>
      <c r="P128" s="62"/>
      <c r="Q128" s="62"/>
      <c r="R128" s="62"/>
      <c r="S128" s="62"/>
    </row>
    <row r="129" ht="15.75" customHeight="1">
      <c r="D129" s="104"/>
      <c r="E129" s="104"/>
      <c r="F129" s="105"/>
      <c r="G129" s="104"/>
      <c r="I129" s="133"/>
      <c r="N129" s="62"/>
      <c r="O129" s="62"/>
      <c r="P129" s="62"/>
      <c r="Q129" s="62"/>
      <c r="R129" s="62"/>
      <c r="S129" s="62"/>
    </row>
    <row r="130" ht="15.75" customHeight="1">
      <c r="D130" s="104"/>
      <c r="E130" s="104"/>
      <c r="F130" s="105"/>
      <c r="G130" s="104"/>
      <c r="I130" s="133"/>
      <c r="N130" s="62"/>
      <c r="O130" s="62"/>
      <c r="P130" s="62"/>
      <c r="Q130" s="62"/>
      <c r="R130" s="62"/>
      <c r="S130" s="62"/>
    </row>
    <row r="131" ht="15.75" customHeight="1">
      <c r="D131" s="104"/>
      <c r="E131" s="104"/>
      <c r="F131" s="105"/>
      <c r="G131" s="104"/>
      <c r="I131" s="133"/>
      <c r="N131" s="62"/>
      <c r="O131" s="62"/>
      <c r="P131" s="62"/>
      <c r="Q131" s="62"/>
      <c r="R131" s="62"/>
      <c r="S131" s="62"/>
    </row>
    <row r="132" ht="15.75" customHeight="1">
      <c r="D132" s="104"/>
      <c r="E132" s="104"/>
      <c r="F132" s="105"/>
      <c r="G132" s="104"/>
      <c r="I132" s="133"/>
      <c r="N132" s="62"/>
      <c r="O132" s="62"/>
      <c r="P132" s="62"/>
      <c r="Q132" s="62"/>
      <c r="R132" s="62"/>
      <c r="S132" s="62"/>
    </row>
    <row r="133" ht="15.75" customHeight="1">
      <c r="D133" s="104"/>
      <c r="E133" s="104"/>
      <c r="F133" s="105"/>
      <c r="G133" s="104"/>
      <c r="I133" s="133"/>
      <c r="N133" s="62"/>
      <c r="O133" s="62"/>
      <c r="P133" s="62"/>
      <c r="Q133" s="62"/>
      <c r="R133" s="62"/>
      <c r="S133" s="62"/>
    </row>
    <row r="134" ht="15.75" customHeight="1">
      <c r="D134" s="104"/>
      <c r="E134" s="104"/>
      <c r="F134" s="105"/>
      <c r="G134" s="104"/>
      <c r="I134" s="133"/>
      <c r="N134" s="62"/>
      <c r="O134" s="62"/>
      <c r="P134" s="62"/>
      <c r="Q134" s="62"/>
      <c r="R134" s="62"/>
      <c r="S134" s="62"/>
    </row>
    <row r="135" ht="15.75" customHeight="1">
      <c r="D135" s="104"/>
      <c r="E135" s="104"/>
      <c r="F135" s="105"/>
      <c r="G135" s="104"/>
      <c r="I135" s="133"/>
      <c r="N135" s="62"/>
      <c r="O135" s="62"/>
      <c r="P135" s="62"/>
      <c r="Q135" s="62"/>
      <c r="R135" s="62"/>
      <c r="S135" s="62"/>
    </row>
    <row r="136" ht="15.75" customHeight="1">
      <c r="D136" s="104"/>
      <c r="E136" s="104"/>
      <c r="F136" s="105"/>
      <c r="G136" s="104"/>
      <c r="I136" s="133"/>
      <c r="N136" s="62"/>
      <c r="O136" s="62"/>
      <c r="P136" s="62"/>
      <c r="Q136" s="62"/>
      <c r="R136" s="62"/>
      <c r="S136" s="62"/>
    </row>
    <row r="137" ht="15.75" customHeight="1">
      <c r="D137" s="104"/>
      <c r="E137" s="104"/>
      <c r="F137" s="105"/>
      <c r="G137" s="104"/>
      <c r="I137" s="133"/>
      <c r="N137" s="62"/>
      <c r="O137" s="62"/>
      <c r="P137" s="62"/>
      <c r="Q137" s="62"/>
      <c r="R137" s="62"/>
      <c r="S137" s="62"/>
    </row>
    <row r="138" ht="15.75" customHeight="1">
      <c r="D138" s="104"/>
      <c r="E138" s="104"/>
      <c r="F138" s="105"/>
      <c r="G138" s="104"/>
      <c r="I138" s="133"/>
      <c r="N138" s="62"/>
      <c r="O138" s="62"/>
      <c r="P138" s="62"/>
      <c r="Q138" s="62"/>
      <c r="R138" s="62"/>
      <c r="S138" s="62"/>
    </row>
    <row r="139" ht="15.75" customHeight="1">
      <c r="D139" s="104"/>
      <c r="E139" s="104"/>
      <c r="F139" s="105"/>
      <c r="G139" s="104"/>
      <c r="I139" s="133"/>
      <c r="N139" s="62"/>
      <c r="O139" s="62"/>
      <c r="P139" s="62"/>
      <c r="Q139" s="62"/>
      <c r="R139" s="62"/>
      <c r="S139" s="62"/>
    </row>
    <row r="140" ht="15.75" customHeight="1">
      <c r="D140" s="104"/>
      <c r="E140" s="104"/>
      <c r="F140" s="105"/>
      <c r="G140" s="104"/>
      <c r="I140" s="133"/>
      <c r="N140" s="62"/>
      <c r="O140" s="62"/>
      <c r="P140" s="62"/>
      <c r="Q140" s="62"/>
      <c r="R140" s="62"/>
      <c r="S140" s="62"/>
    </row>
    <row r="141" ht="15.75" customHeight="1">
      <c r="D141" s="104"/>
      <c r="E141" s="104"/>
      <c r="F141" s="105"/>
      <c r="G141" s="104"/>
      <c r="I141" s="133"/>
      <c r="N141" s="62"/>
      <c r="O141" s="62"/>
      <c r="P141" s="62"/>
      <c r="Q141" s="62"/>
      <c r="R141" s="62"/>
      <c r="S141" s="62"/>
    </row>
    <row r="142" ht="15.75" customHeight="1">
      <c r="D142" s="104"/>
      <c r="E142" s="104"/>
      <c r="F142" s="105"/>
      <c r="G142" s="104"/>
      <c r="I142" s="133"/>
      <c r="N142" s="62"/>
      <c r="O142" s="62"/>
      <c r="P142" s="62"/>
      <c r="Q142" s="62"/>
      <c r="R142" s="62"/>
      <c r="S142" s="62"/>
    </row>
    <row r="143" ht="15.75" customHeight="1">
      <c r="D143" s="104"/>
      <c r="E143" s="104"/>
      <c r="F143" s="105"/>
      <c r="G143" s="104"/>
      <c r="I143" s="133"/>
      <c r="N143" s="62"/>
      <c r="O143" s="62"/>
      <c r="P143" s="62"/>
      <c r="Q143" s="62"/>
      <c r="R143" s="62"/>
      <c r="S143" s="62"/>
    </row>
    <row r="144" ht="15.75" customHeight="1">
      <c r="D144" s="104"/>
      <c r="E144" s="104"/>
      <c r="F144" s="105"/>
      <c r="G144" s="104"/>
      <c r="I144" s="133"/>
      <c r="N144" s="62"/>
      <c r="O144" s="62"/>
      <c r="P144" s="62"/>
      <c r="Q144" s="62"/>
      <c r="R144" s="62"/>
      <c r="S144" s="62"/>
    </row>
    <row r="145" ht="15.75" customHeight="1">
      <c r="D145" s="104"/>
      <c r="E145" s="104"/>
      <c r="F145" s="105"/>
      <c r="G145" s="104"/>
      <c r="I145" s="133"/>
      <c r="N145" s="62"/>
      <c r="O145" s="62"/>
      <c r="P145" s="62"/>
      <c r="Q145" s="62"/>
      <c r="R145" s="62"/>
      <c r="S145" s="62"/>
    </row>
    <row r="146" ht="15.75" customHeight="1">
      <c r="D146" s="104"/>
      <c r="E146" s="104"/>
      <c r="F146" s="105"/>
      <c r="G146" s="104"/>
      <c r="I146" s="133"/>
      <c r="N146" s="62"/>
      <c r="O146" s="62"/>
      <c r="P146" s="62"/>
      <c r="Q146" s="62"/>
      <c r="R146" s="62"/>
      <c r="S146" s="62"/>
    </row>
    <row r="147" ht="15.75" customHeight="1">
      <c r="D147" s="104"/>
      <c r="E147" s="104"/>
      <c r="F147" s="105"/>
      <c r="G147" s="104"/>
      <c r="I147" s="133"/>
      <c r="N147" s="62"/>
      <c r="O147" s="62"/>
      <c r="P147" s="62"/>
      <c r="Q147" s="62"/>
      <c r="R147" s="62"/>
      <c r="S147" s="62"/>
    </row>
    <row r="148" ht="15.75" customHeight="1">
      <c r="D148" s="104"/>
      <c r="E148" s="104"/>
      <c r="F148" s="105"/>
      <c r="G148" s="104"/>
      <c r="I148" s="133"/>
      <c r="N148" s="62"/>
      <c r="O148" s="62"/>
      <c r="P148" s="62"/>
      <c r="Q148" s="62"/>
      <c r="R148" s="62"/>
      <c r="S148" s="62"/>
    </row>
    <row r="149" ht="15.75" customHeight="1">
      <c r="D149" s="104"/>
      <c r="E149" s="104"/>
      <c r="F149" s="105"/>
      <c r="G149" s="104"/>
      <c r="I149" s="133"/>
      <c r="N149" s="62"/>
      <c r="O149" s="62"/>
      <c r="P149" s="62"/>
      <c r="Q149" s="62"/>
      <c r="R149" s="62"/>
      <c r="S149" s="62"/>
    </row>
    <row r="150" ht="15.75" customHeight="1">
      <c r="D150" s="104"/>
      <c r="E150" s="104"/>
      <c r="F150" s="105"/>
      <c r="G150" s="104"/>
      <c r="I150" s="133"/>
      <c r="N150" s="62"/>
      <c r="O150" s="62"/>
      <c r="P150" s="62"/>
      <c r="Q150" s="62"/>
      <c r="R150" s="62"/>
      <c r="S150" s="62"/>
    </row>
    <row r="151" ht="15.75" customHeight="1">
      <c r="D151" s="104"/>
      <c r="E151" s="104"/>
      <c r="F151" s="105"/>
      <c r="G151" s="104"/>
      <c r="I151" s="133"/>
      <c r="N151" s="62"/>
      <c r="O151" s="62"/>
      <c r="P151" s="62"/>
      <c r="Q151" s="62"/>
      <c r="R151" s="62"/>
      <c r="S151" s="62"/>
    </row>
    <row r="152" ht="15.75" customHeight="1">
      <c r="D152" s="104"/>
      <c r="E152" s="104"/>
      <c r="F152" s="105"/>
      <c r="G152" s="104"/>
      <c r="I152" s="133"/>
      <c r="N152" s="62"/>
      <c r="O152" s="62"/>
      <c r="P152" s="62"/>
      <c r="Q152" s="62"/>
      <c r="R152" s="62"/>
      <c r="S152" s="62"/>
    </row>
    <row r="153" ht="15.75" customHeight="1">
      <c r="D153" s="104"/>
      <c r="E153" s="104"/>
      <c r="F153" s="105"/>
      <c r="G153" s="104"/>
      <c r="I153" s="133"/>
      <c r="N153" s="62"/>
      <c r="O153" s="62"/>
      <c r="P153" s="62"/>
      <c r="Q153" s="62"/>
      <c r="R153" s="62"/>
      <c r="S153" s="62"/>
    </row>
    <row r="154" ht="15.75" customHeight="1">
      <c r="D154" s="104"/>
      <c r="E154" s="104"/>
      <c r="F154" s="105"/>
      <c r="G154" s="104"/>
      <c r="I154" s="133"/>
      <c r="N154" s="62"/>
      <c r="O154" s="62"/>
      <c r="P154" s="62"/>
      <c r="Q154" s="62"/>
      <c r="R154" s="62"/>
      <c r="S154" s="62"/>
    </row>
    <row r="155" ht="15.75" customHeight="1">
      <c r="D155" s="104"/>
      <c r="E155" s="104"/>
      <c r="F155" s="105"/>
      <c r="G155" s="104"/>
      <c r="I155" s="133"/>
      <c r="N155" s="62"/>
      <c r="O155" s="62"/>
      <c r="P155" s="62"/>
      <c r="Q155" s="62"/>
      <c r="R155" s="62"/>
      <c r="S155" s="62"/>
    </row>
    <row r="156" ht="15.75" customHeight="1">
      <c r="D156" s="104"/>
      <c r="E156" s="104"/>
      <c r="F156" s="105"/>
      <c r="G156" s="104"/>
      <c r="I156" s="133"/>
      <c r="N156" s="62"/>
      <c r="O156" s="62"/>
      <c r="P156" s="62"/>
      <c r="Q156" s="62"/>
      <c r="R156" s="62"/>
      <c r="S156" s="62"/>
    </row>
    <row r="157" ht="15.75" customHeight="1">
      <c r="D157" s="104"/>
      <c r="E157" s="104"/>
      <c r="F157" s="105"/>
      <c r="G157" s="104"/>
      <c r="I157" s="133"/>
      <c r="N157" s="62"/>
      <c r="O157" s="62"/>
      <c r="P157" s="62"/>
      <c r="Q157" s="62"/>
      <c r="R157" s="62"/>
      <c r="S157" s="62"/>
    </row>
    <row r="158" ht="15.75" customHeight="1">
      <c r="D158" s="104"/>
      <c r="E158" s="104"/>
      <c r="F158" s="105"/>
      <c r="G158" s="104"/>
      <c r="I158" s="133"/>
      <c r="N158" s="62"/>
      <c r="O158" s="62"/>
      <c r="P158" s="62"/>
      <c r="Q158" s="62"/>
      <c r="R158" s="62"/>
      <c r="S158" s="62"/>
    </row>
    <row r="159" ht="15.75" customHeight="1">
      <c r="D159" s="104"/>
      <c r="E159" s="104"/>
      <c r="F159" s="105"/>
      <c r="G159" s="104"/>
      <c r="I159" s="133"/>
      <c r="N159" s="62"/>
      <c r="O159" s="62"/>
      <c r="P159" s="62"/>
      <c r="Q159" s="62"/>
      <c r="R159" s="62"/>
      <c r="S159" s="62"/>
    </row>
    <row r="160" ht="15.75" customHeight="1">
      <c r="D160" s="104"/>
      <c r="E160" s="104"/>
      <c r="F160" s="105"/>
      <c r="G160" s="104"/>
      <c r="I160" s="133"/>
      <c r="N160" s="62"/>
      <c r="O160" s="62"/>
      <c r="P160" s="62"/>
      <c r="Q160" s="62"/>
      <c r="R160" s="62"/>
      <c r="S160" s="62"/>
    </row>
    <row r="161" ht="15.75" customHeight="1">
      <c r="D161" s="104"/>
      <c r="E161" s="104"/>
      <c r="F161" s="105"/>
      <c r="G161" s="104"/>
      <c r="I161" s="133"/>
      <c r="N161" s="62"/>
      <c r="O161" s="62"/>
      <c r="P161" s="62"/>
      <c r="Q161" s="62"/>
      <c r="R161" s="62"/>
      <c r="S161" s="62"/>
    </row>
    <row r="162" ht="15.75" customHeight="1">
      <c r="D162" s="104"/>
      <c r="E162" s="104"/>
      <c r="F162" s="105"/>
      <c r="G162" s="104"/>
      <c r="I162" s="133"/>
      <c r="N162" s="62"/>
      <c r="O162" s="62"/>
      <c r="P162" s="62"/>
      <c r="Q162" s="62"/>
      <c r="R162" s="62"/>
      <c r="S162" s="62"/>
    </row>
    <row r="163" ht="15.75" customHeight="1">
      <c r="D163" s="104"/>
      <c r="E163" s="104"/>
      <c r="F163" s="105"/>
      <c r="G163" s="104"/>
      <c r="I163" s="133"/>
      <c r="N163" s="62"/>
      <c r="O163" s="62"/>
      <c r="P163" s="62"/>
      <c r="Q163" s="62"/>
      <c r="R163" s="62"/>
      <c r="S163" s="62"/>
    </row>
    <row r="164" ht="15.75" customHeight="1">
      <c r="D164" s="104"/>
      <c r="E164" s="104"/>
      <c r="F164" s="105"/>
      <c r="G164" s="104"/>
      <c r="I164" s="133"/>
      <c r="N164" s="62"/>
      <c r="O164" s="62"/>
      <c r="P164" s="62"/>
      <c r="Q164" s="62"/>
      <c r="R164" s="62"/>
      <c r="S164" s="62"/>
    </row>
    <row r="165" ht="15.75" customHeight="1">
      <c r="D165" s="104"/>
      <c r="E165" s="104"/>
      <c r="F165" s="105"/>
      <c r="G165" s="104"/>
      <c r="I165" s="133"/>
      <c r="N165" s="62"/>
      <c r="O165" s="62"/>
      <c r="P165" s="62"/>
      <c r="Q165" s="62"/>
      <c r="R165" s="62"/>
      <c r="S165" s="62"/>
    </row>
    <row r="166" ht="15.75" customHeight="1">
      <c r="D166" s="104"/>
      <c r="E166" s="104"/>
      <c r="F166" s="105"/>
      <c r="G166" s="104"/>
      <c r="I166" s="133"/>
      <c r="N166" s="62"/>
      <c r="O166" s="62"/>
      <c r="P166" s="62"/>
      <c r="Q166" s="62"/>
      <c r="R166" s="62"/>
      <c r="S166" s="62"/>
    </row>
    <row r="167" ht="15.75" customHeight="1">
      <c r="D167" s="104"/>
      <c r="E167" s="104"/>
      <c r="F167" s="105"/>
      <c r="G167" s="104"/>
      <c r="I167" s="133"/>
      <c r="N167" s="62"/>
      <c r="O167" s="62"/>
      <c r="P167" s="62"/>
      <c r="Q167" s="62"/>
      <c r="R167" s="62"/>
      <c r="S167" s="62"/>
    </row>
    <row r="168" ht="15.75" customHeight="1">
      <c r="D168" s="104"/>
      <c r="E168" s="104"/>
      <c r="F168" s="105"/>
      <c r="G168" s="104"/>
      <c r="I168" s="133"/>
      <c r="N168" s="62"/>
      <c r="O168" s="62"/>
      <c r="P168" s="62"/>
      <c r="Q168" s="62"/>
      <c r="R168" s="62"/>
      <c r="S168" s="62"/>
    </row>
    <row r="169" ht="15.75" customHeight="1">
      <c r="D169" s="104"/>
      <c r="E169" s="104"/>
      <c r="F169" s="105"/>
      <c r="G169" s="104"/>
      <c r="I169" s="133"/>
      <c r="N169" s="62"/>
      <c r="O169" s="62"/>
      <c r="P169" s="62"/>
      <c r="Q169" s="62"/>
      <c r="R169" s="62"/>
      <c r="S169" s="62"/>
    </row>
    <row r="170" ht="15.75" customHeight="1">
      <c r="D170" s="104"/>
      <c r="E170" s="104"/>
      <c r="F170" s="105"/>
      <c r="G170" s="104"/>
      <c r="I170" s="133"/>
      <c r="N170" s="62"/>
      <c r="O170" s="62"/>
      <c r="P170" s="62"/>
      <c r="Q170" s="62"/>
      <c r="R170" s="62"/>
      <c r="S170" s="62"/>
    </row>
    <row r="171" ht="15.75" customHeight="1">
      <c r="D171" s="104"/>
      <c r="E171" s="104"/>
      <c r="F171" s="105"/>
      <c r="G171" s="104"/>
      <c r="I171" s="133"/>
      <c r="N171" s="62"/>
      <c r="O171" s="62"/>
      <c r="P171" s="62"/>
      <c r="Q171" s="62"/>
      <c r="R171" s="62"/>
      <c r="S171" s="62"/>
    </row>
    <row r="172" ht="15.75" customHeight="1">
      <c r="D172" s="104"/>
      <c r="E172" s="104"/>
      <c r="F172" s="105"/>
      <c r="G172" s="104"/>
      <c r="I172" s="133"/>
      <c r="N172" s="62"/>
      <c r="O172" s="62"/>
      <c r="P172" s="62"/>
      <c r="Q172" s="62"/>
      <c r="R172" s="62"/>
      <c r="S172" s="62"/>
    </row>
    <row r="173" ht="15.75" customHeight="1">
      <c r="D173" s="104"/>
      <c r="E173" s="104"/>
      <c r="F173" s="105"/>
      <c r="G173" s="104"/>
      <c r="I173" s="133"/>
      <c r="N173" s="62"/>
      <c r="O173" s="62"/>
      <c r="P173" s="62"/>
      <c r="Q173" s="62"/>
      <c r="R173" s="62"/>
      <c r="S173" s="62"/>
    </row>
    <row r="174" ht="15.75" customHeight="1">
      <c r="D174" s="104"/>
      <c r="E174" s="104"/>
      <c r="F174" s="105"/>
      <c r="G174" s="104"/>
      <c r="I174" s="133"/>
      <c r="N174" s="62"/>
      <c r="O174" s="62"/>
      <c r="P174" s="62"/>
      <c r="Q174" s="62"/>
      <c r="R174" s="62"/>
      <c r="S174" s="62"/>
    </row>
    <row r="175" ht="15.75" customHeight="1">
      <c r="D175" s="104"/>
      <c r="E175" s="104"/>
      <c r="F175" s="105"/>
      <c r="G175" s="104"/>
      <c r="I175" s="133"/>
      <c r="N175" s="62"/>
      <c r="O175" s="62"/>
      <c r="P175" s="62"/>
      <c r="Q175" s="62"/>
      <c r="R175" s="62"/>
      <c r="S175" s="62"/>
    </row>
    <row r="176" ht="15.75" customHeight="1">
      <c r="D176" s="104"/>
      <c r="E176" s="104"/>
      <c r="F176" s="105"/>
      <c r="G176" s="104"/>
      <c r="I176" s="133"/>
      <c r="N176" s="62"/>
      <c r="O176" s="62"/>
      <c r="P176" s="62"/>
      <c r="Q176" s="62"/>
      <c r="R176" s="62"/>
      <c r="S176" s="62"/>
    </row>
    <row r="177" ht="15.75" customHeight="1">
      <c r="D177" s="104"/>
      <c r="E177" s="104"/>
      <c r="F177" s="105"/>
      <c r="G177" s="104"/>
      <c r="I177" s="133"/>
      <c r="N177" s="62"/>
      <c r="O177" s="62"/>
      <c r="P177" s="62"/>
      <c r="Q177" s="62"/>
      <c r="R177" s="62"/>
      <c r="S177" s="62"/>
    </row>
    <row r="178" ht="15.75" customHeight="1">
      <c r="D178" s="104"/>
      <c r="E178" s="104"/>
      <c r="F178" s="105"/>
      <c r="G178" s="104"/>
      <c r="I178" s="133"/>
      <c r="N178" s="62"/>
      <c r="O178" s="62"/>
      <c r="P178" s="62"/>
      <c r="Q178" s="62"/>
      <c r="R178" s="62"/>
      <c r="S178" s="62"/>
    </row>
    <row r="179" ht="15.75" customHeight="1">
      <c r="D179" s="104"/>
      <c r="E179" s="104"/>
      <c r="F179" s="105"/>
      <c r="G179" s="104"/>
      <c r="I179" s="133"/>
      <c r="N179" s="62"/>
      <c r="O179" s="62"/>
      <c r="P179" s="62"/>
      <c r="Q179" s="62"/>
      <c r="R179" s="62"/>
      <c r="S179" s="62"/>
    </row>
    <row r="180" ht="15.75" customHeight="1">
      <c r="D180" s="104"/>
      <c r="E180" s="104"/>
      <c r="F180" s="105"/>
      <c r="G180" s="104"/>
      <c r="I180" s="133"/>
      <c r="N180" s="62"/>
      <c r="O180" s="62"/>
      <c r="P180" s="62"/>
      <c r="Q180" s="62"/>
      <c r="R180" s="62"/>
      <c r="S180" s="62"/>
    </row>
    <row r="181" ht="15.75" customHeight="1">
      <c r="D181" s="104"/>
      <c r="E181" s="104"/>
      <c r="F181" s="105"/>
      <c r="G181" s="104"/>
      <c r="I181" s="133"/>
      <c r="N181" s="62"/>
      <c r="O181" s="62"/>
      <c r="P181" s="62"/>
      <c r="Q181" s="62"/>
      <c r="R181" s="62"/>
      <c r="S181" s="62"/>
    </row>
    <row r="182" ht="15.75" customHeight="1">
      <c r="D182" s="104"/>
      <c r="E182" s="104"/>
      <c r="F182" s="105"/>
      <c r="G182" s="104"/>
      <c r="I182" s="133"/>
      <c r="N182" s="62"/>
      <c r="O182" s="62"/>
      <c r="P182" s="62"/>
      <c r="Q182" s="62"/>
      <c r="R182" s="62"/>
      <c r="S182" s="62"/>
    </row>
    <row r="183" ht="15.75" customHeight="1">
      <c r="D183" s="104"/>
      <c r="E183" s="104"/>
      <c r="F183" s="105"/>
      <c r="G183" s="104"/>
      <c r="I183" s="133"/>
      <c r="N183" s="62"/>
      <c r="O183" s="62"/>
      <c r="P183" s="62"/>
      <c r="Q183" s="62"/>
      <c r="R183" s="62"/>
      <c r="S183" s="62"/>
    </row>
    <row r="184" ht="15.75" customHeight="1">
      <c r="D184" s="104"/>
      <c r="E184" s="104"/>
      <c r="F184" s="105"/>
      <c r="G184" s="104"/>
      <c r="I184" s="133"/>
      <c r="N184" s="62"/>
      <c r="O184" s="62"/>
      <c r="P184" s="62"/>
      <c r="Q184" s="62"/>
      <c r="R184" s="62"/>
      <c r="S184" s="62"/>
    </row>
    <row r="185" ht="15.75" customHeight="1">
      <c r="D185" s="104"/>
      <c r="E185" s="104"/>
      <c r="F185" s="105"/>
      <c r="G185" s="104"/>
      <c r="I185" s="133"/>
      <c r="N185" s="62"/>
      <c r="O185" s="62"/>
      <c r="P185" s="62"/>
      <c r="Q185" s="62"/>
      <c r="R185" s="62"/>
      <c r="S185" s="62"/>
    </row>
    <row r="186" ht="15.75" customHeight="1">
      <c r="D186" s="104"/>
      <c r="E186" s="104"/>
      <c r="F186" s="105"/>
      <c r="G186" s="104"/>
      <c r="I186" s="133"/>
      <c r="N186" s="62"/>
      <c r="O186" s="62"/>
      <c r="P186" s="62"/>
      <c r="Q186" s="62"/>
      <c r="R186" s="62"/>
      <c r="S186" s="62"/>
    </row>
    <row r="187" ht="15.75" customHeight="1">
      <c r="D187" s="104"/>
      <c r="E187" s="104"/>
      <c r="F187" s="105"/>
      <c r="G187" s="104"/>
      <c r="I187" s="133"/>
      <c r="N187" s="62"/>
      <c r="O187" s="62"/>
      <c r="P187" s="62"/>
      <c r="Q187" s="62"/>
      <c r="R187" s="62"/>
      <c r="S187" s="62"/>
    </row>
    <row r="188" ht="15.75" customHeight="1">
      <c r="D188" s="104"/>
      <c r="E188" s="104"/>
      <c r="F188" s="105"/>
      <c r="G188" s="104"/>
      <c r="I188" s="133"/>
      <c r="N188" s="62"/>
      <c r="O188" s="62"/>
      <c r="P188" s="62"/>
      <c r="Q188" s="62"/>
      <c r="R188" s="62"/>
      <c r="S188" s="62"/>
    </row>
    <row r="189" ht="15.75" customHeight="1">
      <c r="D189" s="104"/>
      <c r="E189" s="104"/>
      <c r="F189" s="105"/>
      <c r="G189" s="104"/>
      <c r="I189" s="133"/>
      <c r="N189" s="62"/>
      <c r="O189" s="62"/>
      <c r="P189" s="62"/>
      <c r="Q189" s="62"/>
      <c r="R189" s="62"/>
      <c r="S189" s="62"/>
    </row>
    <row r="190" ht="15.75" customHeight="1">
      <c r="D190" s="104"/>
      <c r="E190" s="104"/>
      <c r="F190" s="105"/>
      <c r="G190" s="104"/>
      <c r="I190" s="133"/>
      <c r="N190" s="62"/>
      <c r="O190" s="62"/>
      <c r="P190" s="62"/>
      <c r="Q190" s="62"/>
      <c r="R190" s="62"/>
      <c r="S190" s="62"/>
    </row>
    <row r="191" ht="15.75" customHeight="1">
      <c r="D191" s="104"/>
      <c r="E191" s="104"/>
      <c r="F191" s="105"/>
      <c r="G191" s="104"/>
      <c r="I191" s="133"/>
      <c r="N191" s="62"/>
      <c r="O191" s="62"/>
      <c r="P191" s="62"/>
      <c r="Q191" s="62"/>
      <c r="R191" s="62"/>
      <c r="S191" s="62"/>
    </row>
    <row r="192" ht="15.75" customHeight="1">
      <c r="D192" s="104"/>
      <c r="E192" s="104"/>
      <c r="F192" s="105"/>
      <c r="G192" s="104"/>
      <c r="I192" s="133"/>
      <c r="N192" s="62"/>
      <c r="O192" s="62"/>
      <c r="P192" s="62"/>
      <c r="Q192" s="62"/>
      <c r="R192" s="62"/>
      <c r="S192" s="62"/>
    </row>
    <row r="193" ht="15.75" customHeight="1">
      <c r="D193" s="104"/>
      <c r="E193" s="104"/>
      <c r="F193" s="105"/>
      <c r="G193" s="104"/>
      <c r="I193" s="133"/>
      <c r="N193" s="62"/>
      <c r="O193" s="62"/>
      <c r="P193" s="62"/>
      <c r="Q193" s="62"/>
      <c r="R193" s="62"/>
      <c r="S193" s="62"/>
    </row>
    <row r="194" ht="15.75" customHeight="1">
      <c r="D194" s="104"/>
      <c r="E194" s="104"/>
      <c r="F194" s="105"/>
      <c r="G194" s="104"/>
      <c r="I194" s="133"/>
      <c r="N194" s="62"/>
      <c r="O194" s="62"/>
      <c r="P194" s="62"/>
      <c r="Q194" s="62"/>
      <c r="R194" s="62"/>
      <c r="S194" s="62"/>
    </row>
    <row r="195" ht="15.75" customHeight="1">
      <c r="D195" s="104"/>
      <c r="E195" s="104"/>
      <c r="F195" s="105"/>
      <c r="G195" s="104"/>
      <c r="I195" s="133"/>
      <c r="N195" s="62"/>
      <c r="O195" s="62"/>
      <c r="P195" s="62"/>
      <c r="Q195" s="62"/>
      <c r="R195" s="62"/>
      <c r="S195" s="62"/>
    </row>
    <row r="196" ht="15.75" customHeight="1">
      <c r="D196" s="104"/>
      <c r="E196" s="104"/>
      <c r="F196" s="105"/>
      <c r="G196" s="104"/>
      <c r="I196" s="133"/>
      <c r="N196" s="62"/>
      <c r="O196" s="62"/>
      <c r="P196" s="62"/>
      <c r="Q196" s="62"/>
      <c r="R196" s="62"/>
      <c r="S196" s="62"/>
    </row>
    <row r="197" ht="15.75" customHeight="1">
      <c r="D197" s="104"/>
      <c r="E197" s="104"/>
      <c r="F197" s="105"/>
      <c r="G197" s="104"/>
      <c r="I197" s="133"/>
      <c r="N197" s="62"/>
      <c r="O197" s="62"/>
      <c r="P197" s="62"/>
      <c r="Q197" s="62"/>
      <c r="R197" s="62"/>
      <c r="S197" s="62"/>
    </row>
    <row r="198" ht="15.75" customHeight="1">
      <c r="D198" s="104"/>
      <c r="E198" s="104"/>
      <c r="F198" s="105"/>
      <c r="G198" s="104"/>
      <c r="I198" s="133"/>
      <c r="N198" s="62"/>
      <c r="O198" s="62"/>
      <c r="P198" s="62"/>
      <c r="Q198" s="62"/>
      <c r="R198" s="62"/>
      <c r="S198" s="62"/>
    </row>
    <row r="199" ht="15.75" customHeight="1">
      <c r="D199" s="104"/>
      <c r="E199" s="104"/>
      <c r="F199" s="105"/>
      <c r="G199" s="104"/>
      <c r="I199" s="133"/>
      <c r="N199" s="62"/>
      <c r="O199" s="62"/>
      <c r="P199" s="62"/>
      <c r="Q199" s="62"/>
      <c r="R199" s="62"/>
      <c r="S199" s="62"/>
    </row>
    <row r="200" ht="15.75" customHeight="1">
      <c r="D200" s="104"/>
      <c r="E200" s="104"/>
      <c r="F200" s="105"/>
      <c r="G200" s="104"/>
      <c r="I200" s="133"/>
      <c r="N200" s="62"/>
      <c r="O200" s="62"/>
      <c r="P200" s="62"/>
      <c r="Q200" s="62"/>
      <c r="R200" s="62"/>
      <c r="S200" s="62"/>
    </row>
    <row r="201" ht="15.75" customHeight="1">
      <c r="D201" s="104"/>
      <c r="E201" s="104"/>
      <c r="F201" s="105"/>
      <c r="G201" s="104"/>
      <c r="I201" s="133"/>
      <c r="N201" s="62"/>
      <c r="O201" s="62"/>
      <c r="P201" s="62"/>
      <c r="Q201" s="62"/>
      <c r="R201" s="62"/>
      <c r="S201" s="62"/>
    </row>
    <row r="202" ht="15.75" customHeight="1">
      <c r="D202" s="104"/>
      <c r="E202" s="104"/>
      <c r="F202" s="105"/>
      <c r="G202" s="104"/>
      <c r="I202" s="133"/>
      <c r="N202" s="62"/>
      <c r="O202" s="62"/>
      <c r="P202" s="62"/>
      <c r="Q202" s="62"/>
      <c r="R202" s="62"/>
      <c r="S202" s="62"/>
    </row>
    <row r="203" ht="15.75" customHeight="1">
      <c r="D203" s="104"/>
      <c r="E203" s="104"/>
      <c r="F203" s="105"/>
      <c r="G203" s="104"/>
      <c r="I203" s="133"/>
      <c r="N203" s="62"/>
      <c r="O203" s="62"/>
      <c r="P203" s="62"/>
      <c r="Q203" s="62"/>
      <c r="R203" s="62"/>
      <c r="S203" s="62"/>
    </row>
    <row r="204" ht="15.75" customHeight="1">
      <c r="D204" s="104"/>
      <c r="E204" s="104"/>
      <c r="F204" s="105"/>
      <c r="G204" s="104"/>
      <c r="I204" s="133"/>
      <c r="N204" s="62"/>
      <c r="O204" s="62"/>
      <c r="P204" s="62"/>
      <c r="Q204" s="62"/>
      <c r="R204" s="62"/>
      <c r="S204" s="62"/>
    </row>
    <row r="205" ht="15.75" customHeight="1">
      <c r="D205" s="104"/>
      <c r="E205" s="104"/>
      <c r="F205" s="105"/>
      <c r="G205" s="104"/>
      <c r="I205" s="133"/>
      <c r="N205" s="62"/>
      <c r="O205" s="62"/>
      <c r="P205" s="62"/>
      <c r="Q205" s="62"/>
      <c r="R205" s="62"/>
      <c r="S205" s="62"/>
    </row>
    <row r="206" ht="15.75" customHeight="1">
      <c r="D206" s="104"/>
      <c r="E206" s="104"/>
      <c r="F206" s="105"/>
      <c r="G206" s="104"/>
      <c r="I206" s="133"/>
      <c r="N206" s="62"/>
      <c r="O206" s="62"/>
      <c r="P206" s="62"/>
      <c r="Q206" s="62"/>
      <c r="R206" s="62"/>
      <c r="S206" s="62"/>
    </row>
    <row r="207" ht="15.75" customHeight="1">
      <c r="D207" s="104"/>
      <c r="E207" s="104"/>
      <c r="F207" s="105"/>
      <c r="G207" s="104"/>
      <c r="I207" s="133"/>
      <c r="N207" s="62"/>
      <c r="O207" s="62"/>
      <c r="P207" s="62"/>
      <c r="Q207" s="62"/>
      <c r="R207" s="62"/>
      <c r="S207" s="62"/>
    </row>
    <row r="208" ht="15.75" customHeight="1">
      <c r="D208" s="104"/>
      <c r="E208" s="104"/>
      <c r="F208" s="105"/>
      <c r="G208" s="104"/>
      <c r="I208" s="133"/>
      <c r="N208" s="62"/>
      <c r="O208" s="62"/>
      <c r="P208" s="62"/>
      <c r="Q208" s="62"/>
      <c r="R208" s="62"/>
      <c r="S208" s="62"/>
    </row>
    <row r="209" ht="15.75" customHeight="1">
      <c r="D209" s="104"/>
      <c r="E209" s="104"/>
      <c r="F209" s="105"/>
      <c r="G209" s="104"/>
      <c r="I209" s="133"/>
      <c r="N209" s="62"/>
      <c r="O209" s="62"/>
      <c r="P209" s="62"/>
      <c r="Q209" s="62"/>
      <c r="R209" s="62"/>
      <c r="S209" s="62"/>
    </row>
    <row r="210" ht="15.75" customHeight="1">
      <c r="D210" s="104"/>
      <c r="E210" s="104"/>
      <c r="F210" s="105"/>
      <c r="G210" s="104"/>
      <c r="I210" s="133"/>
      <c r="N210" s="62"/>
      <c r="O210" s="62"/>
      <c r="P210" s="62"/>
      <c r="Q210" s="62"/>
      <c r="R210" s="62"/>
      <c r="S210" s="62"/>
    </row>
    <row r="211" ht="15.75" customHeight="1">
      <c r="D211" s="104"/>
      <c r="E211" s="104"/>
      <c r="F211" s="105"/>
      <c r="G211" s="104"/>
      <c r="I211" s="133"/>
      <c r="N211" s="62"/>
      <c r="O211" s="62"/>
      <c r="P211" s="62"/>
      <c r="Q211" s="62"/>
      <c r="R211" s="62"/>
      <c r="S211" s="62"/>
    </row>
    <row r="212" ht="15.75" customHeight="1">
      <c r="D212" s="104"/>
      <c r="E212" s="104"/>
      <c r="F212" s="105"/>
      <c r="G212" s="104"/>
      <c r="I212" s="133"/>
      <c r="N212" s="62"/>
      <c r="O212" s="62"/>
      <c r="P212" s="62"/>
      <c r="Q212" s="62"/>
      <c r="R212" s="62"/>
      <c r="S212" s="62"/>
    </row>
    <row r="213" ht="15.75" customHeight="1">
      <c r="D213" s="104"/>
      <c r="E213" s="104"/>
      <c r="F213" s="105"/>
      <c r="G213" s="104"/>
      <c r="I213" s="133"/>
      <c r="N213" s="62"/>
      <c r="O213" s="62"/>
      <c r="P213" s="62"/>
      <c r="Q213" s="62"/>
      <c r="R213" s="62"/>
      <c r="S213" s="62"/>
    </row>
    <row r="214" ht="15.75" customHeight="1">
      <c r="D214" s="104"/>
      <c r="E214" s="104"/>
      <c r="F214" s="105"/>
      <c r="G214" s="104"/>
      <c r="I214" s="133"/>
      <c r="N214" s="62"/>
      <c r="O214" s="62"/>
      <c r="P214" s="62"/>
      <c r="Q214" s="62"/>
      <c r="R214" s="62"/>
      <c r="S214" s="62"/>
    </row>
    <row r="215" ht="15.75" customHeight="1">
      <c r="D215" s="104"/>
      <c r="E215" s="104"/>
      <c r="F215" s="105"/>
      <c r="G215" s="104"/>
      <c r="I215" s="133"/>
      <c r="N215" s="62"/>
      <c r="O215" s="62"/>
      <c r="P215" s="62"/>
      <c r="Q215" s="62"/>
      <c r="R215" s="62"/>
      <c r="S215" s="62"/>
    </row>
    <row r="216" ht="15.75" customHeight="1">
      <c r="D216" s="104"/>
      <c r="E216" s="104"/>
      <c r="F216" s="105"/>
      <c r="G216" s="104"/>
      <c r="I216" s="133"/>
      <c r="N216" s="62"/>
      <c r="O216" s="62"/>
      <c r="P216" s="62"/>
      <c r="Q216" s="62"/>
      <c r="R216" s="62"/>
      <c r="S216" s="62"/>
    </row>
    <row r="217" ht="15.75" customHeight="1">
      <c r="D217" s="104"/>
      <c r="E217" s="104"/>
      <c r="F217" s="105"/>
      <c r="G217" s="104"/>
      <c r="I217" s="133"/>
      <c r="N217" s="62"/>
      <c r="O217" s="62"/>
      <c r="P217" s="62"/>
      <c r="Q217" s="62"/>
      <c r="R217" s="62"/>
      <c r="S217" s="62"/>
    </row>
    <row r="218" ht="15.75" customHeight="1">
      <c r="D218" s="104"/>
      <c r="E218" s="104"/>
      <c r="F218" s="105"/>
      <c r="G218" s="104"/>
      <c r="I218" s="133"/>
      <c r="N218" s="62"/>
      <c r="O218" s="62"/>
      <c r="P218" s="62"/>
      <c r="Q218" s="62"/>
      <c r="R218" s="62"/>
      <c r="S218" s="62"/>
    </row>
    <row r="219" ht="15.75" customHeight="1">
      <c r="D219" s="104"/>
      <c r="E219" s="104"/>
      <c r="F219" s="105"/>
      <c r="G219" s="104"/>
      <c r="I219" s="133"/>
      <c r="N219" s="62"/>
      <c r="O219" s="62"/>
      <c r="P219" s="62"/>
      <c r="Q219" s="62"/>
      <c r="R219" s="62"/>
      <c r="S219" s="62"/>
    </row>
    <row r="220" ht="15.75" customHeight="1">
      <c r="D220" s="104"/>
      <c r="E220" s="104"/>
      <c r="F220" s="105"/>
      <c r="G220" s="104"/>
      <c r="I220" s="133"/>
      <c r="N220" s="62"/>
      <c r="O220" s="62"/>
      <c r="P220" s="62"/>
      <c r="Q220" s="62"/>
      <c r="R220" s="62"/>
      <c r="S220" s="62"/>
    </row>
    <row r="221" ht="15.75" customHeight="1">
      <c r="D221" s="104"/>
      <c r="E221" s="104"/>
      <c r="F221" s="105"/>
      <c r="G221" s="104"/>
      <c r="I221" s="133"/>
      <c r="N221" s="62"/>
      <c r="O221" s="62"/>
      <c r="P221" s="62"/>
      <c r="Q221" s="62"/>
      <c r="R221" s="62"/>
      <c r="S221" s="62"/>
    </row>
    <row r="222" ht="15.75" customHeight="1">
      <c r="D222" s="104"/>
      <c r="E222" s="104"/>
      <c r="F222" s="105"/>
      <c r="G222" s="104"/>
      <c r="I222" s="133"/>
      <c r="N222" s="62"/>
      <c r="O222" s="62"/>
      <c r="P222" s="62"/>
      <c r="Q222" s="62"/>
      <c r="R222" s="62"/>
      <c r="S222" s="62"/>
    </row>
    <row r="223" ht="15.75" customHeight="1">
      <c r="D223" s="104"/>
      <c r="E223" s="104"/>
      <c r="F223" s="105"/>
      <c r="G223" s="104"/>
      <c r="I223" s="133"/>
      <c r="N223" s="62"/>
      <c r="O223" s="62"/>
      <c r="P223" s="62"/>
      <c r="Q223" s="62"/>
      <c r="R223" s="62"/>
      <c r="S223" s="62"/>
    </row>
    <row r="224" ht="15.75" customHeight="1">
      <c r="D224" s="104"/>
      <c r="E224" s="104"/>
      <c r="F224" s="105"/>
      <c r="G224" s="104"/>
      <c r="I224" s="133"/>
      <c r="N224" s="62"/>
      <c r="O224" s="62"/>
      <c r="P224" s="62"/>
      <c r="Q224" s="62"/>
      <c r="R224" s="62"/>
      <c r="S224" s="62"/>
    </row>
    <row r="225" ht="15.75" customHeight="1">
      <c r="D225" s="104"/>
      <c r="E225" s="104"/>
      <c r="F225" s="105"/>
      <c r="G225" s="104"/>
      <c r="I225" s="133"/>
      <c r="N225" s="62"/>
      <c r="O225" s="62"/>
      <c r="P225" s="62"/>
      <c r="Q225" s="62"/>
      <c r="R225" s="62"/>
      <c r="S225" s="62"/>
    </row>
    <row r="226" ht="15.75" customHeight="1">
      <c r="D226" s="104"/>
      <c r="E226" s="104"/>
      <c r="F226" s="105"/>
      <c r="G226" s="104"/>
      <c r="I226" s="133"/>
      <c r="N226" s="62"/>
      <c r="O226" s="62"/>
      <c r="P226" s="62"/>
      <c r="Q226" s="62"/>
      <c r="R226" s="62"/>
      <c r="S226" s="62"/>
    </row>
    <row r="227" ht="15.75" customHeight="1">
      <c r="D227" s="104"/>
      <c r="E227" s="104"/>
      <c r="F227" s="105"/>
      <c r="G227" s="104"/>
      <c r="I227" s="133"/>
      <c r="N227" s="62"/>
      <c r="O227" s="62"/>
      <c r="P227" s="62"/>
      <c r="Q227" s="62"/>
      <c r="R227" s="62"/>
      <c r="S227" s="62"/>
    </row>
    <row r="228" ht="15.75" customHeight="1">
      <c r="D228" s="104"/>
      <c r="E228" s="104"/>
      <c r="F228" s="105"/>
      <c r="G228" s="104"/>
      <c r="I228" s="133"/>
      <c r="N228" s="62"/>
      <c r="O228" s="62"/>
      <c r="P228" s="62"/>
      <c r="Q228" s="62"/>
      <c r="R228" s="62"/>
      <c r="S228" s="62"/>
    </row>
    <row r="229" ht="15.75" customHeight="1">
      <c r="D229" s="104"/>
      <c r="E229" s="104"/>
      <c r="F229" s="105"/>
      <c r="G229" s="104"/>
      <c r="I229" s="133"/>
      <c r="N229" s="62"/>
      <c r="O229" s="62"/>
      <c r="P229" s="62"/>
      <c r="Q229" s="62"/>
      <c r="R229" s="62"/>
      <c r="S229" s="62"/>
    </row>
    <row r="230" ht="15.75" customHeight="1">
      <c r="D230" s="104"/>
      <c r="E230" s="104"/>
      <c r="F230" s="105"/>
      <c r="G230" s="104"/>
      <c r="I230" s="133"/>
      <c r="N230" s="62"/>
      <c r="O230" s="62"/>
      <c r="P230" s="62"/>
      <c r="Q230" s="62"/>
      <c r="R230" s="62"/>
      <c r="S230" s="62"/>
    </row>
    <row r="231" ht="15.75" customHeight="1">
      <c r="D231" s="104"/>
      <c r="E231" s="104"/>
      <c r="F231" s="105"/>
      <c r="G231" s="104"/>
      <c r="I231" s="133"/>
      <c r="N231" s="62"/>
      <c r="O231" s="62"/>
      <c r="P231" s="62"/>
      <c r="Q231" s="62"/>
      <c r="R231" s="62"/>
      <c r="S231" s="62"/>
    </row>
    <row r="232" ht="15.75" customHeight="1">
      <c r="D232" s="104"/>
      <c r="E232" s="104"/>
      <c r="F232" s="105"/>
      <c r="G232" s="104"/>
      <c r="I232" s="133"/>
      <c r="N232" s="62"/>
      <c r="O232" s="62"/>
      <c r="P232" s="62"/>
      <c r="Q232" s="62"/>
      <c r="R232" s="62"/>
      <c r="S232" s="62"/>
    </row>
    <row r="233" ht="15.75" customHeight="1">
      <c r="D233" s="104"/>
      <c r="E233" s="104"/>
      <c r="F233" s="105"/>
      <c r="G233" s="104"/>
      <c r="I233" s="133"/>
      <c r="N233" s="62"/>
      <c r="O233" s="62"/>
      <c r="P233" s="62"/>
      <c r="Q233" s="62"/>
      <c r="R233" s="62"/>
      <c r="S233" s="62"/>
    </row>
    <row r="234" ht="15.75" customHeight="1">
      <c r="D234" s="104"/>
      <c r="E234" s="104"/>
      <c r="F234" s="105"/>
      <c r="G234" s="104"/>
      <c r="I234" s="133"/>
      <c r="N234" s="62"/>
      <c r="O234" s="62"/>
      <c r="P234" s="62"/>
      <c r="Q234" s="62"/>
      <c r="R234" s="62"/>
      <c r="S234" s="62"/>
    </row>
    <row r="235" ht="15.75" customHeight="1">
      <c r="D235" s="104"/>
      <c r="E235" s="104"/>
      <c r="F235" s="105"/>
      <c r="G235" s="104"/>
      <c r="I235" s="133"/>
      <c r="N235" s="62"/>
      <c r="O235" s="62"/>
      <c r="P235" s="62"/>
      <c r="Q235" s="62"/>
      <c r="R235" s="62"/>
      <c r="S235" s="62"/>
    </row>
    <row r="236" ht="15.75" customHeight="1">
      <c r="D236" s="104"/>
      <c r="E236" s="104"/>
      <c r="F236" s="105"/>
      <c r="G236" s="104"/>
      <c r="I236" s="133"/>
      <c r="N236" s="62"/>
      <c r="O236" s="62"/>
      <c r="P236" s="62"/>
      <c r="Q236" s="62"/>
      <c r="R236" s="62"/>
      <c r="S236" s="62"/>
    </row>
    <row r="237" ht="15.75" customHeight="1">
      <c r="D237" s="104"/>
      <c r="E237" s="104"/>
      <c r="F237" s="105"/>
      <c r="G237" s="104"/>
      <c r="I237" s="133"/>
      <c r="N237" s="62"/>
      <c r="O237" s="62"/>
      <c r="P237" s="62"/>
      <c r="Q237" s="62"/>
      <c r="R237" s="62"/>
      <c r="S237" s="62"/>
    </row>
    <row r="238" ht="15.75" customHeight="1">
      <c r="D238" s="104"/>
      <c r="E238" s="104"/>
      <c r="F238" s="105"/>
      <c r="G238" s="104"/>
      <c r="I238" s="133"/>
      <c r="N238" s="62"/>
      <c r="O238" s="62"/>
      <c r="P238" s="62"/>
      <c r="Q238" s="62"/>
      <c r="R238" s="62"/>
      <c r="S238" s="62"/>
    </row>
    <row r="239" ht="15.75" customHeight="1">
      <c r="D239" s="104"/>
      <c r="E239" s="104"/>
      <c r="F239" s="105"/>
      <c r="G239" s="104"/>
      <c r="I239" s="133"/>
      <c r="N239" s="62"/>
      <c r="O239" s="62"/>
      <c r="P239" s="62"/>
      <c r="Q239" s="62"/>
      <c r="R239" s="62"/>
      <c r="S239" s="62"/>
    </row>
    <row r="240" ht="15.75" customHeight="1">
      <c r="D240" s="104"/>
      <c r="E240" s="104"/>
      <c r="F240" s="105"/>
      <c r="G240" s="104"/>
      <c r="I240" s="133"/>
      <c r="N240" s="62"/>
      <c r="O240" s="62"/>
      <c r="P240" s="62"/>
      <c r="Q240" s="62"/>
      <c r="R240" s="62"/>
      <c r="S240" s="62"/>
    </row>
    <row r="241" ht="15.75" customHeight="1">
      <c r="D241" s="104"/>
      <c r="E241" s="104"/>
      <c r="F241" s="105"/>
      <c r="G241" s="104"/>
      <c r="I241" s="133"/>
      <c r="N241" s="62"/>
      <c r="O241" s="62"/>
      <c r="P241" s="62"/>
      <c r="Q241" s="62"/>
      <c r="R241" s="62"/>
      <c r="S241" s="62"/>
    </row>
    <row r="242" ht="15.75" customHeight="1">
      <c r="D242" s="104"/>
      <c r="E242" s="104"/>
      <c r="F242" s="105"/>
      <c r="G242" s="104"/>
      <c r="I242" s="133"/>
      <c r="N242" s="62"/>
      <c r="O242" s="62"/>
      <c r="P242" s="62"/>
      <c r="Q242" s="62"/>
      <c r="R242" s="62"/>
      <c r="S242" s="62"/>
    </row>
    <row r="243" ht="15.75" customHeight="1">
      <c r="D243" s="104"/>
      <c r="E243" s="104"/>
      <c r="F243" s="105"/>
      <c r="G243" s="104"/>
      <c r="I243" s="133"/>
      <c r="N243" s="62"/>
      <c r="O243" s="62"/>
      <c r="P243" s="62"/>
      <c r="Q243" s="62"/>
      <c r="R243" s="62"/>
      <c r="S243" s="62"/>
    </row>
    <row r="244" ht="15.75" customHeight="1">
      <c r="D244" s="104"/>
      <c r="E244" s="104"/>
      <c r="F244" s="105"/>
      <c r="G244" s="104"/>
      <c r="I244" s="133"/>
      <c r="N244" s="62"/>
      <c r="O244" s="62"/>
      <c r="P244" s="62"/>
      <c r="Q244" s="62"/>
      <c r="R244" s="62"/>
      <c r="S244" s="62"/>
    </row>
    <row r="245" ht="15.75" customHeight="1">
      <c r="D245" s="104"/>
      <c r="E245" s="104"/>
      <c r="F245" s="105"/>
      <c r="G245" s="104"/>
      <c r="I245" s="133"/>
      <c r="N245" s="62"/>
      <c r="O245" s="62"/>
      <c r="P245" s="62"/>
      <c r="Q245" s="62"/>
      <c r="R245" s="62"/>
      <c r="S245" s="62"/>
    </row>
    <row r="246" ht="15.75" customHeight="1">
      <c r="D246" s="104"/>
      <c r="E246" s="104"/>
      <c r="F246" s="105"/>
      <c r="G246" s="104"/>
      <c r="I246" s="133"/>
      <c r="N246" s="62"/>
      <c r="O246" s="62"/>
      <c r="P246" s="62"/>
      <c r="Q246" s="62"/>
      <c r="R246" s="62"/>
      <c r="S246" s="62"/>
    </row>
    <row r="247" ht="15.75" customHeight="1">
      <c r="D247" s="104"/>
      <c r="E247" s="104"/>
      <c r="F247" s="105"/>
      <c r="G247" s="104"/>
      <c r="I247" s="133"/>
      <c r="N247" s="62"/>
      <c r="O247" s="62"/>
      <c r="P247" s="62"/>
      <c r="Q247" s="62"/>
      <c r="R247" s="62"/>
      <c r="S247" s="62"/>
    </row>
    <row r="248" ht="15.75" customHeight="1">
      <c r="D248" s="104"/>
      <c r="E248" s="104"/>
      <c r="F248" s="105"/>
      <c r="G248" s="104"/>
      <c r="I248" s="133"/>
      <c r="N248" s="62"/>
      <c r="O248" s="62"/>
      <c r="P248" s="62"/>
      <c r="Q248" s="62"/>
      <c r="R248" s="62"/>
      <c r="S248" s="62"/>
    </row>
    <row r="249" ht="15.75" customHeight="1">
      <c r="D249" s="104"/>
      <c r="E249" s="104"/>
      <c r="F249" s="105"/>
      <c r="G249" s="104"/>
      <c r="I249" s="133"/>
      <c r="N249" s="62"/>
      <c r="O249" s="62"/>
      <c r="P249" s="62"/>
      <c r="Q249" s="62"/>
      <c r="R249" s="62"/>
      <c r="S249" s="62"/>
    </row>
    <row r="250" ht="15.75" customHeight="1">
      <c r="D250" s="104"/>
      <c r="E250" s="104"/>
      <c r="F250" s="105"/>
      <c r="G250" s="104"/>
      <c r="I250" s="133"/>
      <c r="N250" s="62"/>
      <c r="O250" s="62"/>
      <c r="P250" s="62"/>
      <c r="Q250" s="62"/>
      <c r="R250" s="62"/>
      <c r="S250" s="62"/>
    </row>
    <row r="251" ht="15.75" customHeight="1">
      <c r="D251" s="104"/>
      <c r="E251" s="104"/>
      <c r="F251" s="105"/>
      <c r="G251" s="104"/>
      <c r="I251" s="133"/>
      <c r="N251" s="62"/>
      <c r="O251" s="62"/>
      <c r="P251" s="62"/>
      <c r="Q251" s="62"/>
      <c r="R251" s="62"/>
      <c r="S251" s="62"/>
    </row>
    <row r="252" ht="15.75" customHeight="1">
      <c r="D252" s="104"/>
      <c r="E252" s="104"/>
      <c r="F252" s="105"/>
      <c r="G252" s="104"/>
      <c r="I252" s="133"/>
      <c r="N252" s="62"/>
      <c r="O252" s="62"/>
      <c r="P252" s="62"/>
      <c r="Q252" s="62"/>
      <c r="R252" s="62"/>
      <c r="S252" s="62"/>
    </row>
    <row r="253" ht="15.75" customHeight="1">
      <c r="D253" s="104"/>
      <c r="E253" s="104"/>
      <c r="F253" s="105"/>
      <c r="G253" s="104"/>
      <c r="I253" s="133"/>
      <c r="N253" s="62"/>
      <c r="O253" s="62"/>
      <c r="P253" s="62"/>
      <c r="Q253" s="62"/>
      <c r="R253" s="62"/>
      <c r="S253" s="62"/>
    </row>
    <row r="254" ht="15.75" customHeight="1">
      <c r="D254" s="104"/>
      <c r="E254" s="104"/>
      <c r="F254" s="105"/>
      <c r="G254" s="104"/>
      <c r="I254" s="133"/>
      <c r="N254" s="62"/>
      <c r="O254" s="62"/>
      <c r="P254" s="62"/>
      <c r="Q254" s="62"/>
      <c r="R254" s="62"/>
      <c r="S254" s="62"/>
    </row>
    <row r="255" ht="15.75" customHeight="1">
      <c r="D255" s="104"/>
      <c r="E255" s="104"/>
      <c r="F255" s="105"/>
      <c r="G255" s="104"/>
      <c r="I255" s="133"/>
      <c r="N255" s="62"/>
      <c r="O255" s="62"/>
      <c r="P255" s="62"/>
      <c r="Q255" s="62"/>
      <c r="R255" s="62"/>
      <c r="S255" s="62"/>
    </row>
    <row r="256" ht="15.75" customHeight="1">
      <c r="D256" s="104"/>
      <c r="E256" s="104"/>
      <c r="F256" s="105"/>
      <c r="G256" s="104"/>
      <c r="I256" s="133"/>
      <c r="N256" s="62"/>
      <c r="O256" s="62"/>
      <c r="P256" s="62"/>
      <c r="Q256" s="62"/>
      <c r="R256" s="62"/>
      <c r="S256" s="62"/>
    </row>
    <row r="257" ht="15.75" customHeight="1">
      <c r="D257" s="104"/>
      <c r="E257" s="104"/>
      <c r="F257" s="105"/>
      <c r="G257" s="104"/>
      <c r="I257" s="133"/>
      <c r="N257" s="62"/>
      <c r="O257" s="62"/>
      <c r="P257" s="62"/>
      <c r="Q257" s="62"/>
      <c r="R257" s="62"/>
      <c r="S257" s="62"/>
    </row>
    <row r="258" ht="15.75" customHeight="1">
      <c r="D258" s="104"/>
      <c r="E258" s="104"/>
      <c r="F258" s="105"/>
      <c r="G258" s="104"/>
      <c r="I258" s="133"/>
      <c r="N258" s="62"/>
      <c r="O258" s="62"/>
      <c r="P258" s="62"/>
      <c r="Q258" s="62"/>
      <c r="R258" s="62"/>
      <c r="S258" s="62"/>
    </row>
    <row r="259" ht="15.75" customHeight="1">
      <c r="D259" s="104"/>
      <c r="E259" s="104"/>
      <c r="F259" s="105"/>
      <c r="G259" s="104"/>
      <c r="I259" s="133"/>
      <c r="N259" s="62"/>
      <c r="O259" s="62"/>
      <c r="P259" s="62"/>
      <c r="Q259" s="62"/>
      <c r="R259" s="62"/>
      <c r="S259" s="62"/>
    </row>
    <row r="260" ht="15.75" customHeight="1">
      <c r="D260" s="104"/>
      <c r="E260" s="104"/>
      <c r="F260" s="105"/>
      <c r="G260" s="104"/>
      <c r="I260" s="133"/>
      <c r="N260" s="62"/>
      <c r="O260" s="62"/>
      <c r="P260" s="62"/>
      <c r="Q260" s="62"/>
      <c r="R260" s="62"/>
      <c r="S260" s="62"/>
    </row>
    <row r="261" ht="15.75" customHeight="1">
      <c r="D261" s="104"/>
      <c r="E261" s="104"/>
      <c r="F261" s="105"/>
      <c r="G261" s="104"/>
      <c r="I261" s="133"/>
      <c r="N261" s="62"/>
      <c r="O261" s="62"/>
      <c r="P261" s="62"/>
      <c r="Q261" s="62"/>
      <c r="R261" s="62"/>
      <c r="S261" s="62"/>
    </row>
    <row r="262" ht="15.75" customHeight="1">
      <c r="D262" s="104"/>
      <c r="E262" s="104"/>
      <c r="F262" s="105"/>
      <c r="G262" s="104"/>
      <c r="I262" s="133"/>
      <c r="N262" s="62"/>
      <c r="O262" s="62"/>
      <c r="P262" s="62"/>
      <c r="Q262" s="62"/>
      <c r="R262" s="62"/>
      <c r="S262" s="62"/>
    </row>
    <row r="263" ht="15.75" customHeight="1">
      <c r="D263" s="104"/>
      <c r="E263" s="104"/>
      <c r="F263" s="105"/>
      <c r="G263" s="104"/>
      <c r="I263" s="133"/>
      <c r="N263" s="62"/>
      <c r="O263" s="62"/>
      <c r="P263" s="62"/>
      <c r="Q263" s="62"/>
      <c r="R263" s="62"/>
      <c r="S263" s="62"/>
    </row>
    <row r="264" ht="15.75" customHeight="1">
      <c r="D264" s="104"/>
      <c r="E264" s="104"/>
      <c r="F264" s="105"/>
      <c r="G264" s="104"/>
      <c r="I264" s="133"/>
      <c r="N264" s="62"/>
      <c r="O264" s="62"/>
      <c r="P264" s="62"/>
      <c r="Q264" s="62"/>
      <c r="R264" s="62"/>
      <c r="S264" s="62"/>
    </row>
    <row r="265" ht="15.75" customHeight="1">
      <c r="D265" s="104"/>
      <c r="E265" s="104"/>
      <c r="F265" s="105"/>
      <c r="G265" s="104"/>
      <c r="I265" s="133"/>
      <c r="N265" s="62"/>
      <c r="O265" s="62"/>
      <c r="P265" s="62"/>
      <c r="Q265" s="62"/>
      <c r="R265" s="62"/>
      <c r="S265" s="62"/>
    </row>
    <row r="266" ht="15.75" customHeight="1">
      <c r="D266" s="104"/>
      <c r="E266" s="104"/>
      <c r="F266" s="105"/>
      <c r="G266" s="104"/>
      <c r="I266" s="133"/>
      <c r="N266" s="62"/>
      <c r="O266" s="62"/>
      <c r="P266" s="62"/>
      <c r="Q266" s="62"/>
      <c r="R266" s="62"/>
      <c r="S266" s="62"/>
    </row>
    <row r="267" ht="15.75" customHeight="1">
      <c r="D267" s="104"/>
      <c r="E267" s="104"/>
      <c r="F267" s="105"/>
      <c r="G267" s="104"/>
      <c r="I267" s="133"/>
      <c r="N267" s="62"/>
      <c r="O267" s="62"/>
      <c r="P267" s="62"/>
      <c r="Q267" s="62"/>
      <c r="R267" s="62"/>
      <c r="S267" s="62"/>
    </row>
    <row r="268" ht="15.75" customHeight="1">
      <c r="D268" s="104"/>
      <c r="E268" s="104"/>
      <c r="F268" s="105"/>
      <c r="G268" s="104"/>
      <c r="I268" s="133"/>
      <c r="N268" s="62"/>
      <c r="O268" s="62"/>
      <c r="P268" s="62"/>
      <c r="Q268" s="62"/>
      <c r="R268" s="62"/>
      <c r="S268" s="62"/>
    </row>
    <row r="269" ht="15.75" customHeight="1">
      <c r="D269" s="104"/>
      <c r="E269" s="104"/>
      <c r="F269" s="105"/>
      <c r="G269" s="104"/>
      <c r="I269" s="133"/>
      <c r="N269" s="62"/>
      <c r="O269" s="62"/>
      <c r="P269" s="62"/>
      <c r="Q269" s="62"/>
      <c r="R269" s="62"/>
      <c r="S269" s="62"/>
    </row>
    <row r="270" ht="15.75" customHeight="1">
      <c r="D270" s="104"/>
      <c r="E270" s="104"/>
      <c r="F270" s="105"/>
      <c r="G270" s="104"/>
      <c r="I270" s="133"/>
      <c r="N270" s="62"/>
      <c r="O270" s="62"/>
      <c r="P270" s="62"/>
      <c r="Q270" s="62"/>
      <c r="R270" s="62"/>
      <c r="S270" s="62"/>
    </row>
    <row r="271" ht="15.75" customHeight="1">
      <c r="D271" s="104"/>
      <c r="E271" s="104"/>
      <c r="F271" s="105"/>
      <c r="G271" s="104"/>
      <c r="I271" s="133"/>
      <c r="N271" s="62"/>
      <c r="O271" s="62"/>
      <c r="P271" s="62"/>
      <c r="Q271" s="62"/>
      <c r="R271" s="62"/>
      <c r="S271" s="62"/>
    </row>
    <row r="272" ht="15.75" customHeight="1">
      <c r="D272" s="104"/>
      <c r="E272" s="104"/>
      <c r="F272" s="105"/>
      <c r="G272" s="104"/>
      <c r="I272" s="133"/>
      <c r="N272" s="62"/>
      <c r="O272" s="62"/>
      <c r="P272" s="62"/>
      <c r="Q272" s="62"/>
      <c r="R272" s="62"/>
      <c r="S272" s="62"/>
    </row>
    <row r="273" ht="15.75" customHeight="1">
      <c r="D273" s="104"/>
      <c r="E273" s="104"/>
      <c r="F273" s="105"/>
      <c r="G273" s="104"/>
      <c r="I273" s="133"/>
      <c r="N273" s="62"/>
      <c r="O273" s="62"/>
      <c r="P273" s="62"/>
      <c r="Q273" s="62"/>
      <c r="R273" s="62"/>
      <c r="S273" s="62"/>
    </row>
    <row r="274" ht="15.75" customHeight="1">
      <c r="D274" s="104"/>
      <c r="E274" s="104"/>
      <c r="F274" s="105"/>
      <c r="G274" s="104"/>
      <c r="I274" s="133"/>
      <c r="N274" s="62"/>
      <c r="O274" s="62"/>
      <c r="P274" s="62"/>
      <c r="Q274" s="62"/>
      <c r="R274" s="62"/>
      <c r="S274" s="62"/>
    </row>
    <row r="275" ht="15.75" customHeight="1">
      <c r="D275" s="104"/>
      <c r="E275" s="104"/>
      <c r="F275" s="105"/>
      <c r="G275" s="104"/>
      <c r="I275" s="133"/>
      <c r="N275" s="62"/>
      <c r="O275" s="62"/>
      <c r="P275" s="62"/>
      <c r="Q275" s="62"/>
      <c r="R275" s="62"/>
      <c r="S275" s="62"/>
    </row>
    <row r="276" ht="15.75" customHeight="1">
      <c r="D276" s="104"/>
      <c r="E276" s="104"/>
      <c r="F276" s="105"/>
      <c r="G276" s="104"/>
      <c r="I276" s="133"/>
      <c r="N276" s="62"/>
      <c r="O276" s="62"/>
      <c r="P276" s="62"/>
      <c r="Q276" s="62"/>
      <c r="R276" s="62"/>
      <c r="S276" s="62"/>
    </row>
    <row r="277" ht="15.75" customHeight="1">
      <c r="D277" s="104"/>
      <c r="E277" s="104"/>
      <c r="F277" s="105"/>
      <c r="G277" s="104"/>
      <c r="I277" s="133"/>
      <c r="N277" s="62"/>
      <c r="O277" s="62"/>
      <c r="P277" s="62"/>
      <c r="Q277" s="62"/>
      <c r="R277" s="62"/>
      <c r="S277" s="62"/>
    </row>
    <row r="278" ht="15.75" customHeight="1">
      <c r="D278" s="104"/>
      <c r="E278" s="104"/>
      <c r="F278" s="105"/>
      <c r="G278" s="104"/>
      <c r="I278" s="133"/>
      <c r="N278" s="62"/>
      <c r="O278" s="62"/>
      <c r="P278" s="62"/>
      <c r="Q278" s="62"/>
      <c r="R278" s="62"/>
      <c r="S278" s="62"/>
    </row>
    <row r="279" ht="15.75" customHeight="1">
      <c r="D279" s="104"/>
      <c r="E279" s="104"/>
      <c r="F279" s="105"/>
      <c r="G279" s="104"/>
      <c r="I279" s="133"/>
      <c r="N279" s="62"/>
      <c r="O279" s="62"/>
      <c r="P279" s="62"/>
      <c r="Q279" s="62"/>
      <c r="R279" s="62"/>
      <c r="S279" s="62"/>
    </row>
    <row r="280" ht="15.75" customHeight="1">
      <c r="D280" s="104"/>
      <c r="E280" s="104"/>
      <c r="F280" s="105"/>
      <c r="G280" s="104"/>
      <c r="I280" s="133"/>
      <c r="N280" s="62"/>
      <c r="O280" s="62"/>
      <c r="P280" s="62"/>
      <c r="Q280" s="62"/>
      <c r="R280" s="62"/>
      <c r="S280" s="62"/>
    </row>
    <row r="281" ht="15.75" customHeight="1">
      <c r="D281" s="104"/>
      <c r="E281" s="104"/>
      <c r="F281" s="105"/>
      <c r="G281" s="104"/>
      <c r="I281" s="133"/>
      <c r="N281" s="62"/>
      <c r="O281" s="62"/>
      <c r="P281" s="62"/>
      <c r="Q281" s="62"/>
      <c r="R281" s="62"/>
      <c r="S281" s="62"/>
    </row>
    <row r="282" ht="15.75" customHeight="1">
      <c r="D282" s="104"/>
      <c r="E282" s="104"/>
      <c r="F282" s="105"/>
      <c r="G282" s="104"/>
      <c r="I282" s="133"/>
      <c r="N282" s="62"/>
      <c r="O282" s="62"/>
      <c r="P282" s="62"/>
      <c r="Q282" s="62"/>
      <c r="R282" s="62"/>
      <c r="S282" s="62"/>
    </row>
    <row r="283" ht="15.75" customHeight="1">
      <c r="D283" s="104"/>
      <c r="E283" s="104"/>
      <c r="F283" s="105"/>
      <c r="G283" s="104"/>
      <c r="I283" s="133"/>
      <c r="N283" s="62"/>
      <c r="O283" s="62"/>
      <c r="P283" s="62"/>
      <c r="Q283" s="62"/>
      <c r="R283" s="62"/>
      <c r="S283" s="62"/>
    </row>
    <row r="284" ht="15.75" customHeight="1">
      <c r="D284" s="104"/>
      <c r="E284" s="104"/>
      <c r="F284" s="105"/>
      <c r="G284" s="104"/>
      <c r="I284" s="133"/>
      <c r="N284" s="62"/>
      <c r="O284" s="62"/>
      <c r="P284" s="62"/>
      <c r="Q284" s="62"/>
      <c r="R284" s="62"/>
      <c r="S284" s="62"/>
    </row>
    <row r="285" ht="15.75" customHeight="1">
      <c r="D285" s="104"/>
      <c r="E285" s="104"/>
      <c r="F285" s="105"/>
      <c r="G285" s="104"/>
      <c r="I285" s="133"/>
      <c r="N285" s="62"/>
      <c r="O285" s="62"/>
      <c r="P285" s="62"/>
      <c r="Q285" s="62"/>
      <c r="R285" s="62"/>
      <c r="S285" s="62"/>
    </row>
    <row r="286" ht="15.75" customHeight="1">
      <c r="D286" s="104"/>
      <c r="E286" s="104"/>
      <c r="F286" s="105"/>
      <c r="G286" s="104"/>
      <c r="I286" s="133"/>
      <c r="N286" s="62"/>
      <c r="O286" s="62"/>
      <c r="P286" s="62"/>
      <c r="Q286" s="62"/>
      <c r="R286" s="62"/>
      <c r="S286" s="62"/>
    </row>
    <row r="287" ht="15.75" customHeight="1">
      <c r="D287" s="104"/>
      <c r="E287" s="104"/>
      <c r="F287" s="105"/>
      <c r="G287" s="104"/>
      <c r="I287" s="133"/>
      <c r="N287" s="62"/>
      <c r="O287" s="62"/>
      <c r="P287" s="62"/>
      <c r="Q287" s="62"/>
      <c r="R287" s="62"/>
      <c r="S287" s="62"/>
    </row>
    <row r="288" ht="15.75" customHeight="1">
      <c r="D288" s="104"/>
      <c r="E288" s="104"/>
      <c r="F288" s="105"/>
      <c r="G288" s="104"/>
      <c r="I288" s="133"/>
      <c r="N288" s="62"/>
      <c r="O288" s="62"/>
      <c r="P288" s="62"/>
      <c r="Q288" s="62"/>
      <c r="R288" s="62"/>
      <c r="S288" s="62"/>
    </row>
    <row r="289" ht="15.75" customHeight="1">
      <c r="D289" s="104"/>
      <c r="E289" s="104"/>
      <c r="F289" s="105"/>
      <c r="G289" s="104"/>
      <c r="I289" s="133"/>
      <c r="N289" s="62"/>
      <c r="O289" s="62"/>
      <c r="P289" s="62"/>
      <c r="Q289" s="62"/>
      <c r="R289" s="62"/>
      <c r="S289" s="62"/>
    </row>
    <row r="290" ht="15.75" customHeight="1">
      <c r="D290" s="104"/>
      <c r="E290" s="104"/>
      <c r="F290" s="105"/>
      <c r="G290" s="104"/>
      <c r="I290" s="133"/>
      <c r="N290" s="62"/>
      <c r="O290" s="62"/>
      <c r="P290" s="62"/>
      <c r="Q290" s="62"/>
      <c r="R290" s="62"/>
      <c r="S290" s="62"/>
    </row>
    <row r="291" ht="15.75" customHeight="1">
      <c r="D291" s="104"/>
      <c r="E291" s="104"/>
      <c r="F291" s="105"/>
      <c r="G291" s="104"/>
      <c r="I291" s="133"/>
      <c r="N291" s="62"/>
      <c r="O291" s="62"/>
      <c r="P291" s="62"/>
      <c r="Q291" s="62"/>
      <c r="R291" s="62"/>
      <c r="S291" s="62"/>
    </row>
    <row r="292" ht="15.75" customHeight="1">
      <c r="D292" s="104"/>
      <c r="E292" s="104"/>
      <c r="F292" s="105"/>
      <c r="G292" s="104"/>
      <c r="I292" s="133"/>
      <c r="N292" s="62"/>
      <c r="O292" s="62"/>
      <c r="P292" s="62"/>
      <c r="Q292" s="62"/>
      <c r="R292" s="62"/>
      <c r="S292" s="62"/>
    </row>
    <row r="293" ht="15.75" customHeight="1">
      <c r="D293" s="104"/>
      <c r="E293" s="104"/>
      <c r="F293" s="105"/>
      <c r="G293" s="104"/>
      <c r="I293" s="133"/>
      <c r="N293" s="62"/>
      <c r="O293" s="62"/>
      <c r="P293" s="62"/>
      <c r="Q293" s="62"/>
      <c r="R293" s="62"/>
      <c r="S293" s="62"/>
    </row>
    <row r="294" ht="15.75" customHeight="1">
      <c r="D294" s="104"/>
      <c r="E294" s="104"/>
      <c r="F294" s="105"/>
      <c r="G294" s="104"/>
      <c r="I294" s="133"/>
      <c r="N294" s="62"/>
      <c r="O294" s="62"/>
      <c r="P294" s="62"/>
      <c r="Q294" s="62"/>
      <c r="R294" s="62"/>
      <c r="S294" s="62"/>
    </row>
    <row r="295" ht="15.75" customHeight="1">
      <c r="D295" s="104"/>
      <c r="E295" s="104"/>
      <c r="F295" s="105"/>
      <c r="G295" s="104"/>
      <c r="I295" s="133"/>
      <c r="N295" s="62"/>
      <c r="O295" s="62"/>
      <c r="P295" s="62"/>
      <c r="Q295" s="62"/>
      <c r="R295" s="62"/>
      <c r="S295" s="62"/>
    </row>
    <row r="296" ht="15.75" customHeight="1">
      <c r="D296" s="104"/>
      <c r="E296" s="104"/>
      <c r="F296" s="105"/>
      <c r="G296" s="104"/>
      <c r="I296" s="133"/>
      <c r="N296" s="62"/>
      <c r="O296" s="62"/>
      <c r="P296" s="62"/>
      <c r="Q296" s="62"/>
      <c r="R296" s="62"/>
      <c r="S296" s="62"/>
    </row>
    <row r="297" ht="15.75" customHeight="1">
      <c r="D297" s="104"/>
      <c r="E297" s="104"/>
      <c r="F297" s="105"/>
      <c r="G297" s="104"/>
      <c r="I297" s="133"/>
      <c r="N297" s="62"/>
      <c r="O297" s="62"/>
      <c r="P297" s="62"/>
      <c r="Q297" s="62"/>
      <c r="R297" s="62"/>
      <c r="S297" s="62"/>
    </row>
    <row r="298" ht="15.75" customHeight="1">
      <c r="D298" s="104"/>
      <c r="E298" s="104"/>
      <c r="F298" s="105"/>
      <c r="G298" s="104"/>
      <c r="I298" s="133"/>
      <c r="N298" s="62"/>
      <c r="O298" s="62"/>
      <c r="P298" s="62"/>
      <c r="Q298" s="62"/>
      <c r="R298" s="62"/>
      <c r="S298" s="62"/>
    </row>
    <row r="299" ht="15.75" customHeight="1">
      <c r="D299" s="104"/>
      <c r="E299" s="104"/>
      <c r="F299" s="105"/>
      <c r="G299" s="104"/>
      <c r="I299" s="133"/>
      <c r="N299" s="62"/>
      <c r="O299" s="62"/>
      <c r="P299" s="62"/>
      <c r="Q299" s="62"/>
      <c r="R299" s="62"/>
      <c r="S299" s="62"/>
    </row>
    <row r="300" ht="15.75" customHeight="1">
      <c r="D300" s="104"/>
      <c r="E300" s="104"/>
      <c r="F300" s="105"/>
      <c r="G300" s="104"/>
      <c r="I300" s="133"/>
      <c r="N300" s="62"/>
      <c r="O300" s="62"/>
      <c r="P300" s="62"/>
      <c r="Q300" s="62"/>
      <c r="R300" s="62"/>
      <c r="S300" s="62"/>
    </row>
    <row r="301" ht="15.75" customHeight="1">
      <c r="D301" s="104"/>
      <c r="E301" s="104"/>
      <c r="F301" s="105"/>
      <c r="G301" s="104"/>
      <c r="I301" s="133"/>
      <c r="N301" s="62"/>
      <c r="O301" s="62"/>
      <c r="P301" s="62"/>
      <c r="Q301" s="62"/>
      <c r="R301" s="62"/>
      <c r="S301" s="62"/>
    </row>
    <row r="302" ht="15.75" customHeight="1">
      <c r="D302" s="104"/>
      <c r="E302" s="104"/>
      <c r="F302" s="105"/>
      <c r="G302" s="104"/>
      <c r="I302" s="133"/>
      <c r="N302" s="62"/>
      <c r="O302" s="62"/>
      <c r="P302" s="62"/>
      <c r="Q302" s="62"/>
      <c r="R302" s="62"/>
      <c r="S302" s="62"/>
    </row>
    <row r="303" ht="15.75" customHeight="1">
      <c r="D303" s="104"/>
      <c r="E303" s="104"/>
      <c r="F303" s="105"/>
      <c r="G303" s="104"/>
      <c r="I303" s="133"/>
      <c r="N303" s="62"/>
      <c r="O303" s="62"/>
      <c r="P303" s="62"/>
      <c r="Q303" s="62"/>
      <c r="R303" s="62"/>
      <c r="S303" s="62"/>
    </row>
    <row r="304" ht="15.75" customHeight="1">
      <c r="D304" s="104"/>
      <c r="E304" s="104"/>
      <c r="F304" s="105"/>
      <c r="G304" s="104"/>
      <c r="I304" s="133"/>
      <c r="N304" s="62"/>
      <c r="O304" s="62"/>
      <c r="P304" s="62"/>
      <c r="Q304" s="62"/>
      <c r="R304" s="62"/>
      <c r="S304" s="62"/>
    </row>
    <row r="305" ht="15.75" customHeight="1">
      <c r="D305" s="104"/>
      <c r="E305" s="104"/>
      <c r="F305" s="105"/>
      <c r="G305" s="104"/>
      <c r="I305" s="133"/>
      <c r="N305" s="62"/>
      <c r="O305" s="62"/>
      <c r="P305" s="62"/>
      <c r="Q305" s="62"/>
      <c r="R305" s="62"/>
      <c r="S305" s="62"/>
    </row>
    <row r="306" ht="15.75" customHeight="1">
      <c r="D306" s="104"/>
      <c r="E306" s="104"/>
      <c r="F306" s="105"/>
      <c r="G306" s="104"/>
      <c r="I306" s="133"/>
      <c r="N306" s="62"/>
      <c r="O306" s="62"/>
      <c r="P306" s="62"/>
      <c r="Q306" s="62"/>
      <c r="R306" s="62"/>
      <c r="S306" s="62"/>
    </row>
    <row r="307" ht="15.75" customHeight="1">
      <c r="D307" s="104"/>
      <c r="E307" s="104"/>
      <c r="F307" s="105"/>
      <c r="G307" s="104"/>
      <c r="I307" s="133"/>
      <c r="N307" s="62"/>
      <c r="O307" s="62"/>
      <c r="P307" s="62"/>
      <c r="Q307" s="62"/>
      <c r="R307" s="62"/>
      <c r="S307" s="62"/>
    </row>
    <row r="308" ht="15.75" customHeight="1">
      <c r="D308" s="104"/>
      <c r="E308" s="104"/>
      <c r="F308" s="105"/>
      <c r="G308" s="104"/>
      <c r="I308" s="133"/>
      <c r="N308" s="62"/>
      <c r="O308" s="62"/>
      <c r="P308" s="62"/>
      <c r="Q308" s="62"/>
      <c r="R308" s="62"/>
      <c r="S308" s="62"/>
    </row>
    <row r="309" ht="15.75" customHeight="1">
      <c r="D309" s="104"/>
      <c r="E309" s="104"/>
      <c r="F309" s="105"/>
      <c r="G309" s="104"/>
      <c r="I309" s="133"/>
      <c r="N309" s="62"/>
      <c r="O309" s="62"/>
      <c r="P309" s="62"/>
      <c r="Q309" s="62"/>
      <c r="R309" s="62"/>
      <c r="S309" s="62"/>
    </row>
    <row r="310" ht="15.75" customHeight="1">
      <c r="D310" s="104"/>
      <c r="E310" s="104"/>
      <c r="F310" s="105"/>
      <c r="G310" s="104"/>
      <c r="I310" s="133"/>
      <c r="N310" s="62"/>
      <c r="O310" s="62"/>
      <c r="P310" s="62"/>
      <c r="Q310" s="62"/>
      <c r="R310" s="62"/>
      <c r="S310" s="62"/>
    </row>
    <row r="311" ht="15.75" customHeight="1">
      <c r="D311" s="104"/>
      <c r="E311" s="104"/>
      <c r="F311" s="105"/>
      <c r="G311" s="104"/>
      <c r="I311" s="133"/>
      <c r="N311" s="62"/>
      <c r="O311" s="62"/>
      <c r="P311" s="62"/>
      <c r="Q311" s="62"/>
      <c r="R311" s="62"/>
      <c r="S311" s="62"/>
    </row>
    <row r="312" ht="15.75" customHeight="1">
      <c r="D312" s="104"/>
      <c r="E312" s="104"/>
      <c r="F312" s="105"/>
      <c r="G312" s="104"/>
      <c r="I312" s="133"/>
      <c r="N312" s="62"/>
      <c r="O312" s="62"/>
      <c r="P312" s="62"/>
      <c r="Q312" s="62"/>
      <c r="R312" s="62"/>
      <c r="S312" s="62"/>
    </row>
    <row r="313" ht="15.75" customHeight="1">
      <c r="D313" s="104"/>
      <c r="E313" s="104"/>
      <c r="F313" s="105"/>
      <c r="G313" s="104"/>
      <c r="I313" s="133"/>
      <c r="N313" s="62"/>
      <c r="O313" s="62"/>
      <c r="P313" s="62"/>
      <c r="Q313" s="62"/>
      <c r="R313" s="62"/>
      <c r="S313" s="62"/>
    </row>
    <row r="314" ht="15.75" customHeight="1">
      <c r="D314" s="104"/>
      <c r="E314" s="104"/>
      <c r="F314" s="105"/>
      <c r="G314" s="104"/>
      <c r="I314" s="133"/>
      <c r="N314" s="62"/>
      <c r="O314" s="62"/>
      <c r="P314" s="62"/>
      <c r="Q314" s="62"/>
      <c r="R314" s="62"/>
      <c r="S314" s="62"/>
    </row>
    <row r="315" ht="15.75" customHeight="1">
      <c r="D315" s="104"/>
      <c r="E315" s="104"/>
      <c r="F315" s="105"/>
      <c r="G315" s="104"/>
      <c r="I315" s="133"/>
      <c r="N315" s="62"/>
      <c r="O315" s="62"/>
      <c r="P315" s="62"/>
      <c r="Q315" s="62"/>
      <c r="R315" s="62"/>
      <c r="S315" s="62"/>
    </row>
    <row r="316" ht="15.75" customHeight="1">
      <c r="D316" s="104"/>
      <c r="E316" s="104"/>
      <c r="F316" s="105"/>
      <c r="G316" s="104"/>
      <c r="I316" s="133"/>
      <c r="N316" s="62"/>
      <c r="O316" s="62"/>
      <c r="P316" s="62"/>
      <c r="Q316" s="62"/>
      <c r="R316" s="62"/>
      <c r="S316" s="62"/>
    </row>
    <row r="317" ht="15.75" customHeight="1">
      <c r="D317" s="104"/>
      <c r="E317" s="104"/>
      <c r="F317" s="105"/>
      <c r="G317" s="104"/>
      <c r="I317" s="133"/>
      <c r="N317" s="62"/>
      <c r="O317" s="62"/>
      <c r="P317" s="62"/>
      <c r="Q317" s="62"/>
      <c r="R317" s="62"/>
      <c r="S317" s="62"/>
    </row>
    <row r="318" ht="15.75" customHeight="1">
      <c r="D318" s="104"/>
      <c r="E318" s="104"/>
      <c r="F318" s="105"/>
      <c r="G318" s="104"/>
      <c r="I318" s="133"/>
      <c r="N318" s="62"/>
      <c r="O318" s="62"/>
      <c r="P318" s="62"/>
      <c r="Q318" s="62"/>
      <c r="R318" s="62"/>
      <c r="S318" s="62"/>
    </row>
    <row r="319" ht="15.75" customHeight="1">
      <c r="D319" s="104"/>
      <c r="E319" s="104"/>
      <c r="F319" s="105"/>
      <c r="G319" s="104"/>
      <c r="I319" s="133"/>
      <c r="N319" s="62"/>
      <c r="O319" s="62"/>
      <c r="P319" s="62"/>
      <c r="Q319" s="62"/>
      <c r="R319" s="62"/>
      <c r="S319" s="62"/>
    </row>
    <row r="320" ht="15.75" customHeight="1">
      <c r="D320" s="104"/>
      <c r="E320" s="104"/>
      <c r="F320" s="105"/>
      <c r="G320" s="104"/>
      <c r="I320" s="133"/>
      <c r="N320" s="62"/>
      <c r="O320" s="62"/>
      <c r="P320" s="62"/>
      <c r="Q320" s="62"/>
      <c r="R320" s="62"/>
      <c r="S320" s="62"/>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N58:N120">
    <cfRule type="expression" dxfId="0" priority="1">
      <formula>Multiply(0.06,M)</formula>
    </cfRule>
  </conditionalFormatting>
  <conditionalFormatting sqref="J56 N1:N57 N121:N1000">
    <cfRule type="expression" dxfId="0" priority="2">
      <formula>Multiply(0.06,M)</formula>
    </cfRule>
  </conditionalFormatting>
  <drawing r:id="rId2"/>
  <legacyDrawing r:id="rId3"/>
</worksheet>
</file>